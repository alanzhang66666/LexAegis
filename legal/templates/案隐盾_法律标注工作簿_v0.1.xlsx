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comments3.xml" ContentType="application/vnd.openxmlformats-officedocument.spreadsheetml.comments+xml"/>
  <Override PartName="/xl/tables/table3.xml" ContentType="application/vnd.openxmlformats-officedocument.spreadsheetml.table+xml"/>
  <Override PartName="/xl/worksheets/sheet5.xml" ContentType="application/vnd.openxmlformats-officedocument.spreadsheetml.worksheet+xml"/>
  <Override PartName="/xl/comments4.xml" ContentType="application/vnd.openxmlformats-officedocument.spreadsheetml.comments+xml"/>
  <Override PartName="/xl/tables/table4.xml" ContentType="application/vnd.openxmlformats-officedocument.spreadsheetml.table+xml"/>
  <Override PartName="/xl/worksheets/sheet6.xml" ContentType="application/vnd.openxmlformats-officedocument.spreadsheetml.worksheet+xml"/>
  <Override PartName="/xl/comments5.xml" ContentType="application/vnd.openxmlformats-officedocument.spreadsheetml.comments+xml"/>
  <Override PartName="/xl/tables/table5.xml" ContentType="application/vnd.openxmlformats-officedocument.spreadsheetml.table+xml"/>
  <Override PartName="/xl/worksheets/sheet7.xml" ContentType="application/vnd.openxmlformats-officedocument.spreadsheetml.worksheet+xml"/>
  <Override PartName="/xl/comments6.xml" ContentType="application/vnd.openxmlformats-officedocument.spreadsheetml.comments+xml"/>
  <Override PartName="/xl/tables/table6.xml" ContentType="application/vnd.openxmlformats-officedocument.spreadsheetml.table+xml"/>
  <Override PartName="/xl/worksheets/sheet8.xml" ContentType="application/vnd.openxmlformats-officedocument.spreadsheetml.worksheet+xml"/>
  <Override PartName="/xl/comments7.xml" ContentType="application/vnd.openxmlformats-officedocument.spreadsheetml.comments+xml"/>
  <Override PartName="/xl/tables/table7.xml" ContentType="application/vnd.openxmlformats-officedocument.spreadsheetml.table+xml"/>
  <Override PartName="/xl/worksheets/sheet9.xml" ContentType="application/vnd.openxmlformats-officedocument.spreadsheetml.worksheet+xml"/>
  <Override PartName="/xl/comments8.xml" ContentType="application/vnd.openxmlformats-officedocument.spreadsheetml.comments+xml"/>
  <Override PartName="/xl/tables/table8.xml" ContentType="application/vnd.openxmlformats-officedocument.spreadsheetml.table+xml"/>
  <Override PartName="/xl/worksheets/sheet10.xml" ContentType="application/vnd.openxmlformats-officedocument.spreadsheetml.worksheet+xml"/>
  <Override PartName="/xl/comments9.xml" ContentType="application/vnd.openxmlformats-officedocument.spreadsheetml.comments+xml"/>
  <Override PartName="/xl/tables/table9.xml" ContentType="application/vnd.openxmlformats-officedocument.spreadsheetml.table+xml"/>
  <Override PartName="/xl/worksheets/sheet11.xml" ContentType="application/vnd.openxmlformats-officedocument.spreadsheetml.worksheet+xml"/>
  <Override PartName="/xl/comments10.xml" ContentType="application/vnd.openxmlformats-officedocument.spreadsheetml.comments+xml"/>
  <Override PartName="/xl/tables/table10.xml" ContentType="application/vnd.openxmlformats-officedocument.spreadsheetml.table+xml"/>
  <Override PartName="/xl/worksheets/sheet12.xml" ContentType="application/vnd.openxmlformats-officedocument.spreadsheetml.worksheet+xml"/>
  <Override PartName="/xl/comments11.xml" ContentType="application/vnd.openxmlformats-officedocument.spreadsheetml.comments+xml"/>
  <Override PartName="/xl/tables/table11.xml" ContentType="application/vnd.openxmlformats-officedocument.spreadsheetml.table+xml"/>
  <Override PartName="/xl/worksheets/sheet13.xml" ContentType="application/vnd.openxmlformats-officedocument.spreadsheetml.worksheet+xml"/>
  <Override PartName="/xl/comments12.xml" ContentType="application/vnd.openxmlformats-officedocument.spreadsheetml.comments+xml"/>
  <Override PartName="/xl/tables/table12.xml" ContentType="application/vnd.openxmlformats-officedocument.spreadsheetml.table+xml"/>
  <Override PartName="/xl/worksheets/sheet14.xml" ContentType="application/vnd.openxmlformats-officedocument.spreadsheetml.worksheet+xml"/>
  <Override PartName="/xl/comments13.xml" ContentType="application/vnd.openxmlformats-officedocument.spreadsheetml.comments+xml"/>
  <Override PartName="/xl/tables/table13.xml" ContentType="application/vnd.openxmlformats-officedocument.spreadsheetml.table+xml"/>
  <Override PartName="/xl/worksheets/sheet15.xml" ContentType="application/vnd.openxmlformats-officedocument.spreadsheetml.worksheet+xml"/>
  <Override PartName="/xl/comments14.xml" ContentType="application/vnd.openxmlformats-officedocument.spreadsheetml.comments+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695de7b4cd44c59" /></Relationships>
</file>

<file path=xl/workbook.xml><?xml version="1.0" encoding="utf-8"?>
<x:workbook xmlns:x="http://schemas.openxmlformats.org/spreadsheetml/2006/main">
  <x:sheets>
    <x:sheet xmlns:r="http://schemas.openxmlformats.org/officeDocument/2006/relationships" name="开始" sheetId="1" r:id="Rcefbeb242f744e53"/>
    <x:sheet xmlns:r="http://schemas.openxmlformats.org/officeDocument/2006/relationships" name="案件索引" sheetId="2" r:id="Rf8da515630bd4973"/>
    <x:sheet xmlns:r="http://schemas.openxmlformats.org/officeDocument/2006/relationships" name="来源登记" sheetId="3" r:id="R4381184588014531"/>
    <x:sheet xmlns:r="http://schemas.openxmlformats.org/officeDocument/2006/relationships" name="主体登记" sheetId="4" r:id="Rb9aa193b2dbd430f"/>
    <x:sheet xmlns:r="http://schemas.openxmlformats.org/officeDocument/2006/relationships" name="事实标注" sheetId="5" r:id="Rf7eab96d5a3b4c9f"/>
    <x:sheet xmlns:r="http://schemas.openxmlformats.org/officeDocument/2006/relationships" name="披露标注" sheetId="6" r:id="Raa01c841a52441d0"/>
    <x:sheet xmlns:r="http://schemas.openxmlformats.org/officeDocument/2006/relationships" name="复核裁定" sheetId="7" r:id="R1ae2e48dd8554970"/>
    <x:sheet xmlns:r="http://schemas.openxmlformats.org/officeDocument/2006/relationships" name="摘要验收" sheetId="8" r:id="R4cce45e277e940ef"/>
    <x:sheet xmlns:r="http://schemas.openxmlformats.org/officeDocument/2006/relationships" name="技术反馈" sheetId="9" r:id="R6b7535157e464104"/>
    <x:sheet xmlns:r="http://schemas.openxmlformats.org/officeDocument/2006/relationships" name="规则参考" sheetId="10" r:id="Rcf352786d2e54092"/>
    <x:sheet xmlns:r="http://schemas.openxmlformats.org/officeDocument/2006/relationships" name="边界规则" sheetId="11" r:id="R9f84e222453041a9"/>
    <x:sheet xmlns:r="http://schemas.openxmlformats.org/officeDocument/2006/relationships" name="法源目录" sheetId="12" r:id="Rbbcf587c0fb14948"/>
    <x:sheet xmlns:r="http://schemas.openxmlformats.org/officeDocument/2006/relationships" name="原始分类清单" sheetId="13" r:id="Rec8f778c5d0443d8"/>
    <x:sheet xmlns:r="http://schemas.openxmlformats.org/officeDocument/2006/relationships" name="填写示例" sheetId="14" r:id="R65c9885f04ea4922"/>
    <x:sheet xmlns:r="http://schemas.openxmlformats.org/officeDocument/2006/relationships" name="标注选项" sheetId="15" r:id="R451767630911417d"/>
  </x:sheets>
</x:workbook>
</file>

<file path=xl/comments1.xml><?xml version="1.0" encoding="utf-8"?>
<x:comments xmlns:x="http://schemas.openxmlformats.org/spreadsheetml/2006/main">
  <x:authors>
    <x:author/>
  </x:authors>
  <x:commentList>
    <x:comment ref="A5" authorId="0">
      <x:text>
        <x:r>
          <x:t>沿用LA-001至005；医疗样例固定GS-001至005，不能混号。</x:t>
        </x:r>
      </x:text>
    </x:comment>
    <x:comment ref="B5" authorId="0">
      <x:text>
        <x:r>
          <x:t>案件归类，不等于所有争议已覆盖。</x:t>
        </x:r>
      </x:text>
    </x:comment>
    <x:comment ref="C5" authorId="0">
      <x:text>
        <x:r>
          <x:t>来源登记中的文件名或材料ID。</x:t>
        </x:r>
      </x:text>
    </x:comment>
    <x:comment ref="D5" authorId="0">
      <x:text>
        <x:r>
          <x:t>记录与原文的分界，进入输入前须复核。</x:t>
        </x:r>
      </x:text>
    </x:comment>
    <x:comment ref="E5" authorId="0">
      <x:text>
        <x:r>
          <x:t>仅原始清单非空信息类型行计数，非金标准事实数。</x:t>
        </x:r>
      </x:text>
    </x:comment>
    <x:comment ref="F5" authorId="0">
      <x:text>
        <x:r>
          <x:t>同一案件全部版本归同一组。
允许值：校准集、保留评估集、扩展候选、暂不入集</x:t>
        </x:r>
      </x:text>
    </x:comment>
    <x:comment ref="G5" authorId="0">
      <x:text>
        <x:r>
          <x:t>预置问题来自资料审查，非模型实测。</x:t>
        </x:r>
      </x:text>
    </x:comment>
    <x:comment ref="H5" authorId="0">
      <x:text>
        <x:r>
          <x:t>本轮固定为事实摘要辅助与披露控制。</x:t>
        </x:r>
      </x:text>
    </x:comment>
    <x:comment ref="I5" authorId="0">
      <x:text>
        <x:r>
          <x:t>从文书核验；无记载填未载明。</x:t>
        </x:r>
      </x:text>
    </x:comment>
    <x:comment ref="J5" authorId="0">
      <x:text>
        <x:r>
          <x:t>分配后填真实内部账号或编号。</x:t>
        </x:r>
      </x:text>
    </x:comment>
    <x:comment ref="K5" authorId="0">
      <x:text>
        <x:r>
          <x:t>须与A不同，独立初标。</x:t>
        </x:r>
      </x:text>
    </x:comment>
    <x:comment ref="L5" authorId="0">
      <x:text>
        <x:r>
          <x:t>处理分歧和审核结论。</x:t>
        </x:r>
      </x:text>
    </x:comment>
    <x:comment ref="M5" authorId="0">
      <x:text>
        <x:r>
          <x:t>通过复核裁定后才能设为已复核。
允许值：待标注、标注中、待复核、已复核、暂缓</x:t>
        </x:r>
      </x:text>
    </x:comment>
    <x:comment ref="N5" authorId="0">
      <x:text>
        <x:r>
          <x:t>本轮v0.1，修改须留版本。</x:t>
        </x:r>
      </x:text>
    </x:comment>
    <x:comment ref="O5" authorId="0">
      <x:text>
        <x:r>
          <x:t>完成条件、问题ID及限制。</x:t>
        </x:r>
      </x:text>
    </x:comment>
  </x:commentList>
</x:comments>
</file>

<file path=xl/comments2.xml><?xml version="1.0" encoding="utf-8"?>
<x:comments xmlns:x="http://schemas.openxmlformats.org/spreadsheetml/2006/main">
  <x:authors>
    <x:author/>
  </x:authors>
  <x:commentList>
    <x:comment ref="A5" authorId="0">
      <x:text>
        <x:r>
          <x:t>唯一编号，新增衍生文件另编号。</x:t>
        </x:r>
      </x:text>
    </x:comment>
    <x:comment ref="B5" authorId="0">
      <x:text>
        <x:r>
          <x:t>规则资料填GLOBAL，案件填索引ID。</x:t>
        </x:r>
      </x:text>
    </x:comment>
    <x:comment ref="C5" authorId="0">
      <x:text>
        <x:r>
          <x:t>保留准确文件名；包内文件写完整层级。</x:t>
        </x:r>
      </x:text>
    </x:comment>
    <x:comment ref="D5" authorId="0">
      <x:text>
        <x:r>
          <x:t>原件/参考摘要/已有分类分离。
允许值：原始材料、已有参考摘要、已有分类、混合材料待分离、规则资料、状态证据、任务分工、模型输出、补充材料</x:t>
        </x:r>
      </x:text>
    </x:comment>
    <x:comment ref="E5" authorId="0">
      <x:text>
        <x:r>
          <x:t>原文件哈希；未计算留待技术补齐，不猜。</x:t>
        </x:r>
      </x:text>
    </x:comment>
    <x:comment ref="F5" authorId="0">
      <x:text>
        <x:r>
          <x:t>资料接收版本及日期。</x:t>
        </x:r>
      </x:text>
    </x:comment>
    <x:comment ref="G5" authorId="0">
      <x:text>
        <x:r>
          <x:t>描述剔除参考摘要、表格、说明的范围。</x:t>
        </x:r>
      </x:text>
    </x:comment>
    <x:comment ref="H5" authorId="0">
      <x:text>
        <x:r>
          <x:t>转换、分离、OCR是否完成及验证状态。</x:t>
        </x:r>
      </x:text>
    </x:comment>
    <x:comment ref="I5" authorId="0">
      <x:text>
        <x:r>
          <x:t>未核验不能作为已审核材料。
允许值：待核验、核验中、已核验、有冲突、暂不适用</x:t>
        </x:r>
      </x:text>
    </x:comment>
    <x:comment ref="J5" authorId="0">
      <x:text>
        <x:r>
          <x:t>实际完成后填写。</x:t>
        </x:r>
      </x:text>
    </x:comment>
    <x:comment ref="K5" authorId="0">
      <x:text>
        <x:r>
          <x:t>受控相对路径或原位置；不填公开下载链接。</x:t>
        </x:r>
      </x:text>
    </x:comment>
  </x:commentList>
</x:comments>
</file>

<file path=xl/comments3.xml><?xml version="1.0" encoding="utf-8"?>
<x:comments xmlns:x="http://schemas.openxmlformats.org/spreadsheetml/2006/main">
  <x:authors>
    <x:author/>
  </x:authors>
  <x:commentList>
    <x:comment ref="A5" authorId="0">
      <x:text>
        <x:r>
          <x:t>例如LA-001-E001-A，单行唯一。</x:t>
        </x:r>
      </x:text>
    </x:comment>
    <x:comment ref="B5" authorId="0">
      <x:text>
        <x:r>
          <x:t>必须存在于案件索引。</x:t>
        </x:r>
      </x:text>
    </x:comment>
    <x:comment ref="C5" authorId="0">
      <x:text>
        <x:r>
          <x:t>例如LA-001-P01，跨文书同主体复用。</x:t>
        </x:r>
      </x:text>
    </x:comment>
    <x:comment ref="D5" authorId="0">
      <x:text>
        <x:r>
          <x:t>仅照原文登记，不反向识别某某。</x:t>
        </x:r>
      </x:text>
    </x:comment>
    <x:comment ref="E5" authorId="0">
      <x:text>
        <x:r>
          <x:t>公司与自然人不能因清单错标而合并。
允许值：自然人、法人或组织、机关或机构、主体不明</x:t>
        </x:r>
      </x:text>
    </x:comment>
    <x:comment ref="F5" authorId="0">
      <x:text>
        <x:r>
          <x:t>如劳动者；一审原告、二审被上诉人。</x:t>
        </x:r>
      </x:text>
    </x:comment>
    <x:comment ref="G5" authorId="0">
      <x:text>
        <x:r>
          <x:t>如劳动者_A、公司_B，全案一致。</x:t>
        </x:r>
      </x:text>
    </x:comment>
    <x:comment ref="H5" authorId="0">
      <x:text>
        <x:r>
          <x:t>关联来源登记。</x:t>
        </x:r>
      </x:text>
    </x:comment>
    <x:comment ref="I5" authorId="0">
      <x:text>
        <x:r>
          <x:t>含锚点类型、段落或单元格及短引文。</x:t>
        </x:r>
      </x:text>
    </x:comment>
    <x:comment ref="J5" authorId="0">
      <x:text>
        <x:r>
          <x:t>同名不自动同人；歧义保留多个主体。</x:t>
        </x:r>
      </x:text>
    </x:comment>
    <x:comment ref="K5" authorId="0">
      <x:text>
        <x:r>
          <x:t>独立填写，不共享初标答案。</x:t>
        </x:r>
      </x:text>
    </x:comment>
    <x:comment ref="L5" authorId="0">
      <x:text>
        <x:r>
          <x:t>例如B01-A。</x:t>
        </x:r>
      </x:text>
    </x:comment>
    <x:comment ref="M5" authorId="0">
      <x:text>
        <x:r>
          <x:t>初标后进入待复核。
允许值：待标注、待复核、有分歧、已裁定、已撤回</x:t>
        </x:r>
      </x:text>
    </x:comment>
    <x:comment ref="N5" authorId="0">
      <x:text>
        <x:r>
          <x:t>系统公式，仅检查部分格式，不代表法律审核。</x:t>
        </x:r>
      </x:text>
    </x:comment>
  </x:commentList>
</x:comments>
</file>

<file path=xl/comments4.xml><?xml version="1.0" encoding="utf-8"?>
<x:comments xmlns:x="http://schemas.openxmlformats.org/spreadsheetml/2006/main">
  <x:authors>
    <x:author/>
  </x:authors>
  <x:commentList>
    <x:comment ref="A5" authorId="0">
      <x:text>
        <x:r>
          <x:t>例如LA-002-F001-A；每位标注员不同，单行唯一。</x:t>
        </x:r>
      </x:text>
    </x:comment>
    <x:comment ref="B5" authorId="0">
      <x:text>
        <x:r>
          <x:t>必须存在于案件索引。</x:t>
        </x:r>
      </x:text>
    </x:comment>
    <x:comment ref="C5" authorId="0">
      <x:text>
        <x:r>
          <x:t>复核时对齐同一命题，例如LA-002-F001；未对齐可先用自编ID。</x:t>
        </x:r>
      </x:text>
    </x:comment>
    <x:comment ref="D5" authorId="0">
      <x:text>
        <x:r>
          <x:t>真实原件或衍生正文材料ID，不能以摘要替代。</x:t>
        </x:r>
      </x:text>
    </x:comment>
    <x:comment ref="E5" authorId="0">
      <x:text>
        <x:r>
          <x:t>例如抽取文本05_02.txt P20；不是原Word页码。</x:t>
        </x:r>
      </x:text>
    </x:comment>
    <x:comment ref="F5" authorId="0">
      <x:text>
        <x:r>
          <x:t>短引文保留否定、条件和上下文指代。</x:t>
        </x:r>
      </x:text>
    </x:comment>
    <x:comment ref="G5" authorId="0">
      <x:text>
        <x:r>
          <x:t>为后续结构化接口提供分类。
允许值：实体属性、主体关系、事件、日期期间、金额、证据描述、程序事项、裁判结果</x:t>
        </x:r>
      </x:text>
    </x:comment>
    <x:comment ref="H5" authorId="0">
      <x:text>
        <x:r>
          <x:t>关联主体登记；多个主体用分号。</x:t>
        </x:r>
      </x:text>
    </x:comment>
    <x:comment ref="I5" authorId="0">
      <x:text>
        <x:r>
          <x:t>中性描述一件事，不能夹入未获支持的推断。</x:t>
        </x:r>
      </x:text>
    </x:comment>
    <x:comment ref="J5" authorId="0">
      <x:text>
        <x:r>
          <x:t>谁主张、谁认定，不能留空。</x:t>
        </x:r>
      </x:text>
    </x:comment>
    <x:comment ref="K5" authorId="0">
      <x:text>
        <x:r>
          <x:t>主张/认定/说理分开。
允许值：当事人主张、对方抗辩、无争议事实、仲裁认定、一审认定、二审认定、裁判说理、证据记载、待核实、仅参考摘要</x:t>
        </x:r>
      </x:text>
    </x:comment>
    <x:comment ref="L5" authorId="0">
      <x:text>
        <x:r>
          <x:t>仲裁、一审、二审；前案与本案分开。</x:t>
        </x:r>
      </x:text>
    </x:comment>
    <x:comment ref="M5" authorId="0">
      <x:text>
        <x:r>
          <x:t>保留原值→YYYY-MM-DD；不完整日期保持精度。</x:t>
        </x:r>
      </x:text>
    </x:comment>
    <x:comment ref="N5" authorId="0">
      <x:text>
        <x:r>
          <x:t>如62403.86元；仲裁裁决金额；税前未知。</x:t>
        </x:r>
      </x:text>
    </x:comment>
    <x:comment ref="O5" authorId="0">
      <x:text>
        <x:r>
          <x:t>判决提及银行流水不等于已经提供流水。
允许值：已提供原件或副本、仅文书提及、未提供、无法判断、不适用</x:t>
        </x:r>
      </x:text>
    </x:comment>
    <x:comment ref="P5" authorId="0">
      <x:text>
        <x:r>
          <x:t>证明/反驳/依赖关系，写清方向。</x:t>
        </x:r>
      </x:text>
    </x:comment>
    <x:comment ref="Q5" authorId="0">
      <x:text>
        <x:r>
          <x:t>与技术反馈或复核裁定关联，无冲突填无。</x:t>
        </x:r>
      </x:text>
    </x:comment>
    <x:comment ref="R5" authorId="0">
      <x:text>
        <x:r>
          <x:t>事实层的摘要必要性，不等于允许外传。
允许值：必须、条件必要、不必要、待判断</x:t>
        </x:r>
      </x:text>
    </x:comment>
    <x:comment ref="S5" authorId="0">
      <x:text>
        <x:r>
          <x:t>为何必要/不必要，条件必要须写触发条件。</x:t>
        </x:r>
      </x:text>
    </x:comment>
    <x:comment ref="T5" authorId="0">
      <x:text>
        <x:r>
          <x:t>填写内部编号。</x:t>
        </x:r>
      </x:text>
    </x:comment>
    <x:comment ref="U5" authorId="0">
      <x:text>
        <x:r>
          <x:t>例如B01-A；不能覆盖B的初标。</x:t>
        </x:r>
      </x:text>
    </x:comment>
    <x:comment ref="V5" authorId="0">
      <x:text>
        <x:r>
          <x:t>裁定前不设已裁定。
允许值：待标注、待复核、有分歧、已裁定、已撤回</x:t>
        </x:r>
      </x:text>
    </x:comment>
    <x:comment ref="W5" authorId="0">
      <x:text>
        <x:r>
          <x:t>只查ID、来源、立场等结构缺漏。</x:t>
        </x:r>
      </x:text>
    </x:comment>
  </x:commentList>
</x:comments>
</file>

<file path=xl/comments5.xml><?xml version="1.0" encoding="utf-8"?>
<x:comments xmlns:x="http://schemas.openxmlformats.org/spreadsheetml/2006/main">
  <x:authors>
    <x:author/>
  </x:authors>
  <x:commentList>
    <x:comment ref="A5" authorId="0">
      <x:text>
        <x:r>
          <x:t>例如LA-001-D001-A，单行唯一。</x:t>
        </x:r>
      </x:text>
    </x:comment>
    <x:comment ref="B5" authorId="0">
      <x:text>
        <x:r>
          <x:t>必须存在于案件索引。</x:t>
        </x:r>
      </x:text>
    </x:comment>
    <x:comment ref="C5" authorId="0">
      <x:text>
        <x:r>
          <x:t>可填多个，用分号；纯无关隐私可只关联主体。</x:t>
        </x:r>
      </x:text>
    </x:comment>
    <x:comment ref="D5" authorId="0">
      <x:text>
        <x:r>
          <x:t>应可直接定位被处理的片段。</x:t>
        </x:r>
      </x:text>
    </x:comment>
    <x:comment ref="E5" authorId="0">
      <x:text>
        <x:r>
          <x:t>仅本地保存；禁止为举例补全匿名身份。</x:t>
        </x:r>
      </x:text>
    </x:comment>
    <x:comment ref="F5" authorId="0">
      <x:text>
        <x:r>
          <x:t>引用规则参考编号并说明对象；允许多重属性。</x:t>
        </x:r>
      </x:text>
    </x:comment>
    <x:comment ref="G5" authorId="0">
      <x:text>
        <x:r>
          <x:t>本轮事实摘要；新用途需另行判断。</x:t>
        </x:r>
      </x:text>
    </x:comment>
    <x:comment ref="H5" authorId="0">
      <x:text>
        <x:r>
          <x:t>不得直接沿用必须保留等混合标签。
允许值：必须、条件必要、不必要、待判断</x:t>
        </x:r>
      </x:text>
    </x:comment>
    <x:comment ref="I5" authorId="0">
      <x:text>
        <x:r>
          <x:t>如仅主体角色、年月、必要日期、争议金额。</x:t>
        </x:r>
      </x:text>
    </x:comment>
    <x:comment ref="J5" authorId="0">
      <x:text>
        <x:r>
          <x:t>复核是流程，不是转换动作。
允许值：保留、假名化、概括、删除、待定</x:t>
        </x:r>
      </x:text>
    </x:comment>
    <x:comment ref="K5" authorId="0">
      <x:text>
        <x:r>
          <x:t>写出精确预期文本；删除填不进入输出，并指明删除范围。</x:t>
        </x:r>
      </x:text>
    </x:comment>
    <x:comment ref="L5" authorId="0">
      <x:text>
        <x:r>
          <x:t>写可验证条件，不能只写视情况。</x:t>
        </x:r>
      </x:text>
    </x:comment>
    <x:comment ref="M5" authorId="0">
      <x:text>
        <x:r>
          <x:t>未知不能按已满足处理。
允许值：已满足、未满足、未知、不适用</x:t>
        </x:r>
      </x:text>
    </x:comment>
    <x:comment ref="N5" authorId="0">
      <x:text>
        <x:r>
          <x:t>本地/受托/提供/公开/跨境分开。
允许值：本地内部、拟境内受托处理、拟向其他处理者提供、拟公开、拟跨境、待确认</x:t>
        </x:r>
      </x:text>
    </x:comment>
    <x:comment ref="O5" authorId="0">
      <x:text>
        <x:r>
          <x:t>授权范围、接收方角色、保存训练访问等证据；缺则未提供。</x:t>
        </x:r>
      </x:text>
    </x:comment>
    <x:comment ref="P5" authorId="0">
      <x:text>
        <x:r>
          <x:t>法律、合同、程序、项目控制分别定位。
允许值：法律限制、程序措施、合同限制、服务商规则、项目控制、无已知限制、待确认</x:t>
        </x:r>
      </x:text>
    </x:comment>
    <x:comment ref="Q5" authorId="0">
      <x:text>
        <x:r>
          <x:t>R-PI/R-OT/BND/LAW编号及具体条款版本。</x:t>
        </x:r>
      </x:text>
    </x:comment>
    <x:comment ref="R5" authorId="0">
      <x:text>
        <x:r>
          <x:t>条件通过仍需技术执行核验，不自动发送。
允许值：仅本地待核验、条件通过待执行核验、禁止当前处理、待补事实、不适用</x:t>
        </x:r>
      </x:text>
    </x:comment>
    <x:comment ref="S5" authorId="0">
      <x:text>
        <x:r>
          <x:t>具体缺哪项事实、权限、法源或环境证据。</x:t>
        </x:r>
      </x:text>
    </x:comment>
    <x:comment ref="T5" authorId="0">
      <x:text>
        <x:r>
          <x:t>填写内部编号。</x:t>
        </x:r>
      </x:text>
    </x:comment>
    <x:comment ref="U5" authorId="0">
      <x:text>
        <x:r>
          <x:t>与事实初标批次对应。</x:t>
        </x:r>
      </x:text>
    </x:comment>
    <x:comment ref="V5" authorId="0">
      <x:text>
        <x:r>
          <x:t>结论由复核裁定表确认。
允许值：待标注、待复核、有分歧、已裁定、已撤回</x:t>
        </x:r>
      </x:text>
    </x:comment>
    <x:comment ref="W5" authorId="0">
      <x:text>
        <x:r>
          <x:t>检查条件和结果等格式缺漏，不能替代法律判断。</x:t>
        </x:r>
      </x:text>
    </x:comment>
  </x:commentList>
</x:comments>
</file>

<file path=xl/comments6.xml><?xml version="1.0" encoding="utf-8"?>
<x:comments xmlns:x="http://schemas.openxmlformats.org/spreadsheetml/2006/main">
  <x:authors>
    <x:author/>
  </x:authors>
  <x:commentList>
    <x:comment ref="A5" authorId="0">
      <x:text>
        <x:r>
          <x:t>例如ADJ-001。</x:t>
        </x:r>
      </x:text>
    </x:comment>
    <x:comment ref="B5" authorId="0">
      <x:text>
        <x:r>
          <x:t>规则问题填GLOBAL。</x:t>
        </x:r>
      </x:text>
    </x:comment>
    <x:comment ref="C5" authorId="0">
      <x:text>
        <x:r>
          <x:t>事实、披露、摘要或规则记录ID，分号分隔。</x:t>
        </x:r>
      </x:text>
    </x:comment>
    <x:comment ref="D5" authorId="0">
      <x:text>
        <x:r>
          <x:t>事实分歧、边界分歧、法律依据或数据质量。</x:t>
        </x:r>
      </x:text>
    </x:comment>
    <x:comment ref="E5" authorId="0">
      <x:text>
        <x:r>
          <x:t>原样保存关键差异。</x:t>
        </x:r>
      </x:text>
    </x:comment>
    <x:comment ref="F5" authorId="0">
      <x:text>
        <x:r>
          <x:t>不能由A代填B意见。</x:t>
        </x:r>
      </x:text>
    </x:comment>
    <x:comment ref="G5" authorId="0">
      <x:text>
        <x:r>
          <x:t>分开写已确认和待补。</x:t>
        </x:r>
      </x:text>
    </x:comment>
    <x:comment ref="H5" authorId="0">
      <x:text>
        <x:r>
          <x:t>决定采用/并列/不确定/退回，给可执行值。</x:t>
        </x:r>
      </x:text>
    </x:comment>
    <x:comment ref="I5" authorId="0">
      <x:text>
        <x:r>
          <x:t>来源锚点、规则版本与适用条件。</x:t>
        </x:r>
      </x:text>
    </x:comment>
    <x:comment ref="J5" authorId="0">
      <x:text>
        <x:r>
          <x:t>当前案或可推广规则；不能默认全案外发授权。</x:t>
        </x:r>
      </x:text>
    </x:comment>
    <x:comment ref="K5" authorId="0">
      <x:text>
        <x:r>
          <x:t>落实修改的具体位置。</x:t>
        </x:r>
      </x:text>
    </x:comment>
    <x:comment ref="L5" authorId="0">
      <x:text>
        <x:r>
          <x:t>有权限的实际复核人。</x:t>
        </x:r>
      </x:text>
    </x:comment>
    <x:comment ref="M5" authorId="0">
      <x:text>
        <x:r>
          <x:t>实际日期YYYY-MM-DD。</x:t>
        </x:r>
      </x:text>
    </x:comment>
    <x:comment ref="N5" authorId="0">
      <x:text>
        <x:r>
          <x:t>本次依据的版本。</x:t>
        </x:r>
      </x:text>
    </x:comment>
    <x:comment ref="O5" authorId="0">
      <x:text>
        <x:r>
          <x:t>未解决可需补材料。
允许值：待裁定、需补材料、已裁定、撤回重审</x:t>
        </x:r>
      </x:text>
    </x:comment>
    <x:comment ref="P5" authorId="0">
      <x:text>
        <x:r>
          <x:t>已裁定须具备人、日期、结果和理由。</x:t>
        </x:r>
      </x:text>
    </x:comment>
  </x:commentList>
</x:comments>
</file>

<file path=xl/comments7.xml><?xml version="1.0" encoding="utf-8"?>
<x:comments xmlns:x="http://schemas.openxmlformats.org/spreadsheetml/2006/main">
  <x:authors>
    <x:author/>
  </x:authors>
  <x:commentList>
    <x:comment ref="A5" authorId="0">
      <x:text>
        <x:r>
          <x:t>例如GS-002-S001。</x:t>
        </x:r>
      </x:text>
    </x:comment>
    <x:comment ref="B5" authorId="0">
      <x:text>
        <x:r>
          <x:t>同案件多条验收要求。</x:t>
        </x:r>
      </x:text>
    </x:comment>
    <x:comment ref="C5" authorId="0">
      <x:text>
        <x:r>
          <x:t>未试跑留空；由技术提供可复现编号。</x:t>
        </x:r>
      </x:text>
    </x:comment>
    <x:comment ref="D5" authorId="0">
      <x:text>
        <x:r>
          <x:t>每行只评一个可判定要求。
允许值：核心事实覆盖、事实有据、主体一致、程序与立场、日期金额准确、争议保留、最小必要、隐私泄漏、保密限制、可追溯性</x:t>
        </x:r>
      </x:text>
    </x:comment>
    <x:comment ref="E5" authorId="0">
      <x:text>
        <x:r>
          <x:t>仅采用经裁定事实；未审核的标注不能作定论。</x:t>
        </x:r>
      </x:text>
    </x:comment>
    <x:comment ref="F5" authorId="0">
      <x:text>
        <x:r>
          <x:t>写必须出现/不得出现/须注明争议，允许语义等价。</x:t>
        </x:r>
      </x:text>
    </x:comment>
    <x:comment ref="G5" authorId="0">
      <x:text>
        <x:r>
          <x:t>已有摘要只供参照，错误需登记反馈。</x:t>
        </x:r>
      </x:text>
    </x:comment>
    <x:comment ref="H5" authorId="0">
      <x:text>
        <x:r>
          <x:t>真实运行后填写；不把示例冒充输出。</x:t>
        </x:r>
      </x:text>
    </x:comment>
    <x:comment ref="I5" authorId="0">
      <x:text>
        <x:r>
          <x:t>未试跑与无法评价不同。
允许值：未试跑、通过、不通过、无法评价</x:t>
        </x:r>
      </x:text>
    </x:comment>
    <x:comment ref="J5" authorId="0">
      <x:text>
        <x:r>
          <x:t>说明遗漏、幻觉或不适用原因。</x:t>
        </x:r>
      </x:text>
    </x:comment>
    <x:comment ref="K5" authorId="0">
      <x:text>
        <x:r>
          <x:t>有问题时关联技术反馈。</x:t>
        </x:r>
      </x:text>
    </x:comment>
    <x:comment ref="L5" authorId="0">
      <x:text>
        <x:r>
          <x:t>实际人工评估人。</x:t>
        </x:r>
      </x:text>
    </x:comment>
    <x:comment ref="M5" authorId="0">
      <x:text>
        <x:r>
          <x:t>记录对应版本。</x:t>
        </x:r>
      </x:text>
    </x:comment>
    <x:comment ref="N5" authorId="0">
      <x:text>
        <x:r>
          <x:t>通过须有运行、实际证据和评价人。</x:t>
        </x:r>
      </x:text>
    </x:comment>
  </x:commentList>
</x:comments>
</file>

<file path=xl/comments8.xml><?xml version="1.0" encoding="utf-8"?>
<x:comments xmlns:x="http://schemas.openxmlformats.org/spreadsheetml/2006/main">
  <x:authors>
    <x:author/>
  </x:authors>
  <x:commentList>
    <x:comment ref="A5" authorId="0">
      <x:text>
        <x:r>
          <x:t>FB-001起，单行唯一。</x:t>
        </x:r>
      </x:text>
    </x:comment>
    <x:comment ref="B5" authorId="0">
      <x:text>
        <x:r>
          <x:t>全局规则填GLOBAL。</x:t>
        </x:r>
      </x:text>
    </x:comment>
    <x:comment ref="C5" authorId="0">
      <x:text>
        <x:r>
          <x:t>资料审查与真实试跑分开。
允许值：资料审查、真实试跑、人工标注分歧、回归测试</x:t>
        </x:r>
      </x:text>
    </x:comment>
    <x:comment ref="D5" authorId="0">
      <x:text>
        <x:r>
          <x:t>无运行填未试跑，不造日志。</x:t>
        </x:r>
      </x:text>
    </x:comment>
    <x:comment ref="E5" authorId="0">
      <x:text>
        <x:r>
          <x:t>真实试跑必须记录commit/工作区差异、模型和规则。</x:t>
        </x:r>
      </x:text>
    </x:comment>
    <x:comment ref="F5" authorId="0">
      <x:text>
        <x:r>
          <x:t>指向原始单元格、段落、事实或披露ID。</x:t>
        </x:r>
      </x:text>
    </x:comment>
    <x:comment ref="G5" authorId="0">
      <x:text>
        <x:r>
          <x:t>只写观察到的现象。</x:t>
        </x:r>
      </x:text>
    </x:comment>
    <x:comment ref="H5" authorId="0">
      <x:text>
        <x:r>
          <x:t>给可验收要求，不只说效果不好。</x:t>
        </x:r>
      </x:text>
    </x:comment>
    <x:comment ref="I5" authorId="0">
      <x:text>
        <x:r>
          <x:t>先定位问题层，不把资料错误记为模型错误。
允许值：原始资料问题、标注边界不清、法律规则待核验、解析错误、抽取遗漏或错配、转换过度或不足、摘要遗漏或虚构、权限或门禁错误、输入答案污染、数据覆盖不足</x:t>
        </x:r>
      </x:text>
    </x:comment>
    <x:comment ref="J5" authorId="0">
      <x:text>
        <x:r>
          <x:t>P0阻断放行，P1影响核心，P2一般。
允许值：P0阻断、P1重要、P2一般</x:t>
        </x:r>
      </x:text>
    </x:comment>
    <x:comment ref="K5" authorId="0">
      <x:text>
        <x:r>
          <x:t>具体可回答的问题，法条适用/标签/范围。</x:t>
        </x:r>
      </x:text>
    </x:comment>
    <x:comment ref="L5" authorId="0">
      <x:text>
        <x:r>
          <x:t>填ADJ-ID、规则或标签修订位置。</x:t>
        </x:r>
      </x:text>
    </x:comment>
    <x:comment ref="M5" authorId="0">
      <x:text>
        <x:r>
          <x:t>记录修改点及可复现版本。</x:t>
        </x:r>
      </x:text>
    </x:comment>
    <x:comment ref="N5" authorId="0">
      <x:text>
        <x:r>
          <x:t>待分配时留空。</x:t>
        </x:r>
      </x:text>
    </x:comment>
    <x:comment ref="O5" authorId="0">
      <x:text>
        <x:r>
          <x:t>关闭前必须有重跑或复核证据。
允许值：待分析、待法学、待技术、待补材料、待重跑、已验证关闭、暂缓</x:t>
        </x:r>
      </x:text>
    </x:comment>
    <x:comment ref="P5" authorId="0">
      <x:text>
        <x:r>
          <x:t>保留原运行，新增重跑ID；资料问题可填复核证据。</x:t>
        </x:r>
      </x:text>
    </x:comment>
    <x:comment ref="Q5" authorId="0">
      <x:text>
        <x:r>
          <x:t>实际核验后填写。</x:t>
        </x:r>
      </x:text>
    </x:comment>
    <x:comment ref="R5" authorId="0">
      <x:text>
        <x:r>
          <x:t>已验证关闭须存在证据及关闭结论。</x:t>
        </x:r>
      </x:text>
    </x:comment>
  </x:commentList>
</x:comments>
</file>

<file path=xl/comments9.xml><?xml version="1.0" encoding="utf-8"?>
<x:comments xmlns:x="http://schemas.openxmlformats.org/spreadsheetml/2006/main">
  <x:authors>
    <x:author/>
  </x:authors>
  <x:commentList>
    <x:comment ref="A5" authorId="0">
      <x:text>
        <x:r>
          <x:t>规则ID</x:t>
        </x:r>
      </x:text>
    </x:comment>
    <x:comment ref="B5" authorId="0">
      <x:text>
        <x:r>
          <x:t>对象类型（原）</x:t>
        </x:r>
      </x:text>
    </x:comment>
    <x:comment ref="C5" authorId="0">
      <x:text>
        <x:r>
          <x:t>常见载体（原）</x:t>
        </x:r>
      </x:text>
    </x:comment>
    <x:comment ref="D5" authorId="0">
      <x:text>
        <x:r>
          <x:t>敏感性（原）</x:t>
        </x:r>
      </x:text>
    </x:comment>
    <x:comment ref="E5" authorId="0">
      <x:text>
        <x:r>
          <x:t>法条位置（原）</x:t>
        </x:r>
      </x:text>
    </x:comment>
    <x:comment ref="F5" authorId="0">
      <x:text>
        <x:r>
          <x:t>法条摘录（原，待核验）</x:t>
        </x:r>
      </x:text>
    </x:comment>
    <x:comment ref="G5" authorId="0">
      <x:text>
        <x:r>
          <x:t>规范内容（原）</x:t>
        </x:r>
      </x:text>
    </x:comment>
    <x:comment ref="H5" authorId="0">
      <x:text>
        <x:r>
          <x:t>处理方式（原）</x:t>
        </x:r>
      </x:text>
    </x:comment>
    <x:comment ref="I5" authorId="0">
      <x:text>
        <x:r>
          <x:t>性质（原）</x:t>
        </x:r>
      </x:text>
    </x:comment>
    <x:comment ref="J5" authorId="0">
      <x:text>
        <x:r>
          <x:t>复核要求（原）</x:t>
        </x:r>
      </x:text>
    </x:comment>
    <x:comment ref="K5" authorId="0">
      <x:text>
        <x:r>
          <x:t>触发点（原）</x:t>
        </x:r>
      </x:text>
    </x:comment>
    <x:comment ref="L5" authorId="0">
      <x:text>
        <x:r>
          <x:t>源文件与锚点</x:t>
        </x:r>
      </x:text>
    </x:comment>
    <x:comment ref="M5" authorId="0">
      <x:text>
        <x:r>
          <x:t>核验提示</x:t>
        </x:r>
      </x:text>
    </x:comment>
    <x:comment ref="N5" authorId="0">
      <x:text>
        <x:r>
          <x:t>逐条核验后才可形成执行规则。
允许值：待核验、核验中、已核验、有冲突、暂不适用</x:t>
        </x:r>
      </x:text>
    </x:comment>
    <x:comment ref="O5" authorId="0">
      <x:text>
        <x:r>
          <x:t>核验后规则与法源ID</x:t>
        </x:r>
      </x:text>
    </x:comment>
    <x:comment ref="P5" authorId="0">
      <x:text>
        <x:r>
          <x:t>核验人与日期</x:t>
        </x:r>
      </x:text>
    </x:comment>
  </x:commentList>
</x:comments>
</file>

<file path=xl/comments10.xml><?xml version="1.0" encoding="utf-8"?>
<x:comments xmlns:x="http://schemas.openxmlformats.org/spreadsheetml/2006/main">
  <x:authors>
    <x:author/>
  </x:authors>
  <x:commentList>
    <x:comment ref="A5" authorId="0">
      <x:text>
        <x:r>
          <x:t>边界规则ID</x:t>
        </x:r>
      </x:text>
    </x:comment>
    <x:comment ref="B5" authorId="0">
      <x:text>
        <x:r>
          <x:t>来源区域</x:t>
        </x:r>
      </x:text>
    </x:comment>
    <x:comment ref="C5" authorId="0">
      <x:text>
        <x:r>
          <x:t>原始锚点</x:t>
        </x:r>
      </x:text>
    </x:comment>
    <x:comment ref="D5" authorId="0">
      <x:text>
        <x:r>
          <x:t>原文或情形</x:t>
        </x:r>
      </x:text>
    </x:comment>
    <x:comment ref="E5" authorId="0">
      <x:text>
        <x:r>
          <x:t>其余原文内容</x:t>
        </x:r>
      </x:text>
    </x:comment>
    <x:comment ref="F5" authorId="0">
      <x:text>
        <x:r>
          <x:t>原始意见须核验后采用。
允许值：待核验、核验中、已核验、有冲突、暂不适用</x:t>
        </x:r>
      </x:text>
    </x:comment>
    <x:comment ref="G5" authorId="0">
      <x:text>
        <x:r>
          <x:t>核验后结论及依据</x:t>
        </x:r>
      </x:text>
    </x:comment>
  </x:commentList>
</x:comments>
</file>

<file path=xl/comments11.xml><?xml version="1.0" encoding="utf-8"?>
<x:comments xmlns:x="http://schemas.openxmlformats.org/spreadsheetml/2006/main">
  <x:authors>
    <x:author/>
  </x:authors>
  <x:commentList>
    <x:comment ref="A5" authorId="0">
      <x:text>
        <x:r>
          <x:t>法源ID</x:t>
        </x:r>
      </x:text>
    </x:comment>
    <x:comment ref="B5" authorId="0">
      <x:text>
        <x:r>
          <x:t>原表行号</x:t>
        </x:r>
      </x:text>
    </x:comment>
    <x:comment ref="C5" authorId="0">
      <x:text>
        <x:r>
          <x:t>法源层级（原）</x:t>
        </x:r>
      </x:text>
    </x:comment>
    <x:comment ref="D5" authorId="0">
      <x:text>
        <x:r>
          <x:t>名称（原）</x:t>
        </x:r>
      </x:text>
    </x:comment>
    <x:comment ref="E5" authorId="0">
      <x:text>
        <x:r>
          <x:t>条款位置（原）</x:t>
        </x:r>
      </x:text>
    </x:comment>
    <x:comment ref="F5" authorId="0">
      <x:text>
        <x:r>
          <x:t>原文概括（原）</x:t>
        </x:r>
      </x:text>
    </x:comment>
    <x:comment ref="G5" authorId="0">
      <x:text>
        <x:r>
          <x:t>规范内容（原）</x:t>
        </x:r>
      </x:text>
    </x:comment>
    <x:comment ref="H5" authorId="0">
      <x:text>
        <x:r>
          <x:t>适用对象范围（原）</x:t>
        </x:r>
      </x:text>
    </x:comment>
    <x:comment ref="I5" authorId="0">
      <x:text>
        <x:r>
          <x:t>触发条件（原）</x:t>
        </x:r>
      </x:text>
    </x:comment>
    <x:comment ref="J5" authorId="0">
      <x:text>
        <x:r>
          <x:t>法律后果（原）</x:t>
        </x:r>
      </x:text>
    </x:comment>
    <x:comment ref="K5" authorId="0">
      <x:text>
        <x:r>
          <x:t>人工复核（原）</x:t>
        </x:r>
      </x:text>
    </x:comment>
    <x:comment ref="L5" authorId="0">
      <x:text>
        <x:r>
          <x:t>规则性质（原）</x:t>
        </x:r>
      </x:text>
    </x:comment>
    <x:comment ref="M5" authorId="0">
      <x:text>
        <x:r>
          <x:t>版本修订（原）</x:t>
        </x:r>
      </x:text>
    </x:comment>
    <x:comment ref="N5" authorId="0">
      <x:text>
        <x:r>
          <x:t>生效日期（原）</x:t>
        </x:r>
      </x:text>
    </x:comment>
    <x:comment ref="O5" authorId="0">
      <x:text>
        <x:r>
          <x:t>官方核验入口</x:t>
        </x:r>
      </x:text>
    </x:comment>
    <x:comment ref="P5" authorId="0">
      <x:text>
        <x:r>
          <x:t>核验提示</x:t>
        </x:r>
      </x:text>
    </x:comment>
    <x:comment ref="Q5" authorId="0">
      <x:text>
        <x:r>
          <x:t>完成官方来源与适用范围核验后更新。
允许值：待核验、核验中、已核验、有冲突、暂不适用</x:t>
        </x:r>
      </x:text>
    </x:comment>
    <x:comment ref="R5" authorId="0">
      <x:text>
        <x:r>
          <x:t>核验后条款或解释</x:t>
        </x:r>
      </x:text>
    </x:comment>
    <x:comment ref="S5" authorId="0">
      <x:text>
        <x:r>
          <x:t>核验人与日期</x:t>
        </x:r>
      </x:text>
    </x:comment>
  </x:commentList>
</x:comments>
</file>

<file path=xl/comments12.xml><?xml version="1.0" encoding="utf-8"?>
<x:comments xmlns:x="http://schemas.openxmlformats.org/spreadsheetml/2006/main">
  <x:authors>
    <x:author/>
  </x:authors>
  <x:commentList>
    <x:comment ref="A5" authorId="0">
      <x:text>
        <x:r>
          <x:t>原始行ID</x:t>
        </x:r>
      </x:text>
    </x:comment>
    <x:comment ref="B5" authorId="0">
      <x:text>
        <x:r>
          <x:t>案件ID</x:t>
        </x:r>
      </x:text>
    </x:comment>
    <x:comment ref="C5" authorId="0">
      <x:text>
        <x:r>
          <x:t>来源文件</x:t>
        </x:r>
      </x:text>
    </x:comment>
    <x:comment ref="D5" authorId="0">
      <x:text>
        <x:r>
          <x:t>工作表</x:t>
        </x:r>
      </x:text>
    </x:comment>
    <x:comment ref="E5" authorId="0">
      <x:text>
        <x:r>
          <x:t>源行号</x:t>
        </x:r>
      </x:text>
    </x:comment>
    <x:comment ref="F5" authorId="0">
      <x:text>
        <x:r>
          <x:t>信息类型（原）</x:t>
        </x:r>
      </x:text>
    </x:comment>
    <x:comment ref="G5" authorId="0">
      <x:text>
        <x:r>
          <x:t>具体内容（原）</x:t>
        </x:r>
      </x:text>
    </x:comment>
    <x:comment ref="H5" authorId="0">
      <x:text>
        <x:r>
          <x:t>脱敏类别（原）</x:t>
        </x:r>
      </x:text>
    </x:comment>
    <x:comment ref="I5" authorId="0">
      <x:text>
        <x:r>
          <x:t>出现位置（原）</x:t>
        </x:r>
      </x:text>
    </x:comment>
    <x:comment ref="J5" authorId="0">
      <x:text>
        <x:r>
          <x:t>处理结果（原）</x:t>
        </x:r>
      </x:text>
    </x:comment>
    <x:comment ref="K5" authorId="0">
      <x:text>
        <x:r>
          <x:t>经核验后拆分进入事实/披露表。
允许值：待核验、核验中、已核验、有冲突、暂不适用</x:t>
        </x:r>
      </x:text>
    </x:comment>
    <x:comment ref="L5" authorId="0">
      <x:text>
        <x:r>
          <x:t>迁移记录ID或说明</x:t>
        </x:r>
      </x:text>
    </x:comment>
  </x:commentList>
</x:comments>
</file>

<file path=xl/comments13.xml><?xml version="1.0" encoding="utf-8"?>
<x:comments xmlns:x="http://schemas.openxmlformats.org/spreadsheetml/2006/main">
  <x:authors>
    <x:author/>
  </x:authors>
  <x:commentList>
    <x:comment ref="A5" authorId="0">
      <x:text>
        <x:r>
          <x:t>示例ID</x:t>
        </x:r>
      </x:text>
    </x:comment>
    <x:comment ref="B5" authorId="0">
      <x:text>
        <x:r>
          <x:t>性质</x:t>
        </x:r>
      </x:text>
    </x:comment>
    <x:comment ref="C5" authorId="0">
      <x:text>
        <x:r>
          <x:t>对应工作表</x:t>
        </x:r>
      </x:text>
    </x:comment>
    <x:comment ref="D5" authorId="0">
      <x:text>
        <x:r>
          <x:t>关键字段</x:t>
        </x:r>
      </x:text>
    </x:comment>
    <x:comment ref="E5" authorId="0">
      <x:text>
        <x:r>
          <x:t>填写方法或示例</x:t>
        </x:r>
      </x:text>
    </x:comment>
    <x:comment ref="F5" authorId="0">
      <x:text>
        <x:r>
          <x:t>错误做法与边界</x:t>
        </x:r>
      </x:text>
    </x:comment>
  </x:commentList>
</x:comments>
</file>

<file path=xl/comments14.xml><?xml version="1.0" encoding="utf-8"?>
<x:comments xmlns:x="http://schemas.openxmlformats.org/spreadsheetml/2006/main">
  <x:authors>
    <x:author/>
  </x:authors>
  <x:commentList>
    <x:comment ref="A5" authorId="0">
      <x:text>
        <x:r>
          <x:t>字段组</x:t>
        </x:r>
      </x:text>
    </x:comment>
    <x:comment ref="B5" authorId="0">
      <x:text>
        <x:r>
          <x:t>允许值</x:t>
        </x:r>
      </x:text>
    </x:comment>
    <x:comment ref="C5" authorId="0">
      <x:text>
        <x:r>
          <x:t>说明</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1"/>
      <x:color rgb="FF151B24"/>
      <x:name val="Arial Unicode MS"/>
    </x:font>
    <x:font>
      <x:b/>
      <x:sz val="20"/>
      <x:color rgb="FFFFFFFF"/>
      <x:name val="Arial Unicode MS"/>
    </x:font>
    <x:font>
      <x:sz val="11"/>
      <x:color rgb="FF5B6472"/>
      <x:name val="Arial Unicode MS"/>
    </x:font>
    <x:font>
      <x:sz val="10"/>
      <x:color rgb="FF5B6472"/>
      <x:name val="Arial Unicode MS"/>
    </x:font>
    <x:font>
      <x:sz val="11"/>
      <x:color rgb="FF1457A4"/>
      <x:name val="Arial Unicode MS"/>
    </x:font>
    <x:font>
      <x:b/>
      <x:sz val="11"/>
      <x:color rgb="FFFFFFFF"/>
      <x:name val="Arial Unicode MS"/>
    </x:font>
    <x:font>
      <x:b/>
      <x:sz val="20"/>
      <x:color rgb="FFFFFFFF"/>
      <x:name val="Carlito"/>
    </x:font>
    <x:font>
      <x:b/>
      <x:sz val="25"/>
      <x:color rgb="FFFFFFFF"/>
      <x:name val="Arial Unicode MS"/>
    </x:font>
    <x:font>
      <x:b/>
      <x:sz val="11"/>
      <x:color rgb="FF151B24"/>
      <x:name val="Arial Unicode MS"/>
    </x:font>
    <x:font>
      <x:b/>
      <x:sz val="25"/>
      <x:color rgb="FF151B24"/>
      <x:name val="Arial Unicode MS"/>
    </x:font>
    <x:font>
      <x:b/>
      <x:sz val="12"/>
      <x:color rgb="FF151B24"/>
      <x:name val="Arial Unicode MS"/>
    </x:font>
  </x:fonts>
  <x:fills count="6">
    <x:fill>
      <x:patternFill patternType="none"/>
    </x:fill>
    <x:fill>
      <x:patternFill patternType="gray125"/>
    </x:fill>
    <x:fill>
      <x:patternFill patternType="solid">
        <x:fgColor rgb="FF151B24"/>
      </x:patternFill>
    </x:fill>
    <x:fill>
      <x:patternFill patternType="solid">
        <x:fgColor rgb="FFFFFFFF"/>
      </x:patternFill>
    </x:fill>
    <x:fill>
      <x:patternFill patternType="solid">
        <x:fgColor rgb="FFF3F4F6"/>
      </x:patternFill>
    </x:fill>
    <x:fill>
      <x:patternFill patternType="solid">
        <x:fgColor rgb="FFFFF0CC"/>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0" fillId="2" borderId="0" xfId="0" applyNumberFormat="1" applyFont="1" applyFill="1" applyBorder="1"/>
    <x:xf numFmtId="0" fontId="7" fillId="2" borderId="0" xfId="0" applyNumberFormat="1" applyFont="1" applyFill="1" applyBorder="1"/>
    <x:xf numFmtId="0" fontId="8" fillId="2"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10" fillId="4"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10" fillId="5" borderId="0" xfId="0" applyNumberFormat="1" applyFont="1" applyFill="1" applyBorder="1" applyAlignment="1">
      <x:alignment vertical="top" wrapText="1"/>
    </x:xf>
    <x:xf numFmtId="0" fontId="11" fillId="0" borderId="0" xfId="0" applyNumberFormat="1" applyFont="1" applyFill="1" applyBorder="1" applyAlignment="1">
      <x:alignment vertical="top" wrapText="1"/>
    </x:xf>
  </x:cellXfs>
  <x:cellStyles count="1">
    <x:cellStyle name="Normal" xfId="0"/>
  </x:cellStyles>
  <x:dxfs count="6">
    <x:dxf>
      <x:fill>
        <x:patternFill patternType="solid">
          <x:bgColor rgb="FFFFF0CC"/>
        </x:patternFill>
      </x:fill>
    </x:dxf>
    <x:dxf>
      <x:fill>
        <x:patternFill patternType="solid">
          <x:bgColor rgb="FFFFF0CC"/>
        </x:patternFill>
      </x:fill>
    </x:dxf>
    <x:dxf>
      <x:fill>
        <x:patternFill patternType="solid">
          <x:bgColor rgb="FFFFF0CC"/>
        </x:patternFill>
      </x:fill>
    </x:dxf>
    <x:dxf>
      <x:fill>
        <x:patternFill patternType="solid">
          <x:bgColor rgb="FFFFF0CC"/>
        </x:patternFill>
      </x:fill>
    </x:dxf>
    <x:dxf>
      <x:fill>
        <x:patternFill patternType="solid">
          <x:bgColor rgb="FFFFF0CC"/>
        </x:patternFill>
      </x:fill>
    </x:dxf>
    <x:dxf>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97bb744e5dc436f" /><Relationship Type="http://schemas.openxmlformats.org/officeDocument/2006/relationships/theme" Target="/xl/theme/theme1.xml" Id="Rf6a94e85a26b4fad" /><Relationship Type="http://schemas.openxmlformats.org/officeDocument/2006/relationships/sharedStrings" Target="/xl/sharedStrings.xml" Id="R753befbf52104ef6" /><Relationship Type="http://schemas.openxmlformats.org/officeDocument/2006/relationships/worksheet" Target="/xl/worksheets/sheet1.xml" Id="Rcefbeb242f744e53" /><Relationship Type="http://schemas.openxmlformats.org/officeDocument/2006/relationships/worksheet" Target="/xl/worksheets/sheet2.xml" Id="Rf8da515630bd4973" /><Relationship Type="http://schemas.openxmlformats.org/officeDocument/2006/relationships/worksheet" Target="/xl/worksheets/sheet3.xml" Id="R4381184588014531" /><Relationship Type="http://schemas.openxmlformats.org/officeDocument/2006/relationships/worksheet" Target="/xl/worksheets/sheet4.xml" Id="Rb9aa193b2dbd430f" /><Relationship Type="http://schemas.openxmlformats.org/officeDocument/2006/relationships/worksheet" Target="/xl/worksheets/sheet5.xml" Id="Rf7eab96d5a3b4c9f" /><Relationship Type="http://schemas.openxmlformats.org/officeDocument/2006/relationships/worksheet" Target="/xl/worksheets/sheet6.xml" Id="Raa01c841a52441d0" /><Relationship Type="http://schemas.openxmlformats.org/officeDocument/2006/relationships/worksheet" Target="/xl/worksheets/sheet7.xml" Id="R1ae2e48dd8554970" /><Relationship Type="http://schemas.openxmlformats.org/officeDocument/2006/relationships/worksheet" Target="/xl/worksheets/sheet8.xml" Id="R4cce45e277e940ef" /><Relationship Type="http://schemas.openxmlformats.org/officeDocument/2006/relationships/worksheet" Target="/xl/worksheets/sheet9.xml" Id="R6b7535157e464104" /><Relationship Type="http://schemas.openxmlformats.org/officeDocument/2006/relationships/worksheet" Target="/xl/worksheets/sheet10.xml" Id="Rcf352786d2e54092" /><Relationship Type="http://schemas.openxmlformats.org/officeDocument/2006/relationships/worksheet" Target="/xl/worksheets/sheet11.xml" Id="R9f84e222453041a9" /><Relationship Type="http://schemas.openxmlformats.org/officeDocument/2006/relationships/worksheet" Target="/xl/worksheets/sheet12.xml" Id="Rbbcf587c0fb14948" /><Relationship Type="http://schemas.openxmlformats.org/officeDocument/2006/relationships/worksheet" Target="/xl/worksheets/sheet13.xml" Id="Rec8f778c5d0443d8" /><Relationship Type="http://schemas.openxmlformats.org/officeDocument/2006/relationships/worksheet" Target="/xl/worksheets/sheet14.xml" Id="R65c9885f04ea4922" /><Relationship Type="http://schemas.openxmlformats.org/officeDocument/2006/relationships/worksheet" Target="/xl/worksheets/sheet15.xml" Id="R451767630911417d" /></Relationships>
</file>

<file path=xl/tables/table1.xml><?xml version="1.0" encoding="utf-8"?>
<x:table xmlns:x="http://schemas.openxmlformats.org/spreadsheetml/2006/main" id="1" name="T1" displayName="T1" ref="A5:O105" headerRowCount="1" totalsRowCount="0" totalsRowShown="0">
  <x:autoFilter ref="A5:O105"/>
  <x:tableColumns count="15">
    <x:tableColumn id="1" name="案件ID"/>
    <x:tableColumn id="2" name="类别"/>
    <x:tableColumn id="3" name="现有原件或标注包"/>
    <x:tableColumn id="4" name="参考摘要位置"/>
    <x:tableColumn id="5" name="原始分类行数"/>
    <x:tableColumn id="6" name="数据集用途"/>
    <x:tableColumn id="7" name="主要核验点"/>
    <x:tableColumn id="8" name="任务目的"/>
    <x:tableColumn id="9" name="地区与程序"/>
    <x:tableColumn id="10" name="标注员A"/>
    <x:tableColumn id="11" name="标注员B"/>
    <x:tableColumn id="12" name="复核人"/>
    <x:tableColumn id="13" name="案件状态"/>
    <x:tableColumn id="14" name="指南版本"/>
    <x:tableColumn id="15" name="备注"/>
  </x:tableColumns>
  <x:tableStyleInfo name="TableStyleLight1" showFirstColumn="0" showLastColumn="0" showRowStripes="1" showColumnStripes="0"/>
</x:table>
</file>

<file path=xl/tables/table2.xml><?xml version="1.0" encoding="utf-8"?>
<x:table xmlns:x="http://schemas.openxmlformats.org/spreadsheetml/2006/main" id="2" name="T2" displayName="T2" ref="A5:K105" headerRowCount="1" totalsRowCount="0" totalsRowShown="0">
  <x:autoFilter ref="A5:K105"/>
  <x:tableColumns count="11">
    <x:tableColumn id="1" name="材料ID"/>
    <x:tableColumn id="2" name="案件ID"/>
    <x:tableColumn id="3" name="文件名或包内路径"/>
    <x:tableColumn id="4" name="来源用途"/>
    <x:tableColumn id="5" name="SHA256"/>
    <x:tableColumn id="6" name="来源版本或日期"/>
    <x:tableColumn id="7" name="输入边界或衍生关系"/>
    <x:tableColumn id="8" name="技术处理状态"/>
    <x:tableColumn id="9" name="核验状态"/>
    <x:tableColumn id="10" name="核验人"/>
    <x:tableColumn id="11" name="本地定位"/>
  </x:tableColumns>
  <x:tableStyleInfo name="TableStyleLight1" showFirstColumn="0" showLastColumn="0" showRowStripes="1" showColumnStripes="0"/>
</x:table>
</file>

<file path=xl/tables/table3.xml><?xml version="1.0" encoding="utf-8"?>
<x:table xmlns:x="http://schemas.openxmlformats.org/spreadsheetml/2006/main" id="3" name="T3" displayName="T3" ref="A5:N205" headerRowCount="1" totalsRowCount="0" totalsRowShown="0">
  <x:autoFilter ref="A5:N205"/>
  <x:tableColumns count="14">
    <x:tableColumn id="1" name="主体记录ID"/>
    <x:tableColumn id="2" name="案件ID"/>
    <x:tableColumn id="3" name="主体ID"/>
    <x:tableColumn id="4" name="原名及别名"/>
    <x:tableColumn id="5" name="主体类型"/>
    <x:tableColumn id="6" name="角色及程序阶段"/>
    <x:tableColumn id="7" name="稳定代称"/>
    <x:tableColumn id="8" name="来源材料ID"/>
    <x:tableColumn id="9" name="来源锚点"/>
    <x:tableColumn id="10" name="合并或拆分依据"/>
    <x:tableColumn id="11" name="标注人"/>
    <x:tableColumn id="12" name="批次"/>
    <x:tableColumn id="13" name="复核状态"/>
    <x:tableColumn id="14" name="质检提示"/>
  </x:tableColumns>
  <x:tableStyleInfo name="TableStyleLight1" showFirstColumn="0" showLastColumn="0" showRowStripes="1" showColumnStripes="0"/>
</x:table>
</file>

<file path=xl/tables/table4.xml><?xml version="1.0" encoding="utf-8"?>
<x:table xmlns:x="http://schemas.openxmlformats.org/spreadsheetml/2006/main" id="4" name="T4" displayName="T4" ref="A5:W505" headerRowCount="1" totalsRowCount="0" totalsRowShown="0">
  <x:autoFilter ref="A5:W505"/>
  <x:tableColumns count="23">
    <x:tableColumn id="1" name="标注记录ID"/>
    <x:tableColumn id="2" name="案件ID"/>
    <x:tableColumn id="3" name="事实组ID"/>
    <x:tableColumn id="4" name="来源材料ID"/>
    <x:tableColumn id="5" name="来源锚点"/>
    <x:tableColumn id="6" name="原文片段"/>
    <x:tableColumn id="7" name="事实类型"/>
    <x:tableColumn id="8" name="主体ID"/>
    <x:tableColumn id="9" name="事实命题"/>
    <x:tableColumn id="10" name="陈述主体或裁判机构"/>
    <x:tableColumn id="11" name="事实状态"/>
    <x:tableColumn id="12" name="程序阶段"/>
    <x:tableColumn id="13" name="时间原值及规范值"/>
    <x:tableColumn id="14" name="金额币种及口径"/>
    <x:tableColumn id="15" name="证据可得性"/>
    <x:tableColumn id="16" name="关联证据或命题ID"/>
    <x:tableColumn id="17" name="争议或冲突ID"/>
    <x:tableColumn id="18" name="任务必要性"/>
    <x:tableColumn id="19" name="条件或判断理由"/>
    <x:tableColumn id="20" name="标注人"/>
    <x:tableColumn id="21" name="批次"/>
    <x:tableColumn id="22" name="复核状态"/>
    <x:tableColumn id="23" name="质检提示"/>
  </x:tableColumns>
  <x:tableStyleInfo name="TableStyleLight1" showFirstColumn="0" showLastColumn="0" showRowStripes="1" showColumnStripes="0"/>
</x:table>
</file>

<file path=xl/tables/table5.xml><?xml version="1.0" encoding="utf-8"?>
<x:table xmlns:x="http://schemas.openxmlformats.org/spreadsheetml/2006/main" id="5" name="T5" displayName="T5" ref="A5:W505" headerRowCount="1" totalsRowCount="0" totalsRowShown="0">
  <x:autoFilter ref="A5:W505"/>
  <x:tableColumns count="23">
    <x:tableColumn id="1" name="披露记录ID"/>
    <x:tableColumn id="2" name="案件ID"/>
    <x:tableColumn id="3" name="关联事实或主体ID"/>
    <x:tableColumn id="4" name="来源材料ID与锚点"/>
    <x:tableColumn id="5" name="待处理原值"/>
    <x:tableColumn id="6" name="保护对象"/>
    <x:tableColumn id="7" name="任务目的"/>
    <x:tableColumn id="8" name="任务必要性"/>
    <x:tableColumn id="9" name="保留精度"/>
    <x:tableColumn id="10" name="转换动作"/>
    <x:tableColumn id="11" name="期望处理结果"/>
    <x:tableColumn id="12" name="触发条件"/>
    <x:tableColumn id="13" name="条件满足情况"/>
    <x:tableColumn id="14" name="处理环境"/>
    <x:tableColumn id="15" name="权限与服务条件证据"/>
    <x:tableColumn id="16" name="限制性质"/>
    <x:tableColumn id="17" name="规则与法源ID"/>
    <x:tableColumn id="18" name="拟披露结论"/>
    <x:tableColumn id="19" name="复核问题"/>
    <x:tableColumn id="20" name="标注人"/>
    <x:tableColumn id="21" name="批次"/>
    <x:tableColumn id="22" name="复核状态"/>
    <x:tableColumn id="23" name="质检提示"/>
  </x:tableColumns>
  <x:tableStyleInfo name="TableStyleLight1" showFirstColumn="0" showLastColumn="0" showRowStripes="1" showColumnStripes="0"/>
</x:table>
</file>

<file path=xl/tables/table6.xml><?xml version="1.0" encoding="utf-8"?>
<x:table xmlns:x="http://schemas.openxmlformats.org/spreadsheetml/2006/main" id="6" name="T6" displayName="T6" ref="A5:P205" headerRowCount="1" totalsRowCount="0" totalsRowShown="0">
  <x:autoFilter ref="A5:P205"/>
  <x:tableColumns count="16">
    <x:tableColumn id="1" name="裁定ID"/>
    <x:tableColumn id="2" name="案件ID"/>
    <x:tableColumn id="3" name="关联记录ID"/>
    <x:tableColumn id="4" name="问题类型"/>
    <x:tableColumn id="5" name="A意见及记录ID"/>
    <x:tableColumn id="6" name="B意见及记录ID"/>
    <x:tableColumn id="7" name="确认事实与未知项"/>
    <x:tableColumn id="8" name="裁定结果"/>
    <x:tableColumn id="9" name="裁定理由及依据"/>
    <x:tableColumn id="10" name="适用范围"/>
    <x:tableColumn id="11" name="回写表及记录ID"/>
    <x:tableColumn id="12" name="复核人"/>
    <x:tableColumn id="13" name="裁定日期"/>
    <x:tableColumn id="14" name="指南版本"/>
    <x:tableColumn id="15" name="裁定状态"/>
    <x:tableColumn id="16" name="质检提示"/>
  </x:tableColumns>
  <x:tableStyleInfo name="TableStyleLight1" showFirstColumn="0" showLastColumn="0" showRowStripes="1" showColumnStripes="0"/>
</x:table>
</file>

<file path=xl/tables/table7.xml><?xml version="1.0" encoding="utf-8"?>
<x:table xmlns:x="http://schemas.openxmlformats.org/spreadsheetml/2006/main" id="7" name="T7" displayName="T7" ref="A5:N305" headerRowCount="1" totalsRowCount="0" totalsRowShown="0">
  <x:autoFilter ref="A5:N305"/>
  <x:tableColumns count="14">
    <x:tableColumn id="1" name="验收记录ID"/>
    <x:tableColumn id="2" name="案件ID"/>
    <x:tableColumn id="3" name="运行ID"/>
    <x:tableColumn id="4" name="验收维度"/>
    <x:tableColumn id="5" name="关联金标准事实ID"/>
    <x:tableColumn id="6" name="期望要求与允许表达"/>
    <x:tableColumn id="7" name="参考摘要位置与版本"/>
    <x:tableColumn id="8" name="实际输出位置及片段"/>
    <x:tableColumn id="9" name="实测结论"/>
    <x:tableColumn id="10" name="错误及理由"/>
    <x:tableColumn id="11" name="关联反馈ID"/>
    <x:tableColumn id="12" name="评价人"/>
    <x:tableColumn id="13" name="指南与规则版本"/>
    <x:tableColumn id="14" name="质检提示"/>
  </x:tableColumns>
  <x:tableStyleInfo name="TableStyleLight1" showFirstColumn="0" showLastColumn="0" showRowStripes="1" showColumnStripes="0"/>
</x:table>
</file>

<file path=xl/tables/table8.xml><?xml version="1.0" encoding="utf-8"?>
<x:table xmlns:x="http://schemas.openxmlformats.org/spreadsheetml/2006/main" id="8" name="T8" displayName="T8" ref="A5:R205" headerRowCount="1" totalsRowCount="0" totalsRowShown="0">
  <x:autoFilter ref="A5:R205"/>
  <x:tableColumns count="18">
    <x:tableColumn id="1" name="反馈ID"/>
    <x:tableColumn id="2" name="案件ID"/>
    <x:tableColumn id="3" name="反馈来源"/>
    <x:tableColumn id="4" name="运行ID"/>
    <x:tableColumn id="5" name="代码模型规则版本"/>
    <x:tableColumn id="6" name="关联记录或来源锚点"/>
    <x:tableColumn id="7" name="实际观察"/>
    <x:tableColumn id="8" name="期望行为"/>
    <x:tableColumn id="9" name="错误类型"/>
    <x:tableColumn id="10" name="优先级"/>
    <x:tableColumn id="11" name="待法学回答的问题"/>
    <x:tableColumn id="12" name="法学裁定及修改位置"/>
    <x:tableColumn id="13" name="技术修复及版本"/>
    <x:tableColumn id="14" name="负责人"/>
    <x:tableColumn id="15" name="处理状态"/>
    <x:tableColumn id="16" name="重跑ID与证据"/>
    <x:tableColumn id="17" name="关闭结论与日期"/>
    <x:tableColumn id="18" name="质检提示"/>
  </x:tableColumns>
  <x:tableStyleInfo name="TableStyleLight1" showFirstColumn="0" showLastColumn="0" showRowStripes="1" showColumnStripes="0"/>
</x:table>
</file>

<file path=xl/tables/table9.xml><?xml version="1.0" encoding="utf-8"?>
<x:table xmlns:x="http://schemas.openxmlformats.org/spreadsheetml/2006/main" id="9" name="T9" displayName="T9" ref="A5:P45" headerRowCount="1" totalsRowCount="0" totalsRowShown="0">
  <x:autoFilter ref="A5:P45"/>
  <x:tableColumns count="16">
    <x:tableColumn id="1" name="规则ID"/>
    <x:tableColumn id="2" name="对象类型（原）"/>
    <x:tableColumn id="3" name="常见载体（原）"/>
    <x:tableColumn id="4" name="敏感性（原）"/>
    <x:tableColumn id="5" name="法条位置（原）"/>
    <x:tableColumn id="6" name="法条摘录（原，待核验）"/>
    <x:tableColumn id="7" name="规范内容（原）"/>
    <x:tableColumn id="8" name="处理方式（原）"/>
    <x:tableColumn id="9" name="性质（原）"/>
    <x:tableColumn id="10" name="复核要求（原）"/>
    <x:tableColumn id="11" name="触发点（原）"/>
    <x:tableColumn id="12" name="源文件与锚点"/>
    <x:tableColumn id="13" name="核验提示"/>
    <x:tableColumn id="14" name="核验状态"/>
    <x:tableColumn id="15" name="核验后规则与法源ID"/>
    <x:tableColumn id="16" name="核验人与日期"/>
  </x:tableColumns>
  <x:tableStyleInfo name="TableStyleLight1" showFirstColumn="0" showLastColumn="0" showRowStripes="1" showColumnStripes="0"/>
</x:table>
</file>

<file path=xl/tables/table10.xml><?xml version="1.0" encoding="utf-8"?>
<x:table xmlns:x="http://schemas.openxmlformats.org/spreadsheetml/2006/main" id="10" name="T10" displayName="T10" ref="A5:G95" headerRowCount="1" totalsRowCount="0" totalsRowShown="0">
  <x:autoFilter ref="A5:G95"/>
  <x:tableColumns count="7">
    <x:tableColumn id="1" name="边界规则ID"/>
    <x:tableColumn id="2" name="来源区域"/>
    <x:tableColumn id="3" name="原始锚点"/>
    <x:tableColumn id="4" name="原文或情形"/>
    <x:tableColumn id="5" name="其余原文内容"/>
    <x:tableColumn id="6" name="核验状态"/>
    <x:tableColumn id="7" name="核验后结论及依据"/>
  </x:tableColumns>
  <x:tableStyleInfo name="TableStyleLight1" showFirstColumn="0" showLastColumn="0" showRowStripes="1" showColumnStripes="0"/>
</x:table>
</file>

<file path=xl/tables/table11.xml><?xml version="1.0" encoding="utf-8"?>
<x:table xmlns:x="http://schemas.openxmlformats.org/spreadsheetml/2006/main" id="11" name="T11" displayName="T11" ref="A5:S65" headerRowCount="1" totalsRowCount="0" totalsRowShown="0">
  <x:autoFilter ref="A5:S65"/>
  <x:tableColumns count="19">
    <x:tableColumn id="1" name="法源ID"/>
    <x:tableColumn id="2" name="原表行号"/>
    <x:tableColumn id="3" name="法源层级（原）"/>
    <x:tableColumn id="4" name="名称（原）"/>
    <x:tableColumn id="5" name="条款位置（原）"/>
    <x:tableColumn id="6" name="原文概括（原）"/>
    <x:tableColumn id="7" name="规范内容（原）"/>
    <x:tableColumn id="8" name="适用对象范围（原）"/>
    <x:tableColumn id="9" name="触发条件（原）"/>
    <x:tableColumn id="10" name="法律后果（原）"/>
    <x:tableColumn id="11" name="人工复核（原）"/>
    <x:tableColumn id="12" name="规则性质（原）"/>
    <x:tableColumn id="13" name="版本修订（原）"/>
    <x:tableColumn id="14" name="生效日期（原）"/>
    <x:tableColumn id="15" name="官方核验入口"/>
    <x:tableColumn id="16" name="核验提示"/>
    <x:tableColumn id="17" name="核验状态"/>
    <x:tableColumn id="18" name="核验后条款或解释"/>
    <x:tableColumn id="19" name="核验人与日期"/>
  </x:tableColumns>
  <x:tableStyleInfo name="TableStyleLight1" showFirstColumn="0" showLastColumn="0" showRowStripes="1" showColumnStripes="0"/>
</x:table>
</file>

<file path=xl/tables/table12.xml><?xml version="1.0" encoding="utf-8"?>
<x:table xmlns:x="http://schemas.openxmlformats.org/spreadsheetml/2006/main" id="12" name="T12" displayName="T12" ref="A5:L385" headerRowCount="1" totalsRowCount="0" totalsRowShown="0">
  <x:autoFilter ref="A5:L385"/>
  <x:tableColumns count="12">
    <x:tableColumn id="1" name="原始行ID"/>
    <x:tableColumn id="2" name="案件ID"/>
    <x:tableColumn id="3" name="来源文件"/>
    <x:tableColumn id="4" name="工作表"/>
    <x:tableColumn id="5" name="源行号"/>
    <x:tableColumn id="6" name="信息类型（原）"/>
    <x:tableColumn id="7" name="具体内容（原）"/>
    <x:tableColumn id="8" name="脱敏类别（原）"/>
    <x:tableColumn id="9" name="出现位置（原）"/>
    <x:tableColumn id="10" name="处理结果（原）"/>
    <x:tableColumn id="11" name="迁移核验状态"/>
    <x:tableColumn id="12" name="迁移记录ID或说明"/>
  </x:tableColumns>
  <x:tableStyleInfo name="TableStyleLight1" showFirstColumn="0" showLastColumn="0" showRowStripes="1" showColumnStripes="0"/>
</x:table>
</file>

<file path=xl/tables/table13.xml><?xml version="1.0" encoding="utf-8"?>
<x:table xmlns:x="http://schemas.openxmlformats.org/spreadsheetml/2006/main" id="13" name="T13" displayName="T13" ref="A5:F15" headerRowCount="1" totalsRowCount="0" totalsRowShown="0">
  <x:autoFilter ref="A5:F15"/>
  <x:tableColumns count="6">
    <x:tableColumn id="1" name="示例ID"/>
    <x:tableColumn id="2" name="性质"/>
    <x:tableColumn id="3" name="对应工作表"/>
    <x:tableColumn id="4" name="关键字段"/>
    <x:tableColumn id="5" name="填写方法或示例"/>
    <x:tableColumn id="6" name="错误做法与边界"/>
  </x:tableColumns>
  <x:tableStyleInfo name="TableStyleLight1" showFirstColumn="0" showLastColumn="0" showRowStripes="1" showColumnStripes="0"/>
</x:table>
</file>

<file path=xl/tables/table14.xml><?xml version="1.0" encoding="utf-8"?>
<x:table xmlns:x="http://schemas.openxmlformats.org/spreadsheetml/2006/main" id="14" name="T14" displayName="T14" ref="A5:C137" headerRowCount="1" totalsRowCount="0" totalsRowShown="0">
  <x:autoFilter ref="A5:C137"/>
  <x:tableColumns count="3">
    <x:tableColumn id="1" name="字段组"/>
    <x:tableColumn id="2" name="允许值"/>
    <x:tableColumn id="3" name="说明"/>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facf917e3fd2456e" /><Relationship Type="http://schemas.openxmlformats.org/officeDocument/2006/relationships/vmlDrawing" Target="/xl/drawings/vmldrawing.vml" Id="Rf6d4b2cc512f42e2" /><Relationship Type="http://schemas.openxmlformats.org/officeDocument/2006/relationships/table" Target="/xl/tables/table1.xml" Id="R9db7207e1d5f498e" /></Relationships>
</file>

<file path=xl/worksheets/_rels/sheet3.xml.rels>&#65279;<?xml version="1.0" encoding="utf-8"?><Relationships xmlns="http://schemas.openxmlformats.org/package/2006/relationships"><Relationship Type="http://schemas.openxmlformats.org/officeDocument/2006/relationships/comments" Target="/xl/comments2.xml" Id="Re0c5d172c0ca4d77" /><Relationship Type="http://schemas.openxmlformats.org/officeDocument/2006/relationships/vmlDrawing" Target="/xl/drawings/vmldrawing2.vml" Id="R90a56a154556463b" /><Relationship Type="http://schemas.openxmlformats.org/officeDocument/2006/relationships/table" Target="/xl/tables/table2.xml" Id="R2cc764afefa74bef" /></Relationships>
</file>

<file path=xl/worksheets/_rels/sheet4.xml.rels>&#65279;<?xml version="1.0" encoding="utf-8"?><Relationships xmlns="http://schemas.openxmlformats.org/package/2006/relationships"><Relationship Type="http://schemas.openxmlformats.org/officeDocument/2006/relationships/comments" Target="/xl/comments3.xml" Id="Recf8f5216a99472c" /><Relationship Type="http://schemas.openxmlformats.org/officeDocument/2006/relationships/vmlDrawing" Target="/xl/drawings/vmldrawing3.vml" Id="R8d9184c28ced48ec" /><Relationship Type="http://schemas.openxmlformats.org/officeDocument/2006/relationships/table" Target="/xl/tables/table3.xml" Id="R21a71554e1bb41c7" /></Relationships>
</file>

<file path=xl/worksheets/_rels/sheet5.xml.rels>&#65279;<?xml version="1.0" encoding="utf-8"?><Relationships xmlns="http://schemas.openxmlformats.org/package/2006/relationships"><Relationship Type="http://schemas.openxmlformats.org/officeDocument/2006/relationships/comments" Target="/xl/comments4.xml" Id="Rc870873ed2a045ea" /><Relationship Type="http://schemas.openxmlformats.org/officeDocument/2006/relationships/vmlDrawing" Target="/xl/drawings/vmldrawing4.vml" Id="R9c77257bea364789" /><Relationship Type="http://schemas.openxmlformats.org/officeDocument/2006/relationships/table" Target="/xl/tables/table4.xml" Id="Re11ff60a97f547d7" /></Relationships>
</file>

<file path=xl/worksheets/_rels/sheet6.xml.rels>&#65279;<?xml version="1.0" encoding="utf-8"?><Relationships xmlns="http://schemas.openxmlformats.org/package/2006/relationships"><Relationship Type="http://schemas.openxmlformats.org/officeDocument/2006/relationships/comments" Target="/xl/comments5.xml" Id="Raeecf56d6066423b" /><Relationship Type="http://schemas.openxmlformats.org/officeDocument/2006/relationships/vmlDrawing" Target="/xl/drawings/vmldrawing5.vml" Id="R987a8c3de4d64463" /><Relationship Type="http://schemas.openxmlformats.org/officeDocument/2006/relationships/table" Target="/xl/tables/table5.xml" Id="Re03a4672443f4051" /></Relationships>
</file>

<file path=xl/worksheets/_rels/sheet7.xml.rels>&#65279;<?xml version="1.0" encoding="utf-8"?><Relationships xmlns="http://schemas.openxmlformats.org/package/2006/relationships"><Relationship Type="http://schemas.openxmlformats.org/officeDocument/2006/relationships/comments" Target="/xl/comments6.xml" Id="R7ba2fb318a11444c" /><Relationship Type="http://schemas.openxmlformats.org/officeDocument/2006/relationships/vmlDrawing" Target="/xl/drawings/vmldrawing6.vml" Id="Re8095111ccca470a" /><Relationship Type="http://schemas.openxmlformats.org/officeDocument/2006/relationships/table" Target="/xl/tables/table6.xml" Id="R4bea7980af1d4e93" /></Relationships>
</file>

<file path=xl/worksheets/_rels/sheet8.xml.rels>&#65279;<?xml version="1.0" encoding="utf-8"?><Relationships xmlns="http://schemas.openxmlformats.org/package/2006/relationships"><Relationship Type="http://schemas.openxmlformats.org/officeDocument/2006/relationships/comments" Target="/xl/comments7.xml" Id="Rf645861cf7574fe1" /><Relationship Type="http://schemas.openxmlformats.org/officeDocument/2006/relationships/vmlDrawing" Target="/xl/drawings/vmldrawing7.vml" Id="R340a793bdf2f44f6" /><Relationship Type="http://schemas.openxmlformats.org/officeDocument/2006/relationships/table" Target="/xl/tables/table7.xml" Id="R49b40dc365ad4864" /></Relationships>
</file>

<file path=xl/worksheets/_rels/sheet9.xml.rels>&#65279;<?xml version="1.0" encoding="utf-8"?><Relationships xmlns="http://schemas.openxmlformats.org/package/2006/relationships"><Relationship Type="http://schemas.openxmlformats.org/officeDocument/2006/relationships/comments" Target="/xl/comments8.xml" Id="Rcb404fe0628743ae" /><Relationship Type="http://schemas.openxmlformats.org/officeDocument/2006/relationships/vmlDrawing" Target="/xl/drawings/vmldrawing8.vml" Id="Rd0e0580c6abc4212" /><Relationship Type="http://schemas.openxmlformats.org/officeDocument/2006/relationships/table" Target="/xl/tables/table8.xml" Id="Rd9d60fd0f9a24ee6" /></Relationships>
</file>

<file path=xl/worksheets/_rels/sheet10.xml.rels>&#65279;<?xml version="1.0" encoding="utf-8"?><Relationships xmlns="http://schemas.openxmlformats.org/package/2006/relationships"><Relationship Type="http://schemas.openxmlformats.org/officeDocument/2006/relationships/comments" Target="/xl/comments9.xml" Id="Rba7f351751594b97" /><Relationship Type="http://schemas.openxmlformats.org/officeDocument/2006/relationships/vmlDrawing" Target="/xl/drawings/vmldrawing9.vml" Id="R32a4edc6c79d4794" /><Relationship Type="http://schemas.openxmlformats.org/officeDocument/2006/relationships/table" Target="/xl/tables/table9.xml" Id="R8f8e31abc82e4020" /></Relationships>
</file>

<file path=xl/worksheets/_rels/sheet11.xml.rels>&#65279;<?xml version="1.0" encoding="utf-8"?><Relationships xmlns="http://schemas.openxmlformats.org/package/2006/relationships"><Relationship Type="http://schemas.openxmlformats.org/officeDocument/2006/relationships/comments" Target="/xl/comments10.xml" Id="R2cf989a43acd4ff4" /><Relationship Type="http://schemas.openxmlformats.org/officeDocument/2006/relationships/vmlDrawing" Target="/xl/drawings/vmldrawing10.vml" Id="Rb6b072ce5d76449f" /><Relationship Type="http://schemas.openxmlformats.org/officeDocument/2006/relationships/table" Target="/xl/tables/table10.xml" Id="Rc7fd0c35288b436c" /></Relationships>
</file>

<file path=xl/worksheets/_rels/sheet12.xml.rels>&#65279;<?xml version="1.0" encoding="utf-8"?><Relationships xmlns="http://schemas.openxmlformats.org/package/2006/relationships"><Relationship Type="http://schemas.openxmlformats.org/officeDocument/2006/relationships/comments" Target="/xl/comments11.xml" Id="R296978dfc14f46dc" /><Relationship Type="http://schemas.openxmlformats.org/officeDocument/2006/relationships/vmlDrawing" Target="/xl/drawings/vmldrawing11.vml" Id="Rbbcc7fe2ee2342fb" /><Relationship Type="http://schemas.openxmlformats.org/officeDocument/2006/relationships/table" Target="/xl/tables/table11.xml" Id="R5bbf77b2a88d471e" /></Relationships>
</file>

<file path=xl/worksheets/_rels/sheet13.xml.rels>&#65279;<?xml version="1.0" encoding="utf-8"?><Relationships xmlns="http://schemas.openxmlformats.org/package/2006/relationships"><Relationship Type="http://schemas.openxmlformats.org/officeDocument/2006/relationships/comments" Target="/xl/comments12.xml" Id="Rbd64ec9819784039" /><Relationship Type="http://schemas.openxmlformats.org/officeDocument/2006/relationships/vmlDrawing" Target="/xl/drawings/vmldrawing12.vml" Id="R5cf42a09dfe14950" /><Relationship Type="http://schemas.openxmlformats.org/officeDocument/2006/relationships/table" Target="/xl/tables/table12.xml" Id="R2d5b19cb1dbd4b66" /></Relationships>
</file>

<file path=xl/worksheets/_rels/sheet14.xml.rels>&#65279;<?xml version="1.0" encoding="utf-8"?><Relationships xmlns="http://schemas.openxmlformats.org/package/2006/relationships"><Relationship Type="http://schemas.openxmlformats.org/officeDocument/2006/relationships/comments" Target="/xl/comments13.xml" Id="Ra852dd4f992f4e7d" /><Relationship Type="http://schemas.openxmlformats.org/officeDocument/2006/relationships/vmlDrawing" Target="/xl/drawings/vmldrawing13.vml" Id="Rb4fabbde86664f60" /><Relationship Type="http://schemas.openxmlformats.org/officeDocument/2006/relationships/table" Target="/xl/tables/table13.xml" Id="R0fa349169f654214" /></Relationships>
</file>

<file path=xl/worksheets/_rels/sheet15.xml.rels>&#65279;<?xml version="1.0" encoding="utf-8"?><Relationships xmlns="http://schemas.openxmlformats.org/package/2006/relationships"><Relationship Type="http://schemas.openxmlformats.org/officeDocument/2006/relationships/comments" Target="/xl/comments14.xml" Id="Rcb45ef7c5ede44cc" /><Relationship Type="http://schemas.openxmlformats.org/officeDocument/2006/relationships/vmlDrawing" Target="/xl/drawings/vmldrawing14.vml" Id="R4d5b5141a3ee4168" /><Relationship Type="http://schemas.openxmlformats.org/officeDocument/2006/relationships/table" Target="/xl/tables/table14.xml" Id="R48cdcc81e9db4c5d" /></Relationships>
</file>

<file path=xl/worksheets/sheet1.xml><?xml version="1.0" encoding="utf-8"?>
<x:worksheet xmlns:x="http://schemas.openxmlformats.org/spreadsheetml/2006/main">
  <x:sheetPr>
    <x:tabColor rgb="FF151B24"/>
  </x:sheetPr>
  <x:sheetViews>
    <x:sheetView showGridLines="0" workbookViewId="0">
      <x:pane ySplit="3" topLeftCell="A4" activePane="bottomLeft" state="frozen"/>
    </x:sheetView>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s>
  <x:sheetData>
    <x:row r="1" ht="28" customHeight="1">
      <x:c r="A1" s="19" t="str">
        <x:v>案隐盾｜法律标注工作簿</x:v>
      </x:c>
      <x:c r="B1" s="19"/>
      <x:c r="C1" s="19"/>
      <x:c r="D1" s="19"/>
      <x:c r="E1" s="19"/>
      <x:c r="F1" s="19"/>
      <x:c r="G1" s="19"/>
      <x:c r="H1" s="19"/>
      <x:c r="I1" s="19"/>
      <x:c r="J1" s="19"/>
    </x:row>
    <x:row r="2" ht="28" customHeight="1">
      <x:c r="A2" s="19"/>
      <x:c r="B2" s="19"/>
      <x:c r="C2" s="19"/>
      <x:c r="D2" s="19"/>
      <x:c r="E2" s="19"/>
      <x:c r="F2" s="19"/>
      <x:c r="G2" s="19"/>
      <x:c r="H2" s="19"/>
      <x:c r="I2" s="19"/>
      <x:c r="J2" s="19"/>
    </x:row>
    <x:row r="3" ht="28" customHeight="1">
      <x:c r="A3" s="6" t="str">
        <x:v>v0.1 · 2026-09-12｜内部试跑版 · 现有资料预置，尚未经法学双人复核</x:v>
      </x:c>
      <x:c r="B3" s="6"/>
      <x:c r="C3" s="6"/>
      <x:c r="D3" s="6"/>
      <x:c r="E3" s="6"/>
      <x:c r="F3" s="6"/>
      <x:c r="G3" s="6"/>
      <x:c r="H3" s="6"/>
      <x:c r="I3" s="6"/>
      <x:c r="J3" s="6"/>
    </x:row>
    <x:row r="4" ht="44" customHeight="1">
      <x:c r="A4" s="3"/>
      <x:c r="B4" s="3"/>
      <x:c r="C4" s="3"/>
      <x:c r="D4" s="3"/>
      <x:c r="E4" s="3"/>
      <x:c r="F4" s="3"/>
      <x:c r="G4" s="3"/>
      <x:c r="H4" s="3"/>
      <x:c r="I4" s="3"/>
      <x:c r="J4" s="3"/>
    </x:row>
    <x:row r="5" ht="24" customHeight="1">
      <x:c r="A5" s="20" t="str">
        <x:v>已有案件</x:v>
      </x:c>
      <x:c r="B5" s="20"/>
      <x:c r="C5" s="20" t="str">
        <x:v>原始分类行</x:v>
      </x:c>
      <x:c r="D5" s="20"/>
      <x:c r="E5" s="20" t="str">
        <x:v>风险类型</x:v>
      </x:c>
      <x:c r="F5" s="20"/>
      <x:c r="G5" s="20" t="str">
        <x:v>法源记录</x:v>
      </x:c>
      <x:c r="H5" s="20"/>
      <x:c r="I5" s="22" t="str">
        <x:v>案件已复核</x:v>
      </x:c>
      <x:c r="J5" s="22"/>
    </x:row>
    <x:row r="6" ht="24" customHeight="1">
      <x:c r="A6" s="21" t="n">
        <x:f>COUNTA('案件索引'!A6:A105)</x:f>
        <x:v>10</x:v>
      </x:c>
      <x:c r="B6" s="20"/>
      <x:c r="C6" s="21" t="n">
        <x:f>COUNTA('原始分类清单'!A6:A385)</x:f>
        <x:v>380</x:v>
      </x:c>
      <x:c r="D6" s="20"/>
      <x:c r="E6" s="21" t="n">
        <x:f>COUNTA('规则参考'!A6:A45)</x:f>
        <x:v>40</x:v>
      </x:c>
      <x:c r="F6" s="20"/>
      <x:c r="G6" s="21" t="n">
        <x:f>COUNTA('法源目录'!A6:A65)</x:f>
        <x:v>60</x:v>
      </x:c>
      <x:c r="H6" s="20"/>
      <x:c r="I6" s="23" t="n">
        <x:f>COUNTIF('案件索引'!M6:M105,"已复核")</x:f>
        <x:v>0</x:v>
      </x:c>
      <x:c r="J6" s="22"/>
    </x:row>
    <x:row r="7" ht="24" customHeight="1">
      <x:c r="A7" s="20"/>
      <x:c r="B7" s="20"/>
      <x:c r="C7" s="20"/>
      <x:c r="D7" s="20"/>
      <x:c r="E7" s="20"/>
      <x:c r="F7" s="20"/>
      <x:c r="G7" s="20"/>
      <x:c r="H7" s="20"/>
      <x:c r="I7" s="22"/>
      <x:c r="J7" s="22"/>
    </x:row>
    <x:row r="8" ht="44" customHeight="1">
      <x:c r="A8" s="3"/>
      <x:c r="B8" s="3"/>
      <x:c r="C8" s="3"/>
      <x:c r="D8" s="3"/>
      <x:c r="E8" s="3"/>
      <x:c r="F8" s="3"/>
      <x:c r="G8" s="3"/>
      <x:c r="H8" s="3"/>
      <x:c r="I8" s="3"/>
      <x:c r="J8" s="3"/>
    </x:row>
    <x:row r="9" ht="23" customHeight="1">
      <x:c r="A9" s="24" t="str">
        <x:v>先完成一个案件的初标</x:v>
      </x:c>
      <x:c r="B9" s="24"/>
      <x:c r="C9" s="24"/>
      <x:c r="D9" s="24"/>
      <x:c r="E9" s="24"/>
      <x:c r="F9" s="24"/>
      <x:c r="G9" s="24"/>
      <x:c r="H9" s="24"/>
      <x:c r="I9" s="24"/>
      <x:c r="J9" s="24"/>
    </x:row>
    <x:row r="10" ht="20" customHeight="1">
      <x:c r="A10" s="6" t="str">
        <x:v>选择校准集中的一案 → 核对来源与输入边界 → 登记主体 → 填事实 → 填披露 → 交复核。</x:v>
      </x:c>
      <x:c r="B10" s="6"/>
      <x:c r="C10" s="6"/>
      <x:c r="D10" s="6"/>
      <x:c r="E10" s="6"/>
      <x:c r="F10" s="6"/>
      <x:c r="G10" s="6"/>
      <x:c r="H10" s="6"/>
      <x:c r="I10" s="6"/>
      <x:c r="J10" s="6"/>
    </x:row>
    <x:row r="11" ht="20" customHeight="1">
      <x:c r="A11" s="6"/>
      <x:c r="B11" s="6"/>
      <x:c r="C11" s="6"/>
      <x:c r="D11" s="6"/>
      <x:c r="E11" s="6"/>
      <x:c r="F11" s="6"/>
      <x:c r="G11" s="6"/>
      <x:c r="H11" s="6"/>
      <x:c r="I11" s="6"/>
      <x:c r="J11" s="6"/>
    </x:row>
    <x:row r="12" ht="23" customHeight="1">
      <x:c r="A12" s="24" t="str">
        <x:v>三条使用规则</x:v>
      </x:c>
      <x:c r="B12" s="24"/>
      <x:c r="C12" s="24"/>
      <x:c r="D12" s="24"/>
      <x:c r="E12" s="24"/>
      <x:c r="F12" s="24"/>
      <x:c r="G12" s="24"/>
      <x:c r="H12" s="24"/>
      <x:c r="I12" s="24"/>
      <x:c r="J12" s="24"/>
    </x:row>
    <x:row r="13" ht="20" customHeight="1">
      <x:c r="A13" s="6" t="str">
        <x:v>蓝字是可填写区；灰底保存原始资料；质检列为公式。原文和参考摘要必须分开，不能把参考答案送入事实输入。</x:v>
      </x:c>
      <x:c r="B13" s="6"/>
      <x:c r="C13" s="6"/>
      <x:c r="D13" s="6"/>
      <x:c r="E13" s="6"/>
      <x:c r="F13" s="6"/>
      <x:c r="G13" s="6"/>
      <x:c r="H13" s="6"/>
      <x:c r="I13" s="6"/>
      <x:c r="J13" s="6"/>
    </x:row>
    <x:row r="14" ht="20" customHeight="1">
      <x:c r="A14" s="6"/>
      <x:c r="B14" s="6"/>
      <x:c r="C14" s="6"/>
      <x:c r="D14" s="6"/>
      <x:c r="E14" s="6"/>
      <x:c r="F14" s="6"/>
      <x:c r="G14" s="6"/>
      <x:c r="H14" s="6"/>
      <x:c r="I14" s="6"/>
      <x:c r="J14" s="6"/>
    </x:row>
    <x:row r="15" ht="23" customHeight="1">
      <x:c r="A15" s="24" t="str">
        <x:v>人工复核后再做试跑评价</x:v>
      </x:c>
      <x:c r="B15" s="24"/>
      <x:c r="C15" s="24"/>
      <x:c r="D15" s="24"/>
      <x:c r="E15" s="24"/>
      <x:c r="F15" s="24"/>
      <x:c r="G15" s="24"/>
      <x:c r="H15" s="24"/>
      <x:c r="I15" s="24"/>
      <x:c r="J15" s="24"/>
    </x:row>
    <x:row r="16" ht="20" customHeight="1">
      <x:c r="A16" s="6" t="str">
        <x:v>A/B分别保存初标副本或独立批次；复核人对齐事实组ID，逐条在“复核裁定”记理由和回写位置。</x:v>
      </x:c>
      <x:c r="B16" s="6"/>
      <x:c r="C16" s="6"/>
      <x:c r="D16" s="6"/>
      <x:c r="E16" s="6"/>
      <x:c r="F16" s="6"/>
      <x:c r="G16" s="6"/>
      <x:c r="H16" s="6"/>
      <x:c r="I16" s="6"/>
      <x:c r="J16" s="6"/>
    </x:row>
    <x:row r="17" ht="20" customHeight="1">
      <x:c r="A17" s="6"/>
      <x:c r="B17" s="6"/>
      <x:c r="C17" s="6"/>
      <x:c r="D17" s="6"/>
      <x:c r="E17" s="6"/>
      <x:c r="F17" s="6"/>
      <x:c r="G17" s="6"/>
      <x:c r="H17" s="6"/>
      <x:c r="I17" s="6"/>
      <x:c r="J17" s="6"/>
    </x:row>
    <x:row r="18" ht="23" customHeight="1">
      <x:c r="A18" s="24" t="str">
        <x:v>技术反馈如何交接</x:v>
      </x:c>
      <x:c r="B18" s="24"/>
      <x:c r="C18" s="24"/>
      <x:c r="D18" s="24"/>
      <x:c r="E18" s="24"/>
      <x:c r="F18" s="24"/>
      <x:c r="G18" s="24"/>
      <x:c r="H18" s="24"/>
      <x:c r="I18" s="24"/>
      <x:c r="J18" s="24"/>
    </x:row>
    <x:row r="19" ht="20" customHeight="1">
      <x:c r="A19" s="6" t="str">
        <x:v>技术填写运行版本、实际输出和期望差异；法学填写裁定与修改位置；重跑后补证据。12项预置反馈均为资料审查，尚未试跑。</x:v>
      </x:c>
      <x:c r="B19" s="6"/>
      <x:c r="C19" s="6"/>
      <x:c r="D19" s="6"/>
      <x:c r="E19" s="6"/>
      <x:c r="F19" s="6"/>
      <x:c r="G19" s="6"/>
      <x:c r="H19" s="6"/>
      <x:c r="I19" s="6"/>
      <x:c r="J19" s="6"/>
    </x:row>
    <x:row r="20" ht="20" customHeight="1">
      <x:c r="A20" s="6"/>
      <x:c r="B20" s="6"/>
      <x:c r="C20" s="6"/>
      <x:c r="D20" s="6"/>
      <x:c r="E20" s="6"/>
      <x:c r="F20" s="6"/>
      <x:c r="G20" s="6"/>
      <x:c r="H20" s="6"/>
      <x:c r="I20" s="6"/>
      <x:c r="J20" s="6"/>
    </x:row>
    <x:row r="21" ht="23" customHeight="1">
      <x:c r="A21" s="24" t="str">
        <x:v>当前统计的含义</x:v>
      </x:c>
      <x:c r="B21" s="24"/>
      <x:c r="C21" s="24"/>
      <x:c r="D21" s="24"/>
      <x:c r="E21" s="24"/>
      <x:c r="F21" s="24"/>
      <x:c r="G21" s="24"/>
      <x:c r="H21" s="24"/>
      <x:c r="I21" s="24"/>
      <x:c r="J21" s="24"/>
    </x:row>
    <x:row r="22" ht="20" customHeight="1">
      <x:c r="A22" s="6" t="str">
        <x:v>380行为已有分类清单，不是380条金标准；10案不代表100案分工完成。未运行项目不得计为通过。</x:v>
      </x:c>
      <x:c r="B22" s="6"/>
      <x:c r="C22" s="6"/>
      <x:c r="D22" s="6"/>
      <x:c r="E22" s="6"/>
      <x:c r="F22" s="6"/>
      <x:c r="G22" s="6"/>
      <x:c r="H22" s="6"/>
      <x:c r="I22" s="6"/>
      <x:c r="J22" s="6"/>
    </x:row>
    <x:row r="23" ht="20" customHeight="1">
      <x:c r="A23" s="6"/>
      <x:c r="B23" s="6"/>
      <x:c r="C23" s="6"/>
      <x:c r="D23" s="6"/>
      <x:c r="E23" s="6"/>
      <x:c r="F23" s="6"/>
      <x:c r="G23" s="6"/>
      <x:c r="H23" s="6"/>
      <x:c r="I23" s="6"/>
      <x:c r="J23" s="6"/>
    </x:row>
    <x:row r="24" ht="23" customHeight="1">
      <x:c r="A24" s="24" t="str">
        <x:v>工作区入口</x:v>
      </x:c>
      <x:c r="B24" s="24"/>
      <x:c r="C24" s="24"/>
      <x:c r="D24" s="24"/>
      <x:c r="E24" s="24"/>
      <x:c r="F24" s="24"/>
      <x:c r="G24" s="24"/>
      <x:c r="H24" s="24"/>
      <x:c r="I24" s="24"/>
      <x:c r="J24" s="24"/>
    </x:row>
    <x:row r="25" ht="20" customHeight="1">
      <x:c r="A25" s="6" t="str">
        <x:v>案件索引、来源登记、主体登记、事实标注、披露标注、复核裁定、摘要验收、技术反馈。其余页是参考与示例。</x:v>
      </x:c>
      <x:c r="B25" s="6"/>
      <x:c r="C25" s="6"/>
      <x:c r="D25" s="6"/>
      <x:c r="E25" s="6"/>
      <x:c r="F25" s="6"/>
      <x:c r="G25" s="6"/>
      <x:c r="H25" s="6"/>
      <x:c r="I25" s="6"/>
      <x:c r="J25" s="6"/>
    </x:row>
    <x:row r="26" ht="20" customHeight="1">
      <x:c r="A26" s="6"/>
      <x:c r="B26" s="6"/>
      <x:c r="C26" s="6"/>
      <x:c r="D26" s="6"/>
      <x:c r="E26" s="6"/>
      <x:c r="F26" s="6"/>
      <x:c r="G26" s="6"/>
      <x:c r="H26" s="6"/>
      <x:c r="I26" s="6"/>
      <x:c r="J26" s="6"/>
    </x:row>
    <x:row r="27" ht="23" customHeight="1">
      <x:c r="A27" s="24" t="str">
        <x:v>参考资料已纳入</x:v>
      </x:c>
      <x:c r="B27" s="24"/>
      <x:c r="C27" s="24"/>
      <x:c r="D27" s="24"/>
      <x:c r="E27" s="24"/>
      <x:c r="F27" s="24"/>
      <x:c r="G27" s="24"/>
      <x:c r="H27" s="24"/>
      <x:c r="I27" s="24"/>
      <x:c r="J27" s="24"/>
    </x:row>
    <x:row r="28" ht="20" customHeight="1">
      <x:c r="A28" s="6" t="str">
        <x:v>25类个人信息 + 15类其他客体；禁止/复核问答正文与4表；60条法源；10案380行旧分类。原始条文保留并标注疑点。</x:v>
      </x:c>
      <x:c r="B28" s="6"/>
      <x:c r="C28" s="6"/>
      <x:c r="D28" s="6"/>
      <x:c r="E28" s="6"/>
      <x:c r="F28" s="6"/>
      <x:c r="G28" s="6"/>
      <x:c r="H28" s="6"/>
      <x:c r="I28" s="6"/>
      <x:c r="J28" s="6"/>
    </x:row>
    <x:row r="29" ht="20" customHeight="1">
      <x:c r="A29" s="6"/>
      <x:c r="B29" s="6"/>
      <x:c r="C29" s="6"/>
      <x:c r="D29" s="6"/>
      <x:c r="E29" s="6"/>
      <x:c r="F29" s="6"/>
      <x:c r="G29" s="6"/>
      <x:c r="H29" s="6"/>
      <x:c r="I29" s="6"/>
      <x:c r="J29" s="6"/>
    </x:row>
    <x:row r="30" ht="23" customHeight="1">
      <x:c r="A30" s="24" t="str">
        <x:v>扩行与版本</x:v>
      </x:c>
      <x:c r="B30" s="24"/>
      <x:c r="C30" s="24"/>
      <x:c r="D30" s="24"/>
      <x:c r="E30" s="24"/>
      <x:c r="F30" s="24"/>
      <x:c r="G30" s="24"/>
      <x:c r="H30" s="24"/>
      <x:c r="I30" s="24"/>
      <x:c r="J30" s="24"/>
    </x:row>
    <x:row r="31" ht="20" customHeight="1">
      <x:c r="A31" s="6" t="str">
        <x:v>表头在第5行。主要事实/披露表预留500行；新增行时复制末行下拉和公式，并扩展表范围与计数范围。先存新版本，保留旧文件。</x:v>
      </x:c>
      <x:c r="B31" s="6"/>
      <x:c r="C31" s="6"/>
      <x:c r="D31" s="6"/>
      <x:c r="E31" s="6"/>
      <x:c r="F31" s="6"/>
      <x:c r="G31" s="6"/>
      <x:c r="H31" s="6"/>
      <x:c r="I31" s="6"/>
      <x:c r="J31" s="6"/>
    </x:row>
    <x:row r="32" ht="20" customHeight="1">
      <x:c r="A32" s="6"/>
      <x:c r="B32" s="6"/>
      <x:c r="C32" s="6"/>
      <x:c r="D32" s="6"/>
      <x:c r="E32" s="6"/>
      <x:c r="F32" s="6"/>
      <x:c r="G32" s="6"/>
      <x:c r="H32" s="6"/>
      <x:c r="I32" s="6"/>
      <x:c r="J32" s="6"/>
    </x:row>
    <x:row r="33" ht="23" customHeight="1">
      <x:c r="A33" s="24" t="str">
        <x:v>披露判断不等于发送授权</x:v>
      </x:c>
      <x:c r="B33" s="24"/>
      <x:c r="C33" s="24"/>
      <x:c r="D33" s="24"/>
      <x:c r="E33" s="24"/>
      <x:c r="F33" s="24"/>
      <x:c r="G33" s="24"/>
      <x:c r="H33" s="24"/>
      <x:c r="I33" s="24"/>
      <x:c r="J33" s="24"/>
    </x:row>
    <x:row r="34" ht="20" customHeight="1">
      <x:c r="A34" s="6" t="str">
        <x:v>工作簿含原始信息，只作受控本地标注。条件通过仍须核对具体接收环境、授权、规则与执行结果。不能从计数或标签自动放行。</x:v>
      </x:c>
      <x:c r="B34" s="6"/>
      <x:c r="C34" s="6"/>
      <x:c r="D34" s="6"/>
      <x:c r="E34" s="6"/>
      <x:c r="F34" s="6"/>
      <x:c r="G34" s="6"/>
      <x:c r="H34" s="6"/>
      <x:c r="I34" s="6"/>
      <x:c r="J34" s="6"/>
    </x:row>
    <x:row r="35" ht="20" customHeight="1">
      <x:c r="A35" s="6"/>
      <x:c r="B35" s="6"/>
      <x:c r="C35" s="6"/>
      <x:c r="D35" s="6"/>
      <x:c r="E35" s="6"/>
      <x:c r="F35" s="6"/>
      <x:c r="G35" s="6"/>
      <x:c r="H35" s="6"/>
      <x:c r="I35" s="6"/>
      <x:c r="J35" s="6"/>
    </x:row>
    <x:row r="36" ht="44" customHeight="1">
      <x:c r="A36" s="3"/>
      <x:c r="B36" s="3"/>
      <x:c r="C36" s="3"/>
      <x:c r="D36" s="3"/>
      <x:c r="E36" s="3"/>
      <x:c r="F36" s="3"/>
      <x:c r="G36" s="3"/>
      <x:c r="H36" s="3"/>
      <x:c r="I36" s="3"/>
      <x:c r="J36" s="3"/>
    </x:row>
    <x:row r="37" ht="24" customHeight="1">
      <x:c r="A37" s="13" t="str">
        <x:v>事实记录（含独立初标）</x:v>
      </x:c>
      <x:c r="B37" s="13"/>
      <x:c r="C37" s="13"/>
      <x:c r="D37" s="13"/>
      <x:c r="E37" s="13"/>
      <x:c r="F37" s="13" t="n">
        <x:f>COUNTA('事实标注'!A6:A505)</x:f>
        <x:v>0</x:v>
      </x:c>
      <x:c r="G37" s="13"/>
      <x:c r="H37" s="13"/>
      <x:c r="I37" s="13"/>
      <x:c r="J37" s="13"/>
    </x:row>
    <x:row r="38" ht="24" customHeight="1">
      <x:c r="A38" s="13" t="str">
        <x:v>已验证关闭反馈</x:v>
      </x:c>
      <x:c r="B38" s="13"/>
      <x:c r="C38" s="13"/>
      <x:c r="D38" s="13"/>
      <x:c r="E38" s="13"/>
      <x:c r="F38" s="13" t="n">
        <x:f>COUNTIF('技术反馈'!O6:O205,"已验证关闭")</x:f>
        <x:v>0</x:v>
      </x:c>
      <x:c r="G38" s="13"/>
      <x:c r="H38" s="13"/>
      <x:c r="I38" s="13"/>
      <x:c r="J38" s="13"/>
    </x:row>
    <x:row r="39" ht="24" customHeight="1">
      <x:c r="A39" s="13" t="str">
        <x:v>已填写实测通过条目</x:v>
      </x:c>
      <x:c r="B39" s="13"/>
      <x:c r="C39" s="13"/>
      <x:c r="D39" s="13"/>
      <x:c r="E39" s="13"/>
      <x:c r="F39" s="13" t="n">
        <x:f>COUNTIF('摘要验收'!I6:I305,"通过")</x:f>
        <x:v>0</x:v>
      </x:c>
      <x:c r="G39" s="13"/>
      <x:c r="H39" s="13"/>
      <x:c r="I39" s="13"/>
      <x:c r="J39" s="13"/>
    </x:row>
    <x:row r="40" ht="44" customHeight="1">
      <x:c r="A40" s="3"/>
      <x:c r="B40" s="3"/>
      <x:c r="C40" s="3"/>
      <x:c r="D40" s="3"/>
      <x:c r="E40" s="3"/>
      <x:c r="F40" s="3"/>
      <x:c r="G40" s="3"/>
      <x:c r="H40" s="3"/>
      <x:c r="I40" s="3"/>
      <x:c r="J40" s="3"/>
    </x:row>
    <x:row r="41" ht="44" customHeight="1">
      <x:c r="A41" s="3"/>
      <x:c r="B41" s="3"/>
      <x:c r="C41" s="3"/>
      <x:c r="D41" s="3"/>
      <x:c r="E41" s="3"/>
      <x:c r="F41" s="3"/>
      <x:c r="G41" s="3"/>
      <x:c r="H41" s="3"/>
      <x:c r="I41" s="3"/>
      <x:c r="J41" s="3"/>
    </x:row>
    <x:row r="42" ht="44" customHeight="1">
      <x:c r="A42" s="3"/>
      <x:c r="B42" s="3"/>
      <x:c r="C42" s="3"/>
      <x:c r="D42" s="3"/>
      <x:c r="E42" s="3"/>
      <x:c r="F42" s="3"/>
      <x:c r="G42" s="3"/>
      <x:c r="H42" s="3"/>
      <x:c r="I42" s="3"/>
      <x:c r="J42" s="3"/>
    </x:row>
    <x:row r="43" ht="44" customHeight="1">
      <x:c r="A43" s="3"/>
      <x:c r="B43" s="3"/>
      <x:c r="C43" s="3"/>
      <x:c r="D43" s="3"/>
      <x:c r="E43" s="3"/>
      <x:c r="F43" s="3"/>
      <x:c r="G43" s="3"/>
      <x:c r="H43" s="3"/>
      <x:c r="I43" s="3"/>
      <x:c r="J43" s="3"/>
    </x:row>
    <x:row r="44" ht="44" customHeight="1">
      <x:c r="A44" s="3"/>
      <x:c r="B44" s="3"/>
      <x:c r="C44" s="3"/>
      <x:c r="D44" s="3"/>
      <x:c r="E44" s="3"/>
      <x:c r="F44" s="3"/>
      <x:c r="G44" s="3"/>
      <x:c r="H44" s="3"/>
      <x:c r="I44" s="3"/>
      <x:c r="J44" s="3"/>
    </x:row>
    <x:row r="45" ht="44" customHeight="1">
      <x:c r="A45" s="3"/>
      <x:c r="B45" s="3"/>
      <x:c r="C45" s="3"/>
      <x:c r="D45" s="3"/>
      <x:c r="E45" s="3"/>
      <x:c r="F45" s="3"/>
      <x:c r="G45" s="3"/>
      <x:c r="H45" s="3"/>
      <x:c r="I45" s="3"/>
      <x:c r="J45" s="3"/>
    </x:row>
    <x:row r="46" ht="44" customHeight="1">
      <x:c r="A46" s="3"/>
      <x:c r="B46" s="3"/>
      <x:c r="C46" s="3"/>
      <x:c r="D46" s="3"/>
      <x:c r="E46" s="3"/>
      <x:c r="F46" s="3"/>
      <x:c r="G46" s="3"/>
      <x:c r="H46" s="3"/>
      <x:c r="I46" s="3"/>
      <x:c r="J46" s="3"/>
    </x:row>
  </x:sheetData>
  <x:mergeCells>
    <x:mergeCell ref="A1:J2"/>
    <x:mergeCell ref="A3:J3"/>
    <x:mergeCell ref="A5:B5"/>
    <x:mergeCell ref="A6:B7"/>
    <x:mergeCell ref="C5:D5"/>
    <x:mergeCell ref="C6:D7"/>
    <x:mergeCell ref="E5:F5"/>
    <x:mergeCell ref="E6:F7"/>
    <x:mergeCell ref="G5:H5"/>
    <x:mergeCell ref="G6:H7"/>
    <x:mergeCell ref="I5:J5"/>
    <x:mergeCell ref="I6:J7"/>
    <x:mergeCell ref="A9:J9"/>
    <x:mergeCell ref="A10:J11"/>
    <x:mergeCell ref="A12:J12"/>
    <x:mergeCell ref="A13:J14"/>
    <x:mergeCell ref="A15:J15"/>
    <x:mergeCell ref="A16:J17"/>
    <x:mergeCell ref="A18:J18"/>
    <x:mergeCell ref="A19:J20"/>
    <x:mergeCell ref="A21:J21"/>
    <x:mergeCell ref="A22:J23"/>
    <x:mergeCell ref="A24:J24"/>
    <x:mergeCell ref="A25:J26"/>
    <x:mergeCell ref="A27:J27"/>
    <x:mergeCell ref="A28:J29"/>
    <x:mergeCell ref="A30:J30"/>
    <x:mergeCell ref="A31:J32"/>
    <x:mergeCell ref="A33:J33"/>
    <x:mergeCell ref="A34:J35"/>
    <x:mergeCell ref="A37:E37"/>
    <x:mergeCell ref="F37:J37"/>
    <x:mergeCell ref="A38:E38"/>
    <x:mergeCell ref="F38:J38"/>
    <x:mergeCell ref="A39:E39"/>
    <x:mergeCell ref="F39:J39"/>
  </x:mergeCells>
  <x:pageMargins left="0.7" right="0.7" top="0.75" bottom="0.75" header="0.3" footer="0.3"/>
</x:worksheet>
</file>

<file path=xl/worksheets/sheet2.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38" hidden="0" customWidth="1"/>
    <x:col min="3" max="3" width="38"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38" hidden="0" customWidth="1"/>
    <x:col min="11" max="11" width="38" hidden="0" customWidth="1"/>
    <x:col min="12" max="12" width="38" hidden="0" customWidth="1"/>
    <x:col min="13" max="13" width="22" hidden="0" customWidth="1"/>
    <x:col min="14" max="14" width="38" hidden="0" customWidth="1"/>
    <x:col min="15" max="15" width="38" hidden="0" customWidth="1"/>
  </x:cols>
  <x:sheetData>
    <x:row r="1" ht="38" customHeight="1">
      <x:c r="A1" s="5" t="str">
        <x:v>案件索引</x:v>
      </x:c>
      <x:c r="B1" s="5"/>
      <x:c r="C1" s="5"/>
      <x:c r="D1" s="5"/>
      <x:c r="E1" s="5"/>
      <x:c r="F1" s="5"/>
      <x:c r="G1" s="5"/>
      <x:c r="H1" s="5"/>
      <x:c r="I1" s="3"/>
      <x:c r="J1" s="3"/>
      <x:c r="K1" s="3"/>
      <x:c r="L1" s="3"/>
      <x:c r="M1" s="3"/>
      <x:c r="N1" s="3"/>
      <x:c r="O1" s="3"/>
    </x:row>
    <x:row r="2" ht="36" customHeight="1">
      <x:c r="A2" s="6" t="str">
        <x:v>已有10案登记；已接收不等于已复核。用途分组是首轮建议，可调整并记录原因。</x:v>
      </x:c>
      <x:c r="B2" s="6"/>
      <x:c r="C2" s="6"/>
      <x:c r="D2" s="6"/>
      <x:c r="E2" s="6"/>
      <x:c r="F2" s="6"/>
      <x:c r="G2" s="6"/>
      <x:c r="H2" s="6"/>
      <x:c r="I2" s="6"/>
      <x:c r="J2" s="6"/>
      <x:c r="K2" s="6"/>
      <x:c r="L2" s="6"/>
      <x:c r="M2" s="6"/>
      <x:c r="N2" s="6"/>
      <x:c r="O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row>
    <x:row r="4" ht="44" customHeight="1">
      <x:c r="A4" s="3"/>
      <x:c r="B4" s="3"/>
      <x:c r="C4" s="3"/>
      <x:c r="D4" s="3"/>
      <x:c r="E4" s="3"/>
      <x:c r="F4" s="3"/>
      <x:c r="G4" s="3"/>
      <x:c r="H4" s="3"/>
      <x:c r="I4" s="3"/>
      <x:c r="J4" s="3"/>
      <x:c r="K4" s="3"/>
      <x:c r="L4" s="3"/>
      <x:c r="M4" s="3"/>
      <x:c r="N4" s="3"/>
      <x:c r="O4" s="3"/>
    </x:row>
    <x:row r="5" ht="48" customHeight="1">
      <x:c r="A5" s="10" t="str">
        <x:v>案件ID</x:v>
      </x:c>
      <x:c r="B5" s="10" t="str">
        <x:v>类别</x:v>
      </x:c>
      <x:c r="C5" s="10" t="str">
        <x:v>现有原件或标注包</x:v>
      </x:c>
      <x:c r="D5" s="10" t="str">
        <x:v>参考摘要位置</x:v>
      </x:c>
      <x:c r="E5" s="10" t="str">
        <x:v>原始分类行数</x:v>
      </x:c>
      <x:c r="F5" s="10" t="str">
        <x:v>数据集用途</x:v>
      </x:c>
      <x:c r="G5" s="10" t="str">
        <x:v>主要核验点</x:v>
      </x:c>
      <x:c r="H5" s="10" t="str">
        <x:v>任务目的</x:v>
      </x:c>
      <x:c r="I5" s="10" t="str">
        <x:v>地区与程序</x:v>
      </x:c>
      <x:c r="J5" s="10" t="str">
        <x:v>标注员A</x:v>
      </x:c>
      <x:c r="K5" s="10" t="str">
        <x:v>标注员B</x:v>
      </x:c>
      <x:c r="L5" s="10" t="str">
        <x:v>复核人</x:v>
      </x:c>
      <x:c r="M5" s="10" t="str">
        <x:v>案件状态</x:v>
      </x:c>
      <x:c r="N5" s="10" t="str">
        <x:v>指南版本</x:v>
      </x:c>
      <x:c r="O5" s="10" t="str">
        <x:v>备注</x:v>
      </x:c>
    </x:row>
    <x:row r="6" ht="44" customHeight="1">
      <x:c r="A6" s="9" t="str">
        <x:v>LA-001</x:v>
      </x:c>
      <x:c r="B6" s="9" t="str">
        <x:v>劳动关系及相关争议</x:v>
      </x:c>
      <x:c r="C6" s="9" t="str">
        <x:v>LA-001-SRC-01；LA-001-SRC-02</x:v>
      </x:c>
      <x:c r="D6" s="9" t="str">
        <x:v>LA-001-REF（待分离）；输入正文登记为LA-001-TEXT（待生成）</x:v>
      </x:c>
      <x:c r="E6" s="9" t="n">
        <x:v>42</x:v>
      </x:c>
      <x:c r="F6" s="9" t="str">
        <x:v>保留评估集</x:v>
      </x:c>
      <x:c r="G6" s="9" t="str">
        <x:v>默认删除与替换角色的动作粒度不一致；新疆案</x:v>
      </x:c>
      <x:c r="H6" s="9" t="str">
        <x:v>事实摘要辅助与披露控制</x:v>
      </x:c>
      <x:c r="I6" s="9" t="str">
        <x:v>新疆（待核验程序）</x:v>
      </x:c>
      <x:c r="J6" s="9" t="str"/>
      <x:c r="K6" s="9" t="str"/>
      <x:c r="L6" s="9" t="str"/>
      <x:c r="M6" s="9" t="str">
        <x:v>待标注</x:v>
      </x:c>
      <x:c r="N6" s="9" t="str">
        <x:v>v0.1</x:v>
      </x:c>
      <x:c r="O6" s="9" t="str">
        <x:v>完成原文/摘要分离后进入首轮</x:v>
      </x:c>
    </x:row>
    <x:row r="7" ht="44" customHeight="1">
      <x:c r="A7" s="9" t="str">
        <x:v>LA-002</x:v>
      </x:c>
      <x:c r="B7" s="9" t="str">
        <x:v>劳动关系及相关争议</x:v>
      </x:c>
      <x:c r="C7" s="9" t="str">
        <x:v>LA-002-SRC-01；LA-002-SRC-02</x:v>
      </x:c>
      <x:c r="D7" s="9" t="str">
        <x:v>LA-002-REF（待分离）；输入正文登记为LA-002-TEXT（待生成）</x:v>
      </x:c>
      <x:c r="E7" s="9" t="n">
        <x:v>36</x:v>
      </x:c>
      <x:c r="F7" s="9" t="str">
        <x:v>校准集</x:v>
      </x:c>
      <x:c r="G7" s="9" t="str">
        <x:v>仲裁/一审09-01与二审说理09-25存在日期冲突</x:v>
      </x:c>
      <x:c r="H7" s="9" t="str">
        <x:v>事实摘要辅助与披露控制</x:v>
      </x:c>
      <x:c r="I7" s="9" t="str">
        <x:v>待核验</x:v>
      </x:c>
      <x:c r="J7" s="9" t="str"/>
      <x:c r="K7" s="9" t="str"/>
      <x:c r="L7" s="9" t="str"/>
      <x:c r="M7" s="9" t="str">
        <x:v>待标注</x:v>
      </x:c>
      <x:c r="N7" s="9" t="str">
        <x:v>v0.1</x:v>
      </x:c>
      <x:c r="O7" s="9" t="str">
        <x:v>完成原文/摘要分离后进入首轮</x:v>
      </x:c>
    </x:row>
    <x:row r="8" ht="44" customHeight="1">
      <x:c r="A8" s="9" t="str">
        <x:v>LA-003</x:v>
      </x:c>
      <x:c r="B8" s="9" t="str">
        <x:v>劳动关系及相关争议</x:v>
      </x:c>
      <x:c r="C8" s="9" t="str">
        <x:v>LA-003-SRC-01；LA-003-SRC-02</x:v>
      </x:c>
      <x:c r="D8" s="9" t="str">
        <x:v>LA-003-REF（待分离）；输入正文登记为LA-003-TEXT（待生成）</x:v>
      </x:c>
      <x:c r="E8" s="9" t="n">
        <x:v>24</x:v>
      </x:c>
      <x:c r="F8" s="9" t="str">
        <x:v>保留评估集</x:v>
      </x:c>
      <x:c r="G8" s="9" t="str">
        <x:v>分类A20为公司名称而B20为袁某，类别与结果冲突</x:v>
      </x:c>
      <x:c r="H8" s="9" t="str">
        <x:v>事实摘要辅助与披露控制</x:v>
      </x:c>
      <x:c r="I8" s="9" t="str">
        <x:v>待核验</x:v>
      </x:c>
      <x:c r="J8" s="9" t="str"/>
      <x:c r="K8" s="9" t="str"/>
      <x:c r="L8" s="9" t="str"/>
      <x:c r="M8" s="9" t="str">
        <x:v>待标注</x:v>
      </x:c>
      <x:c r="N8" s="9" t="str">
        <x:v>v0.1</x:v>
      </x:c>
      <x:c r="O8" s="9" t="str">
        <x:v>完成原文/摘要分离后进入首轮</x:v>
      </x:c>
    </x:row>
    <x:row r="9" ht="44" customHeight="1">
      <x:c r="A9" s="9" t="str">
        <x:v>LA-004</x:v>
      </x:c>
      <x:c r="B9" s="9" t="str">
        <x:v>劳动关系及相关争议</x:v>
      </x:c>
      <x:c r="C9" s="9" t="str">
        <x:v>LA-004-SRC-01；LA-004-SRC-02</x:v>
      </x:c>
      <x:c r="D9" s="9" t="str">
        <x:v>LA-004-REF（待分离）；输入正文登记为LA-004-TEXT（待生成）</x:v>
      </x:c>
      <x:c r="E9" s="9" t="n">
        <x:v>15</x:v>
      </x:c>
      <x:c r="F9" s="9" t="str">
        <x:v>保留评估集</x:v>
      </x:c>
      <x:c r="G9" s="9" t="str">
        <x:v>上海案；关联公司发薪与劳动关系需区分</x:v>
      </x:c>
      <x:c r="H9" s="9" t="str">
        <x:v>事实摘要辅助与披露控制</x:v>
      </x:c>
      <x:c r="I9" s="9" t="str">
        <x:v>上海（待核验程序）</x:v>
      </x:c>
      <x:c r="J9" s="9" t="str"/>
      <x:c r="K9" s="9" t="str"/>
      <x:c r="L9" s="9" t="str"/>
      <x:c r="M9" s="9" t="str">
        <x:v>待标注</x:v>
      </x:c>
      <x:c r="N9" s="9" t="str">
        <x:v>v0.1</x:v>
      </x:c>
      <x:c r="O9" s="9" t="str">
        <x:v>完成原文/摘要分离后进入首轮</x:v>
      </x:c>
    </x:row>
    <x:row r="10" ht="44" customHeight="1">
      <x:c r="A10" s="9" t="str">
        <x:v>LA-005</x:v>
      </x:c>
      <x:c r="B10" s="9" t="str">
        <x:v>劳动关系及相关争议</x:v>
      </x:c>
      <x:c r="C10" s="9" t="str">
        <x:v>LA-005-SRC-01；LA-005-SRC-02</x:v>
      </x:c>
      <x:c r="D10" s="9" t="str">
        <x:v>LA-005-REF（待分离）；输入正文登记为LA-005-TEXT（待生成）</x:v>
      </x:c>
      <x:c r="E10" s="9" t="n">
        <x:v>19</x:v>
      </x:c>
      <x:c r="F10" s="9" t="str">
        <x:v>校准集</x:v>
      </x:c>
      <x:c r="G10" s="9" t="str">
        <x:v>多程序金额归属；通知与待岗日期矛盾；嵌套重复LA-002</x:v>
      </x:c>
      <x:c r="H10" s="9" t="str">
        <x:v>事实摘要辅助与披露控制</x:v>
      </x:c>
      <x:c r="I10" s="9" t="str">
        <x:v>待核验</x:v>
      </x:c>
      <x:c r="J10" s="9" t="str"/>
      <x:c r="K10" s="9" t="str"/>
      <x:c r="L10" s="9" t="str"/>
      <x:c r="M10" s="9" t="str">
        <x:v>待标注</x:v>
      </x:c>
      <x:c r="N10" s="9" t="str">
        <x:v>v0.1</x:v>
      </x:c>
      <x:c r="O10" s="9" t="str">
        <x:v>完成原文/摘要分离后进入首轮</x:v>
      </x:c>
    </x:row>
    <x:row r="11" ht="44" customHeight="1">
      <x:c r="A11" s="9" t="str">
        <x:v>GS-001</x:v>
      </x:c>
      <x:c r="B11" s="9" t="str">
        <x:v>工伤医疗</x:v>
      </x:c>
      <x:c r="C11" s="9" t="str">
        <x:v>SRC-11；SRC-06/样例1</x:v>
      </x:c>
      <x:c r="D11" s="9" t="str">
        <x:v>GS-001-REF（待分离）；输入正文登记为GS-001-TEXT（待生成）</x:v>
      </x:c>
      <x:c r="E11" s="9" t="n">
        <x:v>56</x:v>
      </x:c>
      <x:c r="F11" s="9" t="str">
        <x:v>保留评估集</x:v>
      </x:c>
      <x:c r="G11" s="9" t="str">
        <x:v>工资背景与重复获赔抗辩分开；不能改成本审争议</x:v>
      </x:c>
      <x:c r="H11" s="9" t="str">
        <x:v>事实摘要辅助与披露控制</x:v>
      </x:c>
      <x:c r="I11" s="9" t="str">
        <x:v>待核验</x:v>
      </x:c>
      <x:c r="J11" s="9" t="str"/>
      <x:c r="K11" s="9" t="str"/>
      <x:c r="L11" s="9" t="str"/>
      <x:c r="M11" s="9" t="str">
        <x:v>待标注</x:v>
      </x:c>
      <x:c r="N11" s="9" t="str">
        <x:v>v0.1</x:v>
      </x:c>
      <x:c r="O11" s="9" t="str">
        <x:v>样例编号与GS编号一一对应</x:v>
      </x:c>
    </x:row>
    <x:row r="12" ht="44" customHeight="1">
      <x:c r="A12" s="9" t="str">
        <x:v>GS-002</x:v>
      </x:c>
      <x:c r="B12" s="9" t="str">
        <x:v>工伤医疗</x:v>
      </x:c>
      <x:c r="C12" s="9" t="str">
        <x:v>SRC-10；SRC-06/样例2</x:v>
      </x:c>
      <x:c r="D12" s="9" t="str">
        <x:v>GS-002-REF（待分离）；输入正文登记为GS-002-TEXT（待生成）</x:v>
      </x:c>
      <x:c r="E12" s="9" t="n">
        <x:v>58</x:v>
      </x:c>
      <x:c r="F12" s="9" t="str">
        <x:v>校准集</x:v>
      </x:c>
      <x:c r="G12" s="9" t="str">
        <x:v>不存在劳动关系与承担工伤责任分别标注</x:v>
      </x:c>
      <x:c r="H12" s="9" t="str">
        <x:v>事实摘要辅助与披露控制</x:v>
      </x:c>
      <x:c r="I12" s="9" t="str">
        <x:v>待核验</x:v>
      </x:c>
      <x:c r="J12" s="9" t="str"/>
      <x:c r="K12" s="9" t="str"/>
      <x:c r="L12" s="9" t="str"/>
      <x:c r="M12" s="9" t="str">
        <x:v>待标注</x:v>
      </x:c>
      <x:c r="N12" s="9" t="str">
        <x:v>v0.1</x:v>
      </x:c>
      <x:c r="O12" s="9" t="str">
        <x:v>样例编号与GS编号一一对应</x:v>
      </x:c>
    </x:row>
    <x:row r="13" ht="44" customHeight="1">
      <x:c r="A13" s="9" t="str">
        <x:v>GS-003</x:v>
      </x:c>
      <x:c r="B13" s="9" t="str">
        <x:v>工伤医疗</x:v>
      </x:c>
      <x:c r="C13" s="9" t="str">
        <x:v>SRC-09；SRC-06/样例3</x:v>
      </x:c>
      <x:c r="D13" s="9" t="str">
        <x:v>GS-003-REF（待分离）；输入正文登记为GS-003-TEXT（待生成）</x:v>
      </x:c>
      <x:c r="E13" s="9" t="n">
        <x:v>45</x:v>
      </x:c>
      <x:c r="F13" s="9" t="str">
        <x:v>保留评估集</x:v>
      </x:c>
      <x:c r="G13" s="9" t="str">
        <x:v>事实与参考摘要边界、停工或医疗事实核验</x:v>
      </x:c>
      <x:c r="H13" s="9" t="str">
        <x:v>事实摘要辅助与披露控制</x:v>
      </x:c>
      <x:c r="I13" s="9" t="str">
        <x:v>待核验</x:v>
      </x:c>
      <x:c r="J13" s="9" t="str"/>
      <x:c r="K13" s="9" t="str"/>
      <x:c r="L13" s="9" t="str"/>
      <x:c r="M13" s="9" t="str">
        <x:v>待标注</x:v>
      </x:c>
      <x:c r="N13" s="9" t="str">
        <x:v>v0.1</x:v>
      </x:c>
      <x:c r="O13" s="9" t="str">
        <x:v>样例编号与GS编号一一对应</x:v>
      </x:c>
    </x:row>
    <x:row r="14" ht="44" customHeight="1">
      <x:c r="A14" s="9" t="str">
        <x:v>GS-004</x:v>
      </x:c>
      <x:c r="B14" s="9" t="str">
        <x:v>工伤医疗</x:v>
      </x:c>
      <x:c r="C14" s="9" t="str">
        <x:v>SRC-08；SRC-06/样例4</x:v>
      </x:c>
      <x:c r="D14" s="9" t="str">
        <x:v>GS-004-REF（待分离）；输入正文登记为GS-004-TEXT（待生成）</x:v>
      </x:c>
      <x:c r="E14" s="9" t="n">
        <x:v>51</x:v>
      </x:c>
      <x:c r="F14" s="9" t="str">
        <x:v>保留评估集</x:v>
      </x:c>
      <x:c r="G14" s="9" t="str">
        <x:v>与劳动LA-004不同案；主体和程序分别核验</x:v>
      </x:c>
      <x:c r="H14" s="9" t="str">
        <x:v>事实摘要辅助与披露控制</x:v>
      </x:c>
      <x:c r="I14" s="9" t="str">
        <x:v>待核验</x:v>
      </x:c>
      <x:c r="J14" s="9" t="str"/>
      <x:c r="K14" s="9" t="str"/>
      <x:c r="L14" s="9" t="str"/>
      <x:c r="M14" s="9" t="str">
        <x:v>待标注</x:v>
      </x:c>
      <x:c r="N14" s="9" t="str">
        <x:v>v0.1</x:v>
      </x:c>
      <x:c r="O14" s="9" t="str">
        <x:v>样例编号与GS编号一一对应</x:v>
      </x:c>
    </x:row>
    <x:row r="15" ht="44" customHeight="1">
      <x:c r="A15" s="9" t="str">
        <x:v>GS-005</x:v>
      </x:c>
      <x:c r="B15" s="9" t="str">
        <x:v>工伤医疗</x:v>
      </x:c>
      <x:c r="C15" s="9" t="str">
        <x:v>SRC-07；SRC-06/样例5</x:v>
      </x:c>
      <x:c r="D15" s="9" t="str">
        <x:v>GS-005-REF（待分离）；输入正文登记为GS-005-TEXT（待生成）</x:v>
      </x:c>
      <x:c r="E15" s="9" t="n">
        <x:v>34</x:v>
      </x:c>
      <x:c r="F15" s="9" t="str">
        <x:v>校准集</x:v>
      </x:c>
      <x:c r="G15" s="9" t="str">
        <x:v>B10为44614日期序列候选；B33:B35为条件清单</x:v>
      </x:c>
      <x:c r="H15" s="9" t="str">
        <x:v>事实摘要辅助与披露控制</x:v>
      </x:c>
      <x:c r="I15" s="9" t="str">
        <x:v>待核验</x:v>
      </x:c>
      <x:c r="J15" s="9" t="str"/>
      <x:c r="K15" s="9" t="str"/>
      <x:c r="L15" s="9" t="str"/>
      <x:c r="M15" s="9" t="str">
        <x:v>待标注</x:v>
      </x:c>
      <x:c r="N15" s="9" t="str">
        <x:v>v0.1</x:v>
      </x:c>
      <x:c r="O15" s="9" t="str">
        <x:v>样例编号与GS编号一一对应</x:v>
      </x:c>
    </x:row>
    <x:row r="16" ht="44" customHeight="1">
      <x:c r="A16" s="9"/>
      <x:c r="B16" s="9"/>
      <x:c r="C16" s="9"/>
      <x:c r="D16" s="9"/>
      <x:c r="E16" s="9"/>
      <x:c r="F16" s="9"/>
      <x:c r="G16" s="9"/>
      <x:c r="H16" s="9"/>
      <x:c r="I16" s="9"/>
      <x:c r="J16" s="9"/>
      <x:c r="K16" s="9"/>
      <x:c r="L16" s="9"/>
      <x:c r="M16" s="9"/>
      <x:c r="N16" s="9"/>
      <x:c r="O16" s="9"/>
    </x:row>
    <x:row r="17" ht="44" customHeight="1">
      <x:c r="A17" s="9"/>
      <x:c r="B17" s="9"/>
      <x:c r="C17" s="9"/>
      <x:c r="D17" s="9"/>
      <x:c r="E17" s="9"/>
      <x:c r="F17" s="9"/>
      <x:c r="G17" s="9"/>
      <x:c r="H17" s="9"/>
      <x:c r="I17" s="9"/>
      <x:c r="J17" s="9"/>
      <x:c r="K17" s="9"/>
      <x:c r="L17" s="9"/>
      <x:c r="M17" s="9"/>
      <x:c r="N17" s="9"/>
      <x:c r="O17" s="9"/>
    </x:row>
    <x:row r="18" ht="44" customHeight="1">
      <x:c r="A18" s="9"/>
      <x:c r="B18" s="9"/>
      <x:c r="C18" s="9"/>
      <x:c r="D18" s="9"/>
      <x:c r="E18" s="9"/>
      <x:c r="F18" s="9"/>
      <x:c r="G18" s="9"/>
      <x:c r="H18" s="9"/>
      <x:c r="I18" s="9"/>
      <x:c r="J18" s="9"/>
      <x:c r="K18" s="9"/>
      <x:c r="L18" s="9"/>
      <x:c r="M18" s="9"/>
      <x:c r="N18" s="9"/>
      <x:c r="O18" s="9"/>
    </x:row>
    <x:row r="19" ht="44" customHeight="1">
      <x:c r="A19" s="9"/>
      <x:c r="B19" s="9"/>
      <x:c r="C19" s="9"/>
      <x:c r="D19" s="9"/>
      <x:c r="E19" s="9"/>
      <x:c r="F19" s="9"/>
      <x:c r="G19" s="9"/>
      <x:c r="H19" s="9"/>
      <x:c r="I19" s="9"/>
      <x:c r="J19" s="9"/>
      <x:c r="K19" s="9"/>
      <x:c r="L19" s="9"/>
      <x:c r="M19" s="9"/>
      <x:c r="N19" s="9"/>
      <x:c r="O19" s="9"/>
    </x:row>
    <x:row r="20" ht="44" customHeight="1">
      <x:c r="A20" s="9"/>
      <x:c r="B20" s="9"/>
      <x:c r="C20" s="9"/>
      <x:c r="D20" s="9"/>
      <x:c r="E20" s="9"/>
      <x:c r="F20" s="9"/>
      <x:c r="G20" s="9"/>
      <x:c r="H20" s="9"/>
      <x:c r="I20" s="9"/>
      <x:c r="J20" s="9"/>
      <x:c r="K20" s="9"/>
      <x:c r="L20" s="9"/>
      <x:c r="M20" s="9"/>
      <x:c r="N20" s="9"/>
      <x:c r="O20" s="9"/>
    </x:row>
    <x:row r="21" ht="44" customHeight="1">
      <x:c r="A21" s="9"/>
      <x:c r="B21" s="9"/>
      <x:c r="C21" s="9"/>
      <x:c r="D21" s="9"/>
      <x:c r="E21" s="9"/>
      <x:c r="F21" s="9"/>
      <x:c r="G21" s="9"/>
      <x:c r="H21" s="9"/>
      <x:c r="I21" s="9"/>
      <x:c r="J21" s="9"/>
      <x:c r="K21" s="9"/>
      <x:c r="L21" s="9"/>
      <x:c r="M21" s="9"/>
      <x:c r="N21" s="9"/>
      <x:c r="O21" s="9"/>
    </x:row>
    <x:row r="22" ht="44" customHeight="1">
      <x:c r="A22" s="9"/>
      <x:c r="B22" s="9"/>
      <x:c r="C22" s="9"/>
      <x:c r="D22" s="9"/>
      <x:c r="E22" s="9"/>
      <x:c r="F22" s="9"/>
      <x:c r="G22" s="9"/>
      <x:c r="H22" s="9"/>
      <x:c r="I22" s="9"/>
      <x:c r="J22" s="9"/>
      <x:c r="K22" s="9"/>
      <x:c r="L22" s="9"/>
      <x:c r="M22" s="9"/>
      <x:c r="N22" s="9"/>
      <x:c r="O22" s="9"/>
    </x:row>
    <x:row r="23" ht="44" customHeight="1">
      <x:c r="A23" s="9"/>
      <x:c r="B23" s="9"/>
      <x:c r="C23" s="9"/>
      <x:c r="D23" s="9"/>
      <x:c r="E23" s="9"/>
      <x:c r="F23" s="9"/>
      <x:c r="G23" s="9"/>
      <x:c r="H23" s="9"/>
      <x:c r="I23" s="9"/>
      <x:c r="J23" s="9"/>
      <x:c r="K23" s="9"/>
      <x:c r="L23" s="9"/>
      <x:c r="M23" s="9"/>
      <x:c r="N23" s="9"/>
      <x:c r="O23" s="9"/>
    </x:row>
    <x:row r="24" ht="44" customHeight="1">
      <x:c r="A24" s="9"/>
      <x:c r="B24" s="9"/>
      <x:c r="C24" s="9"/>
      <x:c r="D24" s="9"/>
      <x:c r="E24" s="9"/>
      <x:c r="F24" s="9"/>
      <x:c r="G24" s="9"/>
      <x:c r="H24" s="9"/>
      <x:c r="I24" s="9"/>
      <x:c r="J24" s="9"/>
      <x:c r="K24" s="9"/>
      <x:c r="L24" s="9"/>
      <x:c r="M24" s="9"/>
      <x:c r="N24" s="9"/>
      <x:c r="O24" s="9"/>
    </x:row>
    <x:row r="25" ht="44" customHeight="1">
      <x:c r="A25" s="9"/>
      <x:c r="B25" s="9"/>
      <x:c r="C25" s="9"/>
      <x:c r="D25" s="9"/>
      <x:c r="E25" s="9"/>
      <x:c r="F25" s="9"/>
      <x:c r="G25" s="9"/>
      <x:c r="H25" s="9"/>
      <x:c r="I25" s="9"/>
      <x:c r="J25" s="9"/>
      <x:c r="K25" s="9"/>
      <x:c r="L25" s="9"/>
      <x:c r="M25" s="9"/>
      <x:c r="N25" s="9"/>
      <x:c r="O25" s="9"/>
    </x:row>
    <x:row r="26" ht="44" customHeight="1">
      <x:c r="A26" s="9"/>
      <x:c r="B26" s="9"/>
      <x:c r="C26" s="9"/>
      <x:c r="D26" s="9"/>
      <x:c r="E26" s="9"/>
      <x:c r="F26" s="9"/>
      <x:c r="G26" s="9"/>
      <x:c r="H26" s="9"/>
      <x:c r="I26" s="9"/>
      <x:c r="J26" s="9"/>
      <x:c r="K26" s="9"/>
      <x:c r="L26" s="9"/>
      <x:c r="M26" s="9"/>
      <x:c r="N26" s="9"/>
      <x:c r="O26" s="9"/>
    </x:row>
    <x:row r="27" ht="44" customHeight="1">
      <x:c r="A27" s="9"/>
      <x:c r="B27" s="9"/>
      <x:c r="C27" s="9"/>
      <x:c r="D27" s="9"/>
      <x:c r="E27" s="9"/>
      <x:c r="F27" s="9"/>
      <x:c r="G27" s="9"/>
      <x:c r="H27" s="9"/>
      <x:c r="I27" s="9"/>
      <x:c r="J27" s="9"/>
      <x:c r="K27" s="9"/>
      <x:c r="L27" s="9"/>
      <x:c r="M27" s="9"/>
      <x:c r="N27" s="9"/>
      <x:c r="O27" s="9"/>
    </x:row>
    <x:row r="28" ht="44" customHeight="1">
      <x:c r="A28" s="9"/>
      <x:c r="B28" s="9"/>
      <x:c r="C28" s="9"/>
      <x:c r="D28" s="9"/>
      <x:c r="E28" s="9"/>
      <x:c r="F28" s="9"/>
      <x:c r="G28" s="9"/>
      <x:c r="H28" s="9"/>
      <x:c r="I28" s="9"/>
      <x:c r="J28" s="9"/>
      <x:c r="K28" s="9"/>
      <x:c r="L28" s="9"/>
      <x:c r="M28" s="9"/>
      <x:c r="N28" s="9"/>
      <x:c r="O28" s="9"/>
    </x:row>
    <x:row r="29" ht="44" customHeight="1">
      <x:c r="A29" s="9"/>
      <x:c r="B29" s="9"/>
      <x:c r="C29" s="9"/>
      <x:c r="D29" s="9"/>
      <x:c r="E29" s="9"/>
      <x:c r="F29" s="9"/>
      <x:c r="G29" s="9"/>
      <x:c r="H29" s="9"/>
      <x:c r="I29" s="9"/>
      <x:c r="J29" s="9"/>
      <x:c r="K29" s="9"/>
      <x:c r="L29" s="9"/>
      <x:c r="M29" s="9"/>
      <x:c r="N29" s="9"/>
      <x:c r="O29" s="9"/>
    </x:row>
    <x:row r="30" ht="44" customHeight="1">
      <x:c r="A30" s="9"/>
      <x:c r="B30" s="9"/>
      <x:c r="C30" s="9"/>
      <x:c r="D30" s="9"/>
      <x:c r="E30" s="9"/>
      <x:c r="F30" s="9"/>
      <x:c r="G30" s="9"/>
      <x:c r="H30" s="9"/>
      <x:c r="I30" s="9"/>
      <x:c r="J30" s="9"/>
      <x:c r="K30" s="9"/>
      <x:c r="L30" s="9"/>
      <x:c r="M30" s="9"/>
      <x:c r="N30" s="9"/>
      <x:c r="O30" s="9"/>
    </x:row>
    <x:row r="31" ht="44" customHeight="1">
      <x:c r="A31" s="9"/>
      <x:c r="B31" s="9"/>
      <x:c r="C31" s="9"/>
      <x:c r="D31" s="9"/>
      <x:c r="E31" s="9"/>
      <x:c r="F31" s="9"/>
      <x:c r="G31" s="9"/>
      <x:c r="H31" s="9"/>
      <x:c r="I31" s="9"/>
      <x:c r="J31" s="9"/>
      <x:c r="K31" s="9"/>
      <x:c r="L31" s="9"/>
      <x:c r="M31" s="9"/>
      <x:c r="N31" s="9"/>
      <x:c r="O31" s="9"/>
    </x:row>
    <x:row r="32" ht="44" customHeight="1">
      <x:c r="A32" s="9"/>
      <x:c r="B32" s="9"/>
      <x:c r="C32" s="9"/>
      <x:c r="D32" s="9"/>
      <x:c r="E32" s="9"/>
      <x:c r="F32" s="9"/>
      <x:c r="G32" s="9"/>
      <x:c r="H32" s="9"/>
      <x:c r="I32" s="9"/>
      <x:c r="J32" s="9"/>
      <x:c r="K32" s="9"/>
      <x:c r="L32" s="9"/>
      <x:c r="M32" s="9"/>
      <x:c r="N32" s="9"/>
      <x:c r="O32" s="9"/>
    </x:row>
    <x:row r="33" ht="44" customHeight="1">
      <x:c r="A33" s="9"/>
      <x:c r="B33" s="9"/>
      <x:c r="C33" s="9"/>
      <x:c r="D33" s="9"/>
      <x:c r="E33" s="9"/>
      <x:c r="F33" s="9"/>
      <x:c r="G33" s="9"/>
      <x:c r="H33" s="9"/>
      <x:c r="I33" s="9"/>
      <x:c r="J33" s="9"/>
      <x:c r="K33" s="9"/>
      <x:c r="L33" s="9"/>
      <x:c r="M33" s="9"/>
      <x:c r="N33" s="9"/>
      <x:c r="O33" s="9"/>
    </x:row>
    <x:row r="34" ht="44" customHeight="1">
      <x:c r="A34" s="9"/>
      <x:c r="B34" s="9"/>
      <x:c r="C34" s="9"/>
      <x:c r="D34" s="9"/>
      <x:c r="E34" s="9"/>
      <x:c r="F34" s="9"/>
      <x:c r="G34" s="9"/>
      <x:c r="H34" s="9"/>
      <x:c r="I34" s="9"/>
      <x:c r="J34" s="9"/>
      <x:c r="K34" s="9"/>
      <x:c r="L34" s="9"/>
      <x:c r="M34" s="9"/>
      <x:c r="N34" s="9"/>
      <x:c r="O34" s="9"/>
    </x:row>
    <x:row r="35" ht="44" customHeight="1">
      <x:c r="A35" s="9"/>
      <x:c r="B35" s="9"/>
      <x:c r="C35" s="9"/>
      <x:c r="D35" s="9"/>
      <x:c r="E35" s="9"/>
      <x:c r="F35" s="9"/>
      <x:c r="G35" s="9"/>
      <x:c r="H35" s="9"/>
      <x:c r="I35" s="9"/>
      <x:c r="J35" s="9"/>
      <x:c r="K35" s="9"/>
      <x:c r="L35" s="9"/>
      <x:c r="M35" s="9"/>
      <x:c r="N35" s="9"/>
      <x:c r="O35" s="9"/>
    </x:row>
    <x:row r="36" ht="44" customHeight="1">
      <x:c r="A36" s="9"/>
      <x:c r="B36" s="9"/>
      <x:c r="C36" s="9"/>
      <x:c r="D36" s="9"/>
      <x:c r="E36" s="9"/>
      <x:c r="F36" s="9"/>
      <x:c r="G36" s="9"/>
      <x:c r="H36" s="9"/>
      <x:c r="I36" s="9"/>
      <x:c r="J36" s="9"/>
      <x:c r="K36" s="9"/>
      <x:c r="L36" s="9"/>
      <x:c r="M36" s="9"/>
      <x:c r="N36" s="9"/>
      <x:c r="O36" s="9"/>
    </x:row>
    <x:row r="37" ht="44" customHeight="1">
      <x:c r="A37" s="9"/>
      <x:c r="B37" s="9"/>
      <x:c r="C37" s="9"/>
      <x:c r="D37" s="9"/>
      <x:c r="E37" s="9"/>
      <x:c r="F37" s="9"/>
      <x:c r="G37" s="9"/>
      <x:c r="H37" s="9"/>
      <x:c r="I37" s="9"/>
      <x:c r="J37" s="9"/>
      <x:c r="K37" s="9"/>
      <x:c r="L37" s="9"/>
      <x:c r="M37" s="9"/>
      <x:c r="N37" s="9"/>
      <x:c r="O37" s="9"/>
    </x:row>
    <x:row r="38" ht="44" customHeight="1">
      <x:c r="A38" s="9"/>
      <x:c r="B38" s="9"/>
      <x:c r="C38" s="9"/>
      <x:c r="D38" s="9"/>
      <x:c r="E38" s="9"/>
      <x:c r="F38" s="9"/>
      <x:c r="G38" s="9"/>
      <x:c r="H38" s="9"/>
      <x:c r="I38" s="9"/>
      <x:c r="J38" s="9"/>
      <x:c r="K38" s="9"/>
      <x:c r="L38" s="9"/>
      <x:c r="M38" s="9"/>
      <x:c r="N38" s="9"/>
      <x:c r="O38" s="9"/>
    </x:row>
    <x:row r="39" ht="44" customHeight="1">
      <x:c r="A39" s="9"/>
      <x:c r="B39" s="9"/>
      <x:c r="C39" s="9"/>
      <x:c r="D39" s="9"/>
      <x:c r="E39" s="9"/>
      <x:c r="F39" s="9"/>
      <x:c r="G39" s="9"/>
      <x:c r="H39" s="9"/>
      <x:c r="I39" s="9"/>
      <x:c r="J39" s="9"/>
      <x:c r="K39" s="9"/>
      <x:c r="L39" s="9"/>
      <x:c r="M39" s="9"/>
      <x:c r="N39" s="9"/>
      <x:c r="O39" s="9"/>
    </x:row>
    <x:row r="40" ht="44" customHeight="1">
      <x:c r="A40" s="9"/>
      <x:c r="B40" s="9"/>
      <x:c r="C40" s="9"/>
      <x:c r="D40" s="9"/>
      <x:c r="E40" s="9"/>
      <x:c r="F40" s="9"/>
      <x:c r="G40" s="9"/>
      <x:c r="H40" s="9"/>
      <x:c r="I40" s="9"/>
      <x:c r="J40" s="9"/>
      <x:c r="K40" s="9"/>
      <x:c r="L40" s="9"/>
      <x:c r="M40" s="9"/>
      <x:c r="N40" s="9"/>
      <x:c r="O40" s="9"/>
    </x:row>
    <x:row r="41" ht="44" customHeight="1">
      <x:c r="A41" s="9"/>
      <x:c r="B41" s="9"/>
      <x:c r="C41" s="9"/>
      <x:c r="D41" s="9"/>
      <x:c r="E41" s="9"/>
      <x:c r="F41" s="9"/>
      <x:c r="G41" s="9"/>
      <x:c r="H41" s="9"/>
      <x:c r="I41" s="9"/>
      <x:c r="J41" s="9"/>
      <x:c r="K41" s="9"/>
      <x:c r="L41" s="9"/>
      <x:c r="M41" s="9"/>
      <x:c r="N41" s="9"/>
      <x:c r="O41" s="9"/>
    </x:row>
    <x:row r="42" ht="44" customHeight="1">
      <x:c r="A42" s="9"/>
      <x:c r="B42" s="9"/>
      <x:c r="C42" s="9"/>
      <x:c r="D42" s="9"/>
      <x:c r="E42" s="9"/>
      <x:c r="F42" s="9"/>
      <x:c r="G42" s="9"/>
      <x:c r="H42" s="9"/>
      <x:c r="I42" s="9"/>
      <x:c r="J42" s="9"/>
      <x:c r="K42" s="9"/>
      <x:c r="L42" s="9"/>
      <x:c r="M42" s="9"/>
      <x:c r="N42" s="9"/>
      <x:c r="O42" s="9"/>
    </x:row>
    <x:row r="43" ht="44" customHeight="1">
      <x:c r="A43" s="9"/>
      <x:c r="B43" s="9"/>
      <x:c r="C43" s="9"/>
      <x:c r="D43" s="9"/>
      <x:c r="E43" s="9"/>
      <x:c r="F43" s="9"/>
      <x:c r="G43" s="9"/>
      <x:c r="H43" s="9"/>
      <x:c r="I43" s="9"/>
      <x:c r="J43" s="9"/>
      <x:c r="K43" s="9"/>
      <x:c r="L43" s="9"/>
      <x:c r="M43" s="9"/>
      <x:c r="N43" s="9"/>
      <x:c r="O43" s="9"/>
    </x:row>
    <x:row r="44" ht="44" customHeight="1">
      <x:c r="A44" s="9"/>
      <x:c r="B44" s="9"/>
      <x:c r="C44" s="9"/>
      <x:c r="D44" s="9"/>
      <x:c r="E44" s="9"/>
      <x:c r="F44" s="9"/>
      <x:c r="G44" s="9"/>
      <x:c r="H44" s="9"/>
      <x:c r="I44" s="9"/>
      <x:c r="J44" s="9"/>
      <x:c r="K44" s="9"/>
      <x:c r="L44" s="9"/>
      <x:c r="M44" s="9"/>
      <x:c r="N44" s="9"/>
      <x:c r="O44" s="9"/>
    </x:row>
    <x:row r="45" ht="44" customHeight="1">
      <x:c r="A45" s="9"/>
      <x:c r="B45" s="9"/>
      <x:c r="C45" s="9"/>
      <x:c r="D45" s="9"/>
      <x:c r="E45" s="9"/>
      <x:c r="F45" s="9"/>
      <x:c r="G45" s="9"/>
      <x:c r="H45" s="9"/>
      <x:c r="I45" s="9"/>
      <x:c r="J45" s="9"/>
      <x:c r="K45" s="9"/>
      <x:c r="L45" s="9"/>
      <x:c r="M45" s="9"/>
      <x:c r="N45" s="9"/>
      <x:c r="O45" s="9"/>
    </x:row>
    <x:row r="46" ht="44" customHeight="1">
      <x:c r="A46" s="9"/>
      <x:c r="B46" s="9"/>
      <x:c r="C46" s="9"/>
      <x:c r="D46" s="9"/>
      <x:c r="E46" s="9"/>
      <x:c r="F46" s="9"/>
      <x:c r="G46" s="9"/>
      <x:c r="H46" s="9"/>
      <x:c r="I46" s="9"/>
      <x:c r="J46" s="9"/>
      <x:c r="K46" s="9"/>
      <x:c r="L46" s="9"/>
      <x:c r="M46" s="9"/>
      <x:c r="N46" s="9"/>
      <x:c r="O46" s="9"/>
    </x:row>
    <x:row r="47" ht="44" customHeight="1">
      <x:c r="A47" s="9"/>
      <x:c r="B47" s="9"/>
      <x:c r="C47" s="9"/>
      <x:c r="D47" s="9"/>
      <x:c r="E47" s="9"/>
      <x:c r="F47" s="9"/>
      <x:c r="G47" s="9"/>
      <x:c r="H47" s="9"/>
      <x:c r="I47" s="9"/>
      <x:c r="J47" s="9"/>
      <x:c r="K47" s="9"/>
      <x:c r="L47" s="9"/>
      <x:c r="M47" s="9"/>
      <x:c r="N47" s="9"/>
      <x:c r="O47" s="9"/>
    </x:row>
    <x:row r="48" ht="44" customHeight="1">
      <x:c r="A48" s="9"/>
      <x:c r="B48" s="9"/>
      <x:c r="C48" s="9"/>
      <x:c r="D48" s="9"/>
      <x:c r="E48" s="9"/>
      <x:c r="F48" s="9"/>
      <x:c r="G48" s="9"/>
      <x:c r="H48" s="9"/>
      <x:c r="I48" s="9"/>
      <x:c r="J48" s="9"/>
      <x:c r="K48" s="9"/>
      <x:c r="L48" s="9"/>
      <x:c r="M48" s="9"/>
      <x:c r="N48" s="9"/>
      <x:c r="O48" s="9"/>
    </x:row>
    <x:row r="49" ht="44" customHeight="1">
      <x:c r="A49" s="9"/>
      <x:c r="B49" s="9"/>
      <x:c r="C49" s="9"/>
      <x:c r="D49" s="9"/>
      <x:c r="E49" s="9"/>
      <x:c r="F49" s="9"/>
      <x:c r="G49" s="9"/>
      <x:c r="H49" s="9"/>
      <x:c r="I49" s="9"/>
      <x:c r="J49" s="9"/>
      <x:c r="K49" s="9"/>
      <x:c r="L49" s="9"/>
      <x:c r="M49" s="9"/>
      <x:c r="N49" s="9"/>
      <x:c r="O49" s="9"/>
    </x:row>
    <x:row r="50" ht="44" customHeight="1">
      <x:c r="A50" s="9"/>
      <x:c r="B50" s="9"/>
      <x:c r="C50" s="9"/>
      <x:c r="D50" s="9"/>
      <x:c r="E50" s="9"/>
      <x:c r="F50" s="9"/>
      <x:c r="G50" s="9"/>
      <x:c r="H50" s="9"/>
      <x:c r="I50" s="9"/>
      <x:c r="J50" s="9"/>
      <x:c r="K50" s="9"/>
      <x:c r="L50" s="9"/>
      <x:c r="M50" s="9"/>
      <x:c r="N50" s="9"/>
      <x:c r="O50" s="9"/>
    </x:row>
    <x:row r="51" ht="44" customHeight="1">
      <x:c r="A51" s="9"/>
      <x:c r="B51" s="9"/>
      <x:c r="C51" s="9"/>
      <x:c r="D51" s="9"/>
      <x:c r="E51" s="9"/>
      <x:c r="F51" s="9"/>
      <x:c r="G51" s="9"/>
      <x:c r="H51" s="9"/>
      <x:c r="I51" s="9"/>
      <x:c r="J51" s="9"/>
      <x:c r="K51" s="9"/>
      <x:c r="L51" s="9"/>
      <x:c r="M51" s="9"/>
      <x:c r="N51" s="9"/>
      <x:c r="O51" s="9"/>
    </x:row>
    <x:row r="52" ht="44" customHeight="1">
      <x:c r="A52" s="9"/>
      <x:c r="B52" s="9"/>
      <x:c r="C52" s="9"/>
      <x:c r="D52" s="9"/>
      <x:c r="E52" s="9"/>
      <x:c r="F52" s="9"/>
      <x:c r="G52" s="9"/>
      <x:c r="H52" s="9"/>
      <x:c r="I52" s="9"/>
      <x:c r="J52" s="9"/>
      <x:c r="K52" s="9"/>
      <x:c r="L52" s="9"/>
      <x:c r="M52" s="9"/>
      <x:c r="N52" s="9"/>
      <x:c r="O52" s="9"/>
    </x:row>
    <x:row r="53" ht="44" customHeight="1">
      <x:c r="A53" s="9"/>
      <x:c r="B53" s="9"/>
      <x:c r="C53" s="9"/>
      <x:c r="D53" s="9"/>
      <x:c r="E53" s="9"/>
      <x:c r="F53" s="9"/>
      <x:c r="G53" s="9"/>
      <x:c r="H53" s="9"/>
      <x:c r="I53" s="9"/>
      <x:c r="J53" s="9"/>
      <x:c r="K53" s="9"/>
      <x:c r="L53" s="9"/>
      <x:c r="M53" s="9"/>
      <x:c r="N53" s="9"/>
      <x:c r="O53" s="9"/>
    </x:row>
    <x:row r="54" ht="44" customHeight="1">
      <x:c r="A54" s="9"/>
      <x:c r="B54" s="9"/>
      <x:c r="C54" s="9"/>
      <x:c r="D54" s="9"/>
      <x:c r="E54" s="9"/>
      <x:c r="F54" s="9"/>
      <x:c r="G54" s="9"/>
      <x:c r="H54" s="9"/>
      <x:c r="I54" s="9"/>
      <x:c r="J54" s="9"/>
      <x:c r="K54" s="9"/>
      <x:c r="L54" s="9"/>
      <x:c r="M54" s="9"/>
      <x:c r="N54" s="9"/>
      <x:c r="O54" s="9"/>
    </x:row>
    <x:row r="55" ht="44" customHeight="1">
      <x:c r="A55" s="9"/>
      <x:c r="B55" s="9"/>
      <x:c r="C55" s="9"/>
      <x:c r="D55" s="9"/>
      <x:c r="E55" s="9"/>
      <x:c r="F55" s="9"/>
      <x:c r="G55" s="9"/>
      <x:c r="H55" s="9"/>
      <x:c r="I55" s="9"/>
      <x:c r="J55" s="9"/>
      <x:c r="K55" s="9"/>
      <x:c r="L55" s="9"/>
      <x:c r="M55" s="9"/>
      <x:c r="N55" s="9"/>
      <x:c r="O55" s="9"/>
    </x:row>
    <x:row r="56" ht="44" customHeight="1">
      <x:c r="A56" s="9"/>
      <x:c r="B56" s="9"/>
      <x:c r="C56" s="9"/>
      <x:c r="D56" s="9"/>
      <x:c r="E56" s="9"/>
      <x:c r="F56" s="9"/>
      <x:c r="G56" s="9"/>
      <x:c r="H56" s="9"/>
      <x:c r="I56" s="9"/>
      <x:c r="J56" s="9"/>
      <x:c r="K56" s="9"/>
      <x:c r="L56" s="9"/>
      <x:c r="M56" s="9"/>
      <x:c r="N56" s="9"/>
      <x:c r="O56" s="9"/>
    </x:row>
    <x:row r="57" ht="44" customHeight="1">
      <x:c r="A57" s="9"/>
      <x:c r="B57" s="9"/>
      <x:c r="C57" s="9"/>
      <x:c r="D57" s="9"/>
      <x:c r="E57" s="9"/>
      <x:c r="F57" s="9"/>
      <x:c r="G57" s="9"/>
      <x:c r="H57" s="9"/>
      <x:c r="I57" s="9"/>
      <x:c r="J57" s="9"/>
      <x:c r="K57" s="9"/>
      <x:c r="L57" s="9"/>
      <x:c r="M57" s="9"/>
      <x:c r="N57" s="9"/>
      <x:c r="O57" s="9"/>
    </x:row>
    <x:row r="58" ht="44" customHeight="1">
      <x:c r="A58" s="9"/>
      <x:c r="B58" s="9"/>
      <x:c r="C58" s="9"/>
      <x:c r="D58" s="9"/>
      <x:c r="E58" s="9"/>
      <x:c r="F58" s="9"/>
      <x:c r="G58" s="9"/>
      <x:c r="H58" s="9"/>
      <x:c r="I58" s="9"/>
      <x:c r="J58" s="9"/>
      <x:c r="K58" s="9"/>
      <x:c r="L58" s="9"/>
      <x:c r="M58" s="9"/>
      <x:c r="N58" s="9"/>
      <x:c r="O58" s="9"/>
    </x:row>
    <x:row r="59" ht="44" customHeight="1">
      <x:c r="A59" s="9"/>
      <x:c r="B59" s="9"/>
      <x:c r="C59" s="9"/>
      <x:c r="D59" s="9"/>
      <x:c r="E59" s="9"/>
      <x:c r="F59" s="9"/>
      <x:c r="G59" s="9"/>
      <x:c r="H59" s="9"/>
      <x:c r="I59" s="9"/>
      <x:c r="J59" s="9"/>
      <x:c r="K59" s="9"/>
      <x:c r="L59" s="9"/>
      <x:c r="M59" s="9"/>
      <x:c r="N59" s="9"/>
      <x:c r="O59" s="9"/>
    </x:row>
    <x:row r="60" ht="44" customHeight="1">
      <x:c r="A60" s="9"/>
      <x:c r="B60" s="9"/>
      <x:c r="C60" s="9"/>
      <x:c r="D60" s="9"/>
      <x:c r="E60" s="9"/>
      <x:c r="F60" s="9"/>
      <x:c r="G60" s="9"/>
      <x:c r="H60" s="9"/>
      <x:c r="I60" s="9"/>
      <x:c r="J60" s="9"/>
      <x:c r="K60" s="9"/>
      <x:c r="L60" s="9"/>
      <x:c r="M60" s="9"/>
      <x:c r="N60" s="9"/>
      <x:c r="O60" s="9"/>
    </x:row>
    <x:row r="61" ht="44" customHeight="1">
      <x:c r="A61" s="9"/>
      <x:c r="B61" s="9"/>
      <x:c r="C61" s="9"/>
      <x:c r="D61" s="9"/>
      <x:c r="E61" s="9"/>
      <x:c r="F61" s="9"/>
      <x:c r="G61" s="9"/>
      <x:c r="H61" s="9"/>
      <x:c r="I61" s="9"/>
      <x:c r="J61" s="9"/>
      <x:c r="K61" s="9"/>
      <x:c r="L61" s="9"/>
      <x:c r="M61" s="9"/>
      <x:c r="N61" s="9"/>
      <x:c r="O61" s="9"/>
    </x:row>
    <x:row r="62" ht="44" customHeight="1">
      <x:c r="A62" s="9"/>
      <x:c r="B62" s="9"/>
      <x:c r="C62" s="9"/>
      <x:c r="D62" s="9"/>
      <x:c r="E62" s="9"/>
      <x:c r="F62" s="9"/>
      <x:c r="G62" s="9"/>
      <x:c r="H62" s="9"/>
      <x:c r="I62" s="9"/>
      <x:c r="J62" s="9"/>
      <x:c r="K62" s="9"/>
      <x:c r="L62" s="9"/>
      <x:c r="M62" s="9"/>
      <x:c r="N62" s="9"/>
      <x:c r="O62" s="9"/>
    </x:row>
    <x:row r="63" ht="44" customHeight="1">
      <x:c r="A63" s="9"/>
      <x:c r="B63" s="9"/>
      <x:c r="C63" s="9"/>
      <x:c r="D63" s="9"/>
      <x:c r="E63" s="9"/>
      <x:c r="F63" s="9"/>
      <x:c r="G63" s="9"/>
      <x:c r="H63" s="9"/>
      <x:c r="I63" s="9"/>
      <x:c r="J63" s="9"/>
      <x:c r="K63" s="9"/>
      <x:c r="L63" s="9"/>
      <x:c r="M63" s="9"/>
      <x:c r="N63" s="9"/>
      <x:c r="O63" s="9"/>
    </x:row>
    <x:row r="64" ht="44" customHeight="1">
      <x:c r="A64" s="9"/>
      <x:c r="B64" s="9"/>
      <x:c r="C64" s="9"/>
      <x:c r="D64" s="9"/>
      <x:c r="E64" s="9"/>
      <x:c r="F64" s="9"/>
      <x:c r="G64" s="9"/>
      <x:c r="H64" s="9"/>
      <x:c r="I64" s="9"/>
      <x:c r="J64" s="9"/>
      <x:c r="K64" s="9"/>
      <x:c r="L64" s="9"/>
      <x:c r="M64" s="9"/>
      <x:c r="N64" s="9"/>
      <x:c r="O64" s="9"/>
    </x:row>
    <x:row r="65" ht="44" customHeight="1">
      <x:c r="A65" s="9"/>
      <x:c r="B65" s="9"/>
      <x:c r="C65" s="9"/>
      <x:c r="D65" s="9"/>
      <x:c r="E65" s="9"/>
      <x:c r="F65" s="9"/>
      <x:c r="G65" s="9"/>
      <x:c r="H65" s="9"/>
      <x:c r="I65" s="9"/>
      <x:c r="J65" s="9"/>
      <x:c r="K65" s="9"/>
      <x:c r="L65" s="9"/>
      <x:c r="M65" s="9"/>
      <x:c r="N65" s="9"/>
      <x:c r="O65" s="9"/>
    </x:row>
    <x:row r="66" ht="44" customHeight="1">
      <x:c r="A66" s="9"/>
      <x:c r="B66" s="9"/>
      <x:c r="C66" s="9"/>
      <x:c r="D66" s="9"/>
      <x:c r="E66" s="9"/>
      <x:c r="F66" s="9"/>
      <x:c r="G66" s="9"/>
      <x:c r="H66" s="9"/>
      <x:c r="I66" s="9"/>
      <x:c r="J66" s="9"/>
      <x:c r="K66" s="9"/>
      <x:c r="L66" s="9"/>
      <x:c r="M66" s="9"/>
      <x:c r="N66" s="9"/>
      <x:c r="O66" s="9"/>
    </x:row>
    <x:row r="67" ht="44" customHeight="1">
      <x:c r="A67" s="9"/>
      <x:c r="B67" s="9"/>
      <x:c r="C67" s="9"/>
      <x:c r="D67" s="9"/>
      <x:c r="E67" s="9"/>
      <x:c r="F67" s="9"/>
      <x:c r="G67" s="9"/>
      <x:c r="H67" s="9"/>
      <x:c r="I67" s="9"/>
      <x:c r="J67" s="9"/>
      <x:c r="K67" s="9"/>
      <x:c r="L67" s="9"/>
      <x:c r="M67" s="9"/>
      <x:c r="N67" s="9"/>
      <x:c r="O67" s="9"/>
    </x:row>
    <x:row r="68" ht="44" customHeight="1">
      <x:c r="A68" s="9"/>
      <x:c r="B68" s="9"/>
      <x:c r="C68" s="9"/>
      <x:c r="D68" s="9"/>
      <x:c r="E68" s="9"/>
      <x:c r="F68" s="9"/>
      <x:c r="G68" s="9"/>
      <x:c r="H68" s="9"/>
      <x:c r="I68" s="9"/>
      <x:c r="J68" s="9"/>
      <x:c r="K68" s="9"/>
      <x:c r="L68" s="9"/>
      <x:c r="M68" s="9"/>
      <x:c r="N68" s="9"/>
      <x:c r="O68" s="9"/>
    </x:row>
    <x:row r="69" ht="44" customHeight="1">
      <x:c r="A69" s="9"/>
      <x:c r="B69" s="9"/>
      <x:c r="C69" s="9"/>
      <x:c r="D69" s="9"/>
      <x:c r="E69" s="9"/>
      <x:c r="F69" s="9"/>
      <x:c r="G69" s="9"/>
      <x:c r="H69" s="9"/>
      <x:c r="I69" s="9"/>
      <x:c r="J69" s="9"/>
      <x:c r="K69" s="9"/>
      <x:c r="L69" s="9"/>
      <x:c r="M69" s="9"/>
      <x:c r="N69" s="9"/>
      <x:c r="O69" s="9"/>
    </x:row>
    <x:row r="70" ht="44" customHeight="1">
      <x:c r="A70" s="9"/>
      <x:c r="B70" s="9"/>
      <x:c r="C70" s="9"/>
      <x:c r="D70" s="9"/>
      <x:c r="E70" s="9"/>
      <x:c r="F70" s="9"/>
      <x:c r="G70" s="9"/>
      <x:c r="H70" s="9"/>
      <x:c r="I70" s="9"/>
      <x:c r="J70" s="9"/>
      <x:c r="K70" s="9"/>
      <x:c r="L70" s="9"/>
      <x:c r="M70" s="9"/>
      <x:c r="N70" s="9"/>
      <x:c r="O70" s="9"/>
    </x:row>
    <x:row r="71" ht="44" customHeight="1">
      <x:c r="A71" s="9"/>
      <x:c r="B71" s="9"/>
      <x:c r="C71" s="9"/>
      <x:c r="D71" s="9"/>
      <x:c r="E71" s="9"/>
      <x:c r="F71" s="9"/>
      <x:c r="G71" s="9"/>
      <x:c r="H71" s="9"/>
      <x:c r="I71" s="9"/>
      <x:c r="J71" s="9"/>
      <x:c r="K71" s="9"/>
      <x:c r="L71" s="9"/>
      <x:c r="M71" s="9"/>
      <x:c r="N71" s="9"/>
      <x:c r="O71" s="9"/>
    </x:row>
    <x:row r="72" ht="44" customHeight="1">
      <x:c r="A72" s="9"/>
      <x:c r="B72" s="9"/>
      <x:c r="C72" s="9"/>
      <x:c r="D72" s="9"/>
      <x:c r="E72" s="9"/>
      <x:c r="F72" s="9"/>
      <x:c r="G72" s="9"/>
      <x:c r="H72" s="9"/>
      <x:c r="I72" s="9"/>
      <x:c r="J72" s="9"/>
      <x:c r="K72" s="9"/>
      <x:c r="L72" s="9"/>
      <x:c r="M72" s="9"/>
      <x:c r="N72" s="9"/>
      <x:c r="O72" s="9"/>
    </x:row>
    <x:row r="73" ht="44" customHeight="1">
      <x:c r="A73" s="9"/>
      <x:c r="B73" s="9"/>
      <x:c r="C73" s="9"/>
      <x:c r="D73" s="9"/>
      <x:c r="E73" s="9"/>
      <x:c r="F73" s="9"/>
      <x:c r="G73" s="9"/>
      <x:c r="H73" s="9"/>
      <x:c r="I73" s="9"/>
      <x:c r="J73" s="9"/>
      <x:c r="K73" s="9"/>
      <x:c r="L73" s="9"/>
      <x:c r="M73" s="9"/>
      <x:c r="N73" s="9"/>
      <x:c r="O73" s="9"/>
    </x:row>
    <x:row r="74" ht="44" customHeight="1">
      <x:c r="A74" s="9"/>
      <x:c r="B74" s="9"/>
      <x:c r="C74" s="9"/>
      <x:c r="D74" s="9"/>
      <x:c r="E74" s="9"/>
      <x:c r="F74" s="9"/>
      <x:c r="G74" s="9"/>
      <x:c r="H74" s="9"/>
      <x:c r="I74" s="9"/>
      <x:c r="J74" s="9"/>
      <x:c r="K74" s="9"/>
      <x:c r="L74" s="9"/>
      <x:c r="M74" s="9"/>
      <x:c r="N74" s="9"/>
      <x:c r="O74" s="9"/>
    </x:row>
    <x:row r="75" ht="44" customHeight="1">
      <x:c r="A75" s="9"/>
      <x:c r="B75" s="9"/>
      <x:c r="C75" s="9"/>
      <x:c r="D75" s="9"/>
      <x:c r="E75" s="9"/>
      <x:c r="F75" s="9"/>
      <x:c r="G75" s="9"/>
      <x:c r="H75" s="9"/>
      <x:c r="I75" s="9"/>
      <x:c r="J75" s="9"/>
      <x:c r="K75" s="9"/>
      <x:c r="L75" s="9"/>
      <x:c r="M75" s="9"/>
      <x:c r="N75" s="9"/>
      <x:c r="O75" s="9"/>
    </x:row>
    <x:row r="76" ht="44" customHeight="1">
      <x:c r="A76" s="9"/>
      <x:c r="B76" s="9"/>
      <x:c r="C76" s="9"/>
      <x:c r="D76" s="9"/>
      <x:c r="E76" s="9"/>
      <x:c r="F76" s="9"/>
      <x:c r="G76" s="9"/>
      <x:c r="H76" s="9"/>
      <x:c r="I76" s="9"/>
      <x:c r="J76" s="9"/>
      <x:c r="K76" s="9"/>
      <x:c r="L76" s="9"/>
      <x:c r="M76" s="9"/>
      <x:c r="N76" s="9"/>
      <x:c r="O76" s="9"/>
    </x:row>
    <x:row r="77" ht="44" customHeight="1">
      <x:c r="A77" s="9"/>
      <x:c r="B77" s="9"/>
      <x:c r="C77" s="9"/>
      <x:c r="D77" s="9"/>
      <x:c r="E77" s="9"/>
      <x:c r="F77" s="9"/>
      <x:c r="G77" s="9"/>
      <x:c r="H77" s="9"/>
      <x:c r="I77" s="9"/>
      <x:c r="J77" s="9"/>
      <x:c r="K77" s="9"/>
      <x:c r="L77" s="9"/>
      <x:c r="M77" s="9"/>
      <x:c r="N77" s="9"/>
      <x:c r="O77" s="9"/>
    </x:row>
    <x:row r="78" ht="44" customHeight="1">
      <x:c r="A78" s="9"/>
      <x:c r="B78" s="9"/>
      <x:c r="C78" s="9"/>
      <x:c r="D78" s="9"/>
      <x:c r="E78" s="9"/>
      <x:c r="F78" s="9"/>
      <x:c r="G78" s="9"/>
      <x:c r="H78" s="9"/>
      <x:c r="I78" s="9"/>
      <x:c r="J78" s="9"/>
      <x:c r="K78" s="9"/>
      <x:c r="L78" s="9"/>
      <x:c r="M78" s="9"/>
      <x:c r="N78" s="9"/>
      <x:c r="O78" s="9"/>
    </x:row>
    <x:row r="79" ht="44" customHeight="1">
      <x:c r="A79" s="9"/>
      <x:c r="B79" s="9"/>
      <x:c r="C79" s="9"/>
      <x:c r="D79" s="9"/>
      <x:c r="E79" s="9"/>
      <x:c r="F79" s="9"/>
      <x:c r="G79" s="9"/>
      <x:c r="H79" s="9"/>
      <x:c r="I79" s="9"/>
      <x:c r="J79" s="9"/>
      <x:c r="K79" s="9"/>
      <x:c r="L79" s="9"/>
      <x:c r="M79" s="9"/>
      <x:c r="N79" s="9"/>
      <x:c r="O79" s="9"/>
    </x:row>
    <x:row r="80" ht="44" customHeight="1">
      <x:c r="A80" s="9"/>
      <x:c r="B80" s="9"/>
      <x:c r="C80" s="9"/>
      <x:c r="D80" s="9"/>
      <x:c r="E80" s="9"/>
      <x:c r="F80" s="9"/>
      <x:c r="G80" s="9"/>
      <x:c r="H80" s="9"/>
      <x:c r="I80" s="9"/>
      <x:c r="J80" s="9"/>
      <x:c r="K80" s="9"/>
      <x:c r="L80" s="9"/>
      <x:c r="M80" s="9"/>
      <x:c r="N80" s="9"/>
      <x:c r="O80" s="9"/>
    </x:row>
    <x:row r="81" ht="44" customHeight="1">
      <x:c r="A81" s="9"/>
      <x:c r="B81" s="9"/>
      <x:c r="C81" s="9"/>
      <x:c r="D81" s="9"/>
      <x:c r="E81" s="9"/>
      <x:c r="F81" s="9"/>
      <x:c r="G81" s="9"/>
      <x:c r="H81" s="9"/>
      <x:c r="I81" s="9"/>
      <x:c r="J81" s="9"/>
      <x:c r="K81" s="9"/>
      <x:c r="L81" s="9"/>
      <x:c r="M81" s="9"/>
      <x:c r="N81" s="9"/>
      <x:c r="O81" s="9"/>
    </x:row>
    <x:row r="82" ht="44" customHeight="1">
      <x:c r="A82" s="9"/>
      <x:c r="B82" s="9"/>
      <x:c r="C82" s="9"/>
      <x:c r="D82" s="9"/>
      <x:c r="E82" s="9"/>
      <x:c r="F82" s="9"/>
      <x:c r="G82" s="9"/>
      <x:c r="H82" s="9"/>
      <x:c r="I82" s="9"/>
      <x:c r="J82" s="9"/>
      <x:c r="K82" s="9"/>
      <x:c r="L82" s="9"/>
      <x:c r="M82" s="9"/>
      <x:c r="N82" s="9"/>
      <x:c r="O82" s="9"/>
    </x:row>
    <x:row r="83" ht="44" customHeight="1">
      <x:c r="A83" s="9"/>
      <x:c r="B83" s="9"/>
      <x:c r="C83" s="9"/>
      <x:c r="D83" s="9"/>
      <x:c r="E83" s="9"/>
      <x:c r="F83" s="9"/>
      <x:c r="G83" s="9"/>
      <x:c r="H83" s="9"/>
      <x:c r="I83" s="9"/>
      <x:c r="J83" s="9"/>
      <x:c r="K83" s="9"/>
      <x:c r="L83" s="9"/>
      <x:c r="M83" s="9"/>
      <x:c r="N83" s="9"/>
      <x:c r="O83" s="9"/>
    </x:row>
    <x:row r="84" ht="44" customHeight="1">
      <x:c r="A84" s="9"/>
      <x:c r="B84" s="9"/>
      <x:c r="C84" s="9"/>
      <x:c r="D84" s="9"/>
      <x:c r="E84" s="9"/>
      <x:c r="F84" s="9"/>
      <x:c r="G84" s="9"/>
      <x:c r="H84" s="9"/>
      <x:c r="I84" s="9"/>
      <x:c r="J84" s="9"/>
      <x:c r="K84" s="9"/>
      <x:c r="L84" s="9"/>
      <x:c r="M84" s="9"/>
      <x:c r="N84" s="9"/>
      <x:c r="O84" s="9"/>
    </x:row>
    <x:row r="85" ht="44" customHeight="1">
      <x:c r="A85" s="9"/>
      <x:c r="B85" s="9"/>
      <x:c r="C85" s="9"/>
      <x:c r="D85" s="9"/>
      <x:c r="E85" s="9"/>
      <x:c r="F85" s="9"/>
      <x:c r="G85" s="9"/>
      <x:c r="H85" s="9"/>
      <x:c r="I85" s="9"/>
      <x:c r="J85" s="9"/>
      <x:c r="K85" s="9"/>
      <x:c r="L85" s="9"/>
      <x:c r="M85" s="9"/>
      <x:c r="N85" s="9"/>
      <x:c r="O85" s="9"/>
    </x:row>
    <x:row r="86" ht="44" customHeight="1">
      <x:c r="A86" s="9"/>
      <x:c r="B86" s="9"/>
      <x:c r="C86" s="9"/>
      <x:c r="D86" s="9"/>
      <x:c r="E86" s="9"/>
      <x:c r="F86" s="9"/>
      <x:c r="G86" s="9"/>
      <x:c r="H86" s="9"/>
      <x:c r="I86" s="9"/>
      <x:c r="J86" s="9"/>
      <x:c r="K86" s="9"/>
      <x:c r="L86" s="9"/>
      <x:c r="M86" s="9"/>
      <x:c r="N86" s="9"/>
      <x:c r="O86" s="9"/>
    </x:row>
    <x:row r="87" ht="44" customHeight="1">
      <x:c r="A87" s="9"/>
      <x:c r="B87" s="9"/>
      <x:c r="C87" s="9"/>
      <x:c r="D87" s="9"/>
      <x:c r="E87" s="9"/>
      <x:c r="F87" s="9"/>
      <x:c r="G87" s="9"/>
      <x:c r="H87" s="9"/>
      <x:c r="I87" s="9"/>
      <x:c r="J87" s="9"/>
      <x:c r="K87" s="9"/>
      <x:c r="L87" s="9"/>
      <x:c r="M87" s="9"/>
      <x:c r="N87" s="9"/>
      <x:c r="O87" s="9"/>
    </x:row>
    <x:row r="88" ht="44" customHeight="1">
      <x:c r="A88" s="9"/>
      <x:c r="B88" s="9"/>
      <x:c r="C88" s="9"/>
      <x:c r="D88" s="9"/>
      <x:c r="E88" s="9"/>
      <x:c r="F88" s="9"/>
      <x:c r="G88" s="9"/>
      <x:c r="H88" s="9"/>
      <x:c r="I88" s="9"/>
      <x:c r="J88" s="9"/>
      <x:c r="K88" s="9"/>
      <x:c r="L88" s="9"/>
      <x:c r="M88" s="9"/>
      <x:c r="N88" s="9"/>
      <x:c r="O88" s="9"/>
    </x:row>
    <x:row r="89" ht="44" customHeight="1">
      <x:c r="A89" s="9"/>
      <x:c r="B89" s="9"/>
      <x:c r="C89" s="9"/>
      <x:c r="D89" s="9"/>
      <x:c r="E89" s="9"/>
      <x:c r="F89" s="9"/>
      <x:c r="G89" s="9"/>
      <x:c r="H89" s="9"/>
      <x:c r="I89" s="9"/>
      <x:c r="J89" s="9"/>
      <x:c r="K89" s="9"/>
      <x:c r="L89" s="9"/>
      <x:c r="M89" s="9"/>
      <x:c r="N89" s="9"/>
      <x:c r="O89" s="9"/>
    </x:row>
    <x:row r="90" ht="44" customHeight="1">
      <x:c r="A90" s="9"/>
      <x:c r="B90" s="9"/>
      <x:c r="C90" s="9"/>
      <x:c r="D90" s="9"/>
      <x:c r="E90" s="9"/>
      <x:c r="F90" s="9"/>
      <x:c r="G90" s="9"/>
      <x:c r="H90" s="9"/>
      <x:c r="I90" s="9"/>
      <x:c r="J90" s="9"/>
      <x:c r="K90" s="9"/>
      <x:c r="L90" s="9"/>
      <x:c r="M90" s="9"/>
      <x:c r="N90" s="9"/>
      <x:c r="O90" s="9"/>
    </x:row>
    <x:row r="91" ht="44" customHeight="1">
      <x:c r="A91" s="9"/>
      <x:c r="B91" s="9"/>
      <x:c r="C91" s="9"/>
      <x:c r="D91" s="9"/>
      <x:c r="E91" s="9"/>
      <x:c r="F91" s="9"/>
      <x:c r="G91" s="9"/>
      <x:c r="H91" s="9"/>
      <x:c r="I91" s="9"/>
      <x:c r="J91" s="9"/>
      <x:c r="K91" s="9"/>
      <x:c r="L91" s="9"/>
      <x:c r="M91" s="9"/>
      <x:c r="N91" s="9"/>
      <x:c r="O91" s="9"/>
    </x:row>
    <x:row r="92" ht="44" customHeight="1">
      <x:c r="A92" s="9"/>
      <x:c r="B92" s="9"/>
      <x:c r="C92" s="9"/>
      <x:c r="D92" s="9"/>
      <x:c r="E92" s="9"/>
      <x:c r="F92" s="9"/>
      <x:c r="G92" s="9"/>
      <x:c r="H92" s="9"/>
      <x:c r="I92" s="9"/>
      <x:c r="J92" s="9"/>
      <x:c r="K92" s="9"/>
      <x:c r="L92" s="9"/>
      <x:c r="M92" s="9"/>
      <x:c r="N92" s="9"/>
      <x:c r="O92" s="9"/>
    </x:row>
    <x:row r="93" ht="44" customHeight="1">
      <x:c r="A93" s="9"/>
      <x:c r="B93" s="9"/>
      <x:c r="C93" s="9"/>
      <x:c r="D93" s="9"/>
      <x:c r="E93" s="9"/>
      <x:c r="F93" s="9"/>
      <x:c r="G93" s="9"/>
      <x:c r="H93" s="9"/>
      <x:c r="I93" s="9"/>
      <x:c r="J93" s="9"/>
      <x:c r="K93" s="9"/>
      <x:c r="L93" s="9"/>
      <x:c r="M93" s="9"/>
      <x:c r="N93" s="9"/>
      <x:c r="O93" s="9"/>
    </x:row>
    <x:row r="94" ht="44" customHeight="1">
      <x:c r="A94" s="9"/>
      <x:c r="B94" s="9"/>
      <x:c r="C94" s="9"/>
      <x:c r="D94" s="9"/>
      <x:c r="E94" s="9"/>
      <x:c r="F94" s="9"/>
      <x:c r="G94" s="9"/>
      <x:c r="H94" s="9"/>
      <x:c r="I94" s="9"/>
      <x:c r="J94" s="9"/>
      <x:c r="K94" s="9"/>
      <x:c r="L94" s="9"/>
      <x:c r="M94" s="9"/>
      <x:c r="N94" s="9"/>
      <x:c r="O94" s="9"/>
    </x:row>
    <x:row r="95" ht="44" customHeight="1">
      <x:c r="A95" s="9"/>
      <x:c r="B95" s="9"/>
      <x:c r="C95" s="9"/>
      <x:c r="D95" s="9"/>
      <x:c r="E95" s="9"/>
      <x:c r="F95" s="9"/>
      <x:c r="G95" s="9"/>
      <x:c r="H95" s="9"/>
      <x:c r="I95" s="9"/>
      <x:c r="J95" s="9"/>
      <x:c r="K95" s="9"/>
      <x:c r="L95" s="9"/>
      <x:c r="M95" s="9"/>
      <x:c r="N95" s="9"/>
      <x:c r="O95" s="9"/>
    </x:row>
    <x:row r="96" ht="44" customHeight="1">
      <x:c r="A96" s="9"/>
      <x:c r="B96" s="9"/>
      <x:c r="C96" s="9"/>
      <x:c r="D96" s="9"/>
      <x:c r="E96" s="9"/>
      <x:c r="F96" s="9"/>
      <x:c r="G96" s="9"/>
      <x:c r="H96" s="9"/>
      <x:c r="I96" s="9"/>
      <x:c r="J96" s="9"/>
      <x:c r="K96" s="9"/>
      <x:c r="L96" s="9"/>
      <x:c r="M96" s="9"/>
      <x:c r="N96" s="9"/>
      <x:c r="O96" s="9"/>
    </x:row>
    <x:row r="97" ht="44" customHeight="1">
      <x:c r="A97" s="9"/>
      <x:c r="B97" s="9"/>
      <x:c r="C97" s="9"/>
      <x:c r="D97" s="9"/>
      <x:c r="E97" s="9"/>
      <x:c r="F97" s="9"/>
      <x:c r="G97" s="9"/>
      <x:c r="H97" s="9"/>
      <x:c r="I97" s="9"/>
      <x:c r="J97" s="9"/>
      <x:c r="K97" s="9"/>
      <x:c r="L97" s="9"/>
      <x:c r="M97" s="9"/>
      <x:c r="N97" s="9"/>
      <x:c r="O97" s="9"/>
    </x:row>
    <x:row r="98" ht="44" customHeight="1">
      <x:c r="A98" s="9"/>
      <x:c r="B98" s="9"/>
      <x:c r="C98" s="9"/>
      <x:c r="D98" s="9"/>
      <x:c r="E98" s="9"/>
      <x:c r="F98" s="9"/>
      <x:c r="G98" s="9"/>
      <x:c r="H98" s="9"/>
      <x:c r="I98" s="9"/>
      <x:c r="J98" s="9"/>
      <x:c r="K98" s="9"/>
      <x:c r="L98" s="9"/>
      <x:c r="M98" s="9"/>
      <x:c r="N98" s="9"/>
      <x:c r="O98" s="9"/>
    </x:row>
    <x:row r="99" ht="44" customHeight="1">
      <x:c r="A99" s="9"/>
      <x:c r="B99" s="9"/>
      <x:c r="C99" s="9"/>
      <x:c r="D99" s="9"/>
      <x:c r="E99" s="9"/>
      <x:c r="F99" s="9"/>
      <x:c r="G99" s="9"/>
      <x:c r="H99" s="9"/>
      <x:c r="I99" s="9"/>
      <x:c r="J99" s="9"/>
      <x:c r="K99" s="9"/>
      <x:c r="L99" s="9"/>
      <x:c r="M99" s="9"/>
      <x:c r="N99" s="9"/>
      <x:c r="O99" s="9"/>
    </x:row>
    <x:row r="100" ht="44" customHeight="1">
      <x:c r="A100" s="9"/>
      <x:c r="B100" s="9"/>
      <x:c r="C100" s="9"/>
      <x:c r="D100" s="9"/>
      <x:c r="E100" s="9"/>
      <x:c r="F100" s="9"/>
      <x:c r="G100" s="9"/>
      <x:c r="H100" s="9"/>
      <x:c r="I100" s="9"/>
      <x:c r="J100" s="9"/>
      <x:c r="K100" s="9"/>
      <x:c r="L100" s="9"/>
      <x:c r="M100" s="9"/>
      <x:c r="N100" s="9"/>
      <x:c r="O100" s="9"/>
    </x:row>
    <x:row r="101" ht="44" customHeight="1">
      <x:c r="A101" s="9"/>
      <x:c r="B101" s="9"/>
      <x:c r="C101" s="9"/>
      <x:c r="D101" s="9"/>
      <x:c r="E101" s="9"/>
      <x:c r="F101" s="9"/>
      <x:c r="G101" s="9"/>
      <x:c r="H101" s="9"/>
      <x:c r="I101" s="9"/>
      <x:c r="J101" s="9"/>
      <x:c r="K101" s="9"/>
      <x:c r="L101" s="9"/>
      <x:c r="M101" s="9"/>
      <x:c r="N101" s="9"/>
      <x:c r="O101" s="9"/>
    </x:row>
    <x:row r="102" ht="44" customHeight="1">
      <x:c r="A102" s="9"/>
      <x:c r="B102" s="9"/>
      <x:c r="C102" s="9"/>
      <x:c r="D102" s="9"/>
      <x:c r="E102" s="9"/>
      <x:c r="F102" s="9"/>
      <x:c r="G102" s="9"/>
      <x:c r="H102" s="9"/>
      <x:c r="I102" s="9"/>
      <x:c r="J102" s="9"/>
      <x:c r="K102" s="9"/>
      <x:c r="L102" s="9"/>
      <x:c r="M102" s="9"/>
      <x:c r="N102" s="9"/>
      <x:c r="O102" s="9"/>
    </x:row>
    <x:row r="103" ht="44" customHeight="1">
      <x:c r="A103" s="9"/>
      <x:c r="B103" s="9"/>
      <x:c r="C103" s="9"/>
      <x:c r="D103" s="9"/>
      <x:c r="E103" s="9"/>
      <x:c r="F103" s="9"/>
      <x:c r="G103" s="9"/>
      <x:c r="H103" s="9"/>
      <x:c r="I103" s="9"/>
      <x:c r="J103" s="9"/>
      <x:c r="K103" s="9"/>
      <x:c r="L103" s="9"/>
      <x:c r="M103" s="9"/>
      <x:c r="N103" s="9"/>
      <x:c r="O103" s="9"/>
    </x:row>
    <x:row r="104" ht="44" customHeight="1">
      <x:c r="A104" s="9"/>
      <x:c r="B104" s="9"/>
      <x:c r="C104" s="9"/>
      <x:c r="D104" s="9"/>
      <x:c r="E104" s="9"/>
      <x:c r="F104" s="9"/>
      <x:c r="G104" s="9"/>
      <x:c r="H104" s="9"/>
      <x:c r="I104" s="9"/>
      <x:c r="J104" s="9"/>
      <x:c r="K104" s="9"/>
      <x:c r="L104" s="9"/>
      <x:c r="M104" s="9"/>
      <x:c r="N104" s="9"/>
      <x:c r="O104" s="9"/>
    </x:row>
    <x:row r="105" ht="44" customHeight="1">
      <x:c r="A105" s="9"/>
      <x:c r="B105" s="9"/>
      <x:c r="C105" s="9"/>
      <x:c r="D105" s="9"/>
      <x:c r="E105" s="9"/>
      <x:c r="F105" s="9"/>
      <x:c r="G105" s="9"/>
      <x:c r="H105" s="9"/>
      <x:c r="I105" s="9"/>
      <x:c r="J105" s="9"/>
      <x:c r="K105" s="9"/>
      <x:c r="L105" s="9"/>
      <x:c r="M105" s="9"/>
      <x:c r="N105" s="9"/>
      <x:c r="O105" s="9"/>
    </x:row>
  </x:sheetData>
  <x:mergeCells>
    <x:mergeCell ref="A1:H1"/>
    <x:mergeCell ref="A2:L2"/>
    <x:mergeCell ref="A3:L3"/>
  </x:mergeCells>
  <x:dataValidations count="2">
    <x:dataValidation type="list" sqref="F6:F105">
      <x:formula1>'标注选项'!$B$134:$B$137</x:formula1>
    </x:dataValidation>
    <x:dataValidation type="list" sqref="M6:M105">
      <x:formula1>'标注选项'!$B$6:$B$10</x:formula1>
    </x:dataValidation>
  </x:dataValidations>
  <x:pageMargins left="0.7" right="0.7" top="0.75" bottom="0.75" header="0.3" footer="0.3"/>
  <x:legacyDrawing xmlns:r="http://schemas.openxmlformats.org/officeDocument/2006/relationships" r:id="Rf6d4b2cc512f42e2"/>
  <x:tableParts count="1">
    <x:tablePart xmlns:r="http://schemas.openxmlformats.org/officeDocument/2006/relationships" r:id="R9db7207e1d5f498e"/>
  </x:tableParts>
</x:worksheet>
</file>

<file path=xl/worksheets/sheet3.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38" hidden="0" customWidth="1"/>
    <x:col min="4" max="4" width="38" hidden="0" customWidth="1"/>
    <x:col min="5" max="5" width="38" hidden="0" customWidth="1"/>
    <x:col min="6" max="6" width="22" hidden="0" customWidth="1"/>
    <x:col min="7" max="7" width="58" hidden="0" customWidth="1"/>
    <x:col min="8" max="8" width="22" hidden="0" customWidth="1"/>
    <x:col min="9" max="9" width="22" hidden="0" customWidth="1"/>
    <x:col min="10" max="10" width="38" hidden="0" customWidth="1"/>
    <x:col min="11" max="11" width="38" hidden="0" customWidth="1"/>
  </x:cols>
  <x:sheetData>
    <x:row r="1" ht="38" customHeight="1">
      <x:c r="A1" s="5" t="str">
        <x:v>来源登记</x:v>
      </x:c>
      <x:c r="B1" s="5"/>
      <x:c r="C1" s="5"/>
      <x:c r="D1" s="5"/>
      <x:c r="E1" s="5"/>
      <x:c r="F1" s="5"/>
      <x:c r="G1" s="5"/>
      <x:c r="H1" s="5"/>
      <x:c r="I1" s="3"/>
      <x:c r="J1" s="3"/>
      <x:c r="K1" s="3"/>
    </x:row>
    <x:row r="2" ht="36" customHeight="1">
      <x:c r="A2" s="6" t="str">
        <x:v>材料登记和版本追溯；原件与参考摘要分开登记。原文件保持只读。</x:v>
      </x:c>
      <x:c r="B2" s="6"/>
      <x:c r="C2" s="6"/>
      <x:c r="D2" s="6"/>
      <x:c r="E2" s="6"/>
      <x:c r="F2" s="6"/>
      <x:c r="G2" s="6"/>
      <x:c r="H2" s="6"/>
      <x:c r="I2" s="6"/>
      <x:c r="J2" s="6"/>
      <x:c r="K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row>
    <x:row r="4" ht="44" customHeight="1">
      <x:c r="A4" s="3"/>
      <x:c r="B4" s="3"/>
      <x:c r="C4" s="3"/>
      <x:c r="D4" s="3"/>
      <x:c r="E4" s="3"/>
      <x:c r="F4" s="3"/>
      <x:c r="G4" s="3"/>
      <x:c r="H4" s="3"/>
      <x:c r="I4" s="3"/>
      <x:c r="J4" s="3"/>
      <x:c r="K4" s="3"/>
    </x:row>
    <x:row r="5" ht="48" customHeight="1">
      <x:c r="A5" s="10" t="str">
        <x:v>材料ID</x:v>
      </x:c>
      <x:c r="B5" s="10" t="str">
        <x:v>案件ID</x:v>
      </x:c>
      <x:c r="C5" s="10" t="str">
        <x:v>文件名或包内路径</x:v>
      </x:c>
      <x:c r="D5" s="10" t="str">
        <x:v>来源用途</x:v>
      </x:c>
      <x:c r="E5" s="10" t="str">
        <x:v>SHA256</x:v>
      </x:c>
      <x:c r="F5" s="10" t="str">
        <x:v>来源版本或日期</x:v>
      </x:c>
      <x:c r="G5" s="10" t="str">
        <x:v>输入边界或衍生关系</x:v>
      </x:c>
      <x:c r="H5" s="10" t="str">
        <x:v>技术处理状态</x:v>
      </x:c>
      <x:c r="I5" s="10" t="str">
        <x:v>核验状态</x:v>
      </x:c>
      <x:c r="J5" s="10" t="str">
        <x:v>核验人</x:v>
      </x:c>
      <x:c r="K5" s="10" t="str">
        <x:v>本地定位</x:v>
      </x:c>
    </x:row>
    <x:row r="6" ht="44" customHeight="1">
      <x:c r="A6" s="9" t="str">
        <x:v>SRC-01</x:v>
      </x:c>
      <x:c r="B6" s="9" t="str">
        <x:v>GLOBAL</x:v>
      </x:c>
      <x:c r="C6" s="9" t="str">
        <x:v>个人信息-个保法-处理方式对应表(1).xlsx</x:v>
      </x:c>
      <x:c r="D6" s="9" t="str">
        <x:v>规则资料</x:v>
      </x:c>
      <x:c r="E6" s="9" t="str">
        <x:v>e2d270d3d152e73d0e099b4dc6456f6bbee2495c749b3c10d11f5d60c24a064e</x:v>
      </x:c>
      <x:c r="F6" s="9" t="str">
        <x:v>2026-09-11接收</x:v>
      </x:c>
      <x:c r="G6" s="9" t="str">
        <x:v>来源原样留存</x:v>
      </x:c>
      <x:c r="H6" s="9" t="str">
        <x:v>已提取文本或单元格；输入边界待核验</x:v>
      </x:c>
      <x:c r="I6" s="9" t="str">
        <x:v>待核验</x:v>
      </x:c>
      <x:c r="J6" s="9" t="str"/>
      <x:c r="K6" s="9" t="str">
        <x:v>原始附件；抽取副本.data/landing_20260911/01.json</x:v>
      </x:c>
    </x:row>
    <x:row r="7" ht="44" customHeight="1">
      <x:c r="A7" s="9" t="str">
        <x:v>SRC-02</x:v>
      </x:c>
      <x:c r="B7" s="9" t="str">
        <x:v>GLOBAL</x:v>
      </x:c>
      <x:c r="C7" s="9" t="str">
        <x:v>其他敏感客体-相应法条-处理方式对照表(1).xlsx</x:v>
      </x:c>
      <x:c r="D7" s="9" t="str">
        <x:v>规则资料</x:v>
      </x:c>
      <x:c r="E7" s="9" t="str">
        <x:v>a7508802136c738d28e491a950a99c7e3147ea73452ef92c51aef4a0c46d768f</x:v>
      </x:c>
      <x:c r="F7" s="9" t="str">
        <x:v>2026-09-11接收</x:v>
      </x:c>
      <x:c r="G7" s="9" t="str">
        <x:v>来源原样留存</x:v>
      </x:c>
      <x:c r="H7" s="9" t="str">
        <x:v>已提取文本或单元格；输入边界待核验</x:v>
      </x:c>
      <x:c r="I7" s="9" t="str">
        <x:v>待核验</x:v>
      </x:c>
      <x:c r="J7" s="9" t="str"/>
      <x:c r="K7" s="9" t="str">
        <x:v>原始附件；抽取副本.data/landing_20260911/02.json</x:v>
      </x:c>
    </x:row>
    <x:row r="8" ht="44" customHeight="1">
      <x:c r="A8" s="9" t="str">
        <x:v>SRC-03</x:v>
      </x:c>
      <x:c r="B8" s="9" t="str">
        <x:v>GLOBAL</x:v>
      </x:c>
      <x:c r="C8" s="9" t="str">
        <x:v>总法源目录(1).xlsx</x:v>
      </x:c>
      <x:c r="D8" s="9" t="str">
        <x:v>规则资料</x:v>
      </x:c>
      <x:c r="E8" s="9" t="str">
        <x:v>39ffd9f5d4f9efb83bced8606c8724265868fd7487b303026a453f2b5de3a19f</x:v>
      </x:c>
      <x:c r="F8" s="9" t="str">
        <x:v>2026-09-11接收</x:v>
      </x:c>
      <x:c r="G8" s="9" t="str">
        <x:v>来源原样留存</x:v>
      </x:c>
      <x:c r="H8" s="9" t="str">
        <x:v>已提取文本或单元格；输入边界待核验</x:v>
      </x:c>
      <x:c r="I8" s="9" t="str">
        <x:v>待核验</x:v>
      </x:c>
      <x:c r="J8" s="9" t="str"/>
      <x:c r="K8" s="9" t="str">
        <x:v>原始附件；抽取副本.data/landing_20260911/03.json</x:v>
      </x:c>
    </x:row>
    <x:row r="9" ht="44" customHeight="1">
      <x:c r="A9" s="9" t="str">
        <x:v>SRC-04</x:v>
      </x:c>
      <x:c r="B9" s="9" t="str">
        <x:v>GLOBAL</x:v>
      </x:c>
      <x:c r="C9" s="9" t="str">
        <x:v>硬性禁止、人工复核情形及冲突处理回答(1).docx</x:v>
      </x:c>
      <x:c r="D9" s="9" t="str">
        <x:v>规则资料</x:v>
      </x:c>
      <x:c r="E9" s="9" t="str">
        <x:v>3db0bf741132a721a9486a92af806e12d01cdbb827888d78c9717803d7f51457</x:v>
      </x:c>
      <x:c r="F9" s="9" t="str">
        <x:v>2026-09-11接收</x:v>
      </x:c>
      <x:c r="G9" s="9" t="str">
        <x:v>来源原样留存</x:v>
      </x:c>
      <x:c r="H9" s="9" t="str">
        <x:v>已提取文本或单元格；输入边界待核验</x:v>
      </x:c>
      <x:c r="I9" s="9" t="str">
        <x:v>待核验</x:v>
      </x:c>
      <x:c r="J9" s="9" t="str"/>
      <x:c r="K9" s="9" t="str">
        <x:v>原始附件；抽取副本.data/landing_20260911/04.json</x:v>
      </x:c>
    </x:row>
    <x:row r="10" ht="44" customHeight="1">
      <x:c r="A10" s="9" t="str">
        <x:v>SRC-05</x:v>
      </x:c>
      <x:c r="B10" s="9" t="str">
        <x:v>GLOBAL</x:v>
      </x:c>
      <x:c r="C10" s="9" t="str">
        <x:v>劳动关系确定类 2(1).zip</x:v>
      </x:c>
      <x:c r="D10" s="9" t="str">
        <x:v>原始材料</x:v>
      </x:c>
      <x:c r="E10" s="9" t="str">
        <x:v>f6da4a021b962b1b63253ff8389ab8515f48c73fec01e380ac266d7c6592835a</x:v>
      </x:c>
      <x:c r="F10" s="9" t="str">
        <x:v>2026-09-11接收</x:v>
      </x:c>
      <x:c r="G10" s="9" t="str">
        <x:v>劳动ZIP按案件解包并去重；原文与摘要待分别导出</x:v>
      </x:c>
      <x:c r="H10" s="9" t="str">
        <x:v>已提取文本或单元格；输入边界待核验</x:v>
      </x:c>
      <x:c r="I10" s="9" t="str">
        <x:v>待核验</x:v>
      </x:c>
      <x:c r="J10" s="9" t="str"/>
      <x:c r="K10" s="9" t="str">
        <x:v>原始附件；抽取副本.data/landing_20260911/05_*</x:v>
      </x:c>
    </x:row>
    <x:row r="11" ht="44" customHeight="1">
      <x:c r="A11" s="9" t="str">
        <x:v>SRC-06</x:v>
      </x:c>
      <x:c r="B11" s="9" t="str">
        <x:v>GLOBAL</x:v>
      </x:c>
      <x:c r="C11" s="9" t="str">
        <x:v>【工伤医疗类】案例标注.xlsx</x:v>
      </x:c>
      <x:c r="D11" s="9" t="str">
        <x:v>已有分类</x:v>
      </x:c>
      <x:c r="E11" s="9" t="str">
        <x:v>5452ebf585a55b1c393b6b2694494872181fa1b80e47fefc959b70d241e4697a</x:v>
      </x:c>
      <x:c r="F11" s="9" t="str">
        <x:v>2026-09-11接收</x:v>
      </x:c>
      <x:c r="G11" s="9" t="str">
        <x:v>来源原样留存</x:v>
      </x:c>
      <x:c r="H11" s="9" t="str">
        <x:v>已提取文本或单元格；输入边界待核验</x:v>
      </x:c>
      <x:c r="I11" s="9" t="str">
        <x:v>待核验</x:v>
      </x:c>
      <x:c r="J11" s="9" t="str"/>
      <x:c r="K11" s="9" t="str">
        <x:v>原始附件；抽取副本.data/landing_20260911/06.json</x:v>
      </x:c>
    </x:row>
    <x:row r="12" ht="44" customHeight="1">
      <x:c r="A12" s="9" t="str">
        <x:v>SRC-07</x:v>
      </x:c>
      <x:c r="B12" s="9" t="str">
        <x:v>GS-005</x:v>
      </x:c>
      <x:c r="C12" s="9" t="str">
        <x:v>【样例5】北京某装饰艺术有限责任公司与沈某劳动争议二审民事判决书(FBM-CLI.C.578899822).doc</x:v>
      </x:c>
      <x:c r="D12" s="9" t="str">
        <x:v>混合材料待分离</x:v>
      </x:c>
      <x:c r="E12" s="9" t="str">
        <x:v>ae6c14af2e8e0d6ab05d4a58aa04ceed532444075b5127ebdd42911b9fd466f6</x:v>
      </x:c>
      <x:c r="F12" s="9" t="str">
        <x:v>2026-09-11接收</x:v>
      </x:c>
      <x:c r="G12" s="9" t="str">
        <x:v>含参考内容时须分离，原件只读</x:v>
      </x:c>
      <x:c r="H12" s="9" t="str">
        <x:v>已提取文本或单元格；输入边界待核验</x:v>
      </x:c>
      <x:c r="I12" s="9" t="str">
        <x:v>待核验</x:v>
      </x:c>
      <x:c r="J12" s="9" t="str"/>
      <x:c r="K12" s="9" t="str">
        <x:v>原始附件；抽取副本.data/landing_20260911/07.json</x:v>
      </x:c>
    </x:row>
    <x:row r="13" ht="44" customHeight="1">
      <x:c r="A13" s="9" t="str">
        <x:v>SRC-08</x:v>
      </x:c>
      <x:c r="B13" s="9" t="str">
        <x:v>GS-004</x:v>
      </x:c>
      <x:c r="C13" s="9" t="str">
        <x:v>【样例4】某公司与孙某劳动争议(FBM-CLI.C.579229002).doc</x:v>
      </x:c>
      <x:c r="D13" s="9" t="str">
        <x:v>混合材料待分离</x:v>
      </x:c>
      <x:c r="E13" s="9" t="str">
        <x:v>372e8c9c0c31f8926d7c2f1a8d3d1fbba86367cdf48425d22d2dd91463f534d1</x:v>
      </x:c>
      <x:c r="F13" s="9" t="str">
        <x:v>2026-09-11接收</x:v>
      </x:c>
      <x:c r="G13" s="9" t="str">
        <x:v>含参考内容时须分离，原件只读</x:v>
      </x:c>
      <x:c r="H13" s="9" t="str">
        <x:v>已提取文本或单元格；输入边界待核验</x:v>
      </x:c>
      <x:c r="I13" s="9" t="str">
        <x:v>待核验</x:v>
      </x:c>
      <x:c r="J13" s="9" t="str"/>
      <x:c r="K13" s="9" t="str">
        <x:v>原始附件；抽取副本.data/landing_20260911/08.json</x:v>
      </x:c>
    </x:row>
    <x:row r="14" ht="44" customHeight="1">
      <x:c r="A14" s="9" t="str">
        <x:v>SRC-09</x:v>
      </x:c>
      <x:c r="B14" s="9" t="str">
        <x:v>GS-003</x:v>
      </x:c>
      <x:c r="C14" s="9" t="str">
        <x:v>【样例3】李某与某公司劳动争议一案(FBM-CLI.C.579360799).doc</x:v>
      </x:c>
      <x:c r="D14" s="9" t="str">
        <x:v>混合材料待分离</x:v>
      </x:c>
      <x:c r="E14" s="9" t="str">
        <x:v>fc77262486ea38f1d3a106ec97981168e91be8dae6a0c63ba8fb5113a23d5aea</x:v>
      </x:c>
      <x:c r="F14" s="9" t="str">
        <x:v>2026-09-11接收</x:v>
      </x:c>
      <x:c r="G14" s="9" t="str">
        <x:v>含参考内容时须分离，原件只读</x:v>
      </x:c>
      <x:c r="H14" s="9" t="str">
        <x:v>已提取文本或单元格；输入边界待核验</x:v>
      </x:c>
      <x:c r="I14" s="9" t="str">
        <x:v>待核验</x:v>
      </x:c>
      <x:c r="J14" s="9" t="str"/>
      <x:c r="K14" s="9" t="str">
        <x:v>原始附件；抽取副本.data/landing_20260911/09.json</x:v>
      </x:c>
    </x:row>
    <x:row r="15" ht="44" customHeight="1">
      <x:c r="A15" s="9" t="str">
        <x:v>SRC-10</x:v>
      </x:c>
      <x:c r="B15" s="9" t="str">
        <x:v>GS-002</x:v>
      </x:c>
      <x:c r="C15" s="9" t="str">
        <x:v>【样例2】某公司与陆某劳动争议二审民事判决书(FBM-CLI.C.579382194).doc</x:v>
      </x:c>
      <x:c r="D15" s="9" t="str">
        <x:v>混合材料待分离</x:v>
      </x:c>
      <x:c r="E15" s="9" t="str">
        <x:v>eedbf75c6ff90276eb2fe387e93807686d3a6fc286d9dc18f74c8171c2a363c2</x:v>
      </x:c>
      <x:c r="F15" s="9" t="str">
        <x:v>2026-09-11接收</x:v>
      </x:c>
      <x:c r="G15" s="9" t="str">
        <x:v>含参考内容时须分离，原件只读</x:v>
      </x:c>
      <x:c r="H15" s="9" t="str">
        <x:v>已提取文本或单元格；输入边界待核验</x:v>
      </x:c>
      <x:c r="I15" s="9" t="str">
        <x:v>待核验</x:v>
      </x:c>
      <x:c r="J15" s="9" t="str"/>
      <x:c r="K15" s="9" t="str">
        <x:v>原始附件；抽取副本.data/landing_20260911/10.json</x:v>
      </x:c>
    </x:row>
    <x:row r="16" ht="44" customHeight="1">
      <x:c r="A16" s="9" t="str">
        <x:v>SRC-11</x:v>
      </x:c>
      <x:c r="B16" s="9" t="str">
        <x:v>GS-001</x:v>
      </x:c>
      <x:c r="C16" s="9" t="str">
        <x:v>【样例1】某公司、李某劳动争议一案(FBM-CLI.C.579491146).doc</x:v>
      </x:c>
      <x:c r="D16" s="9" t="str">
        <x:v>混合材料待分离</x:v>
      </x:c>
      <x:c r="E16" s="9" t="str">
        <x:v>dd4e367a23fad3489b0989c96a3679dfdf5ede393896582bcc3fb1aa58e61bb6</x:v>
      </x:c>
      <x:c r="F16" s="9" t="str">
        <x:v>2026-09-11接收</x:v>
      </x:c>
      <x:c r="G16" s="9" t="str">
        <x:v>含参考内容时须分离，原件只读</x:v>
      </x:c>
      <x:c r="H16" s="9" t="str">
        <x:v>已提取文本或单元格；输入边界待核验</x:v>
      </x:c>
      <x:c r="I16" s="9" t="str">
        <x:v>待核验</x:v>
      </x:c>
      <x:c r="J16" s="9" t="str"/>
      <x:c r="K16" s="9" t="str">
        <x:v>原始附件；抽取副本.data/landing_20260911/11.json</x:v>
      </x:c>
    </x:row>
    <x:row r="17" ht="44" customHeight="1">
      <x:c r="A17" s="9" t="str">
        <x:v>SRC-12</x:v>
      </x:c>
      <x:c r="B17" s="9" t="str">
        <x:v>GLOBAL</x:v>
      </x:c>
      <x:c r="C17" s="9" t="str">
        <x:v>LOCAL_STATUS.md</x:v>
      </x:c>
      <x:c r="D17" s="9" t="str">
        <x:v>状态证据</x:v>
      </x:c>
      <x:c r="E17" s="9" t="str"/>
      <x:c r="F17" s="9" t="str">
        <x:v>本对话已有资料</x:v>
      </x:c>
      <x:c r="G17" s="9" t="str">
        <x:v>Windows本机状态快照；不是本次测试结果</x:v>
      </x:c>
      <x:c r="H17" s="9" t="str">
        <x:v>此前已阅读；本次原临时路径不可用，哈希待补</x:v>
      </x:c>
      <x:c r="I17" s="9" t="str">
        <x:v>待核验</x:v>
      </x:c>
      <x:c r="J17" s="9" t="str"/>
      <x:c r="K17" s="9" t="str">
        <x:v>/Users/alanzhang/Library/Containers/com.tencent.xinWeChat/Data/Documents/xwechat_files/wxid_ze48990azyci22_3b68/temp/RWTemp/2026-09/9e20f478899dc29eb19741386f9343c8/LOCAL_STATUS.md</x:v>
      </x:c>
    </x:row>
    <x:row r="18" ht="44" customHeight="1">
      <x:c r="A18" s="9" t="str">
        <x:v>SRC-13</x:v>
      </x:c>
      <x:c r="B18" s="9" t="str">
        <x:v>GLOBAL</x:v>
      </x:c>
      <x:c r="C18" s="9" t="str">
        <x:v>任务分工(2).docx</x:v>
      </x:c>
      <x:c r="D18" s="9" t="str">
        <x:v>任务分工</x:v>
      </x:c>
      <x:c r="E18" s="9" t="str"/>
      <x:c r="F18" s="9" t="str">
        <x:v>本对话已有资料</x:v>
      </x:c>
      <x:c r="G18" s="9" t="str">
        <x:v>用于明确交接职责；不证明任务已完成</x:v>
      </x:c>
      <x:c r="H18" s="9" t="str">
        <x:v>此前已阅读；本次原临时路径不可用，哈希待补</x:v>
      </x:c>
      <x:c r="I18" s="9" t="str">
        <x:v>待核验</x:v>
      </x:c>
      <x:c r="J18" s="9" t="str"/>
      <x:c r="K18" s="9" t="str">
        <x:v>/Users/alanzhang/Library/Containers/com.tencent.xinWeChat/Data/Documents/xwechat_files/wxid_ze48990azyci22_3b68/temp/RWTemp/2026-09/9e20f478899dc29eb19741386f9343c8/任务分工(2).docx</x:v>
      </x:c>
    </x:row>
    <x:row r="19" ht="44" customHeight="1">
      <x:c r="A19" s="9" t="str">
        <x:v>LA-001-SRC-02</x:v>
      </x:c>
      <x:c r="B19" s="9" t="str">
        <x:v>LA-001</x:v>
      </x:c>
      <x:c r="C19" s="9" t="str">
        <x:v>劳动关系确定类 2(1).zip/LA-001.zip/LA-001脱敏信息分类清单.xlsx</x:v>
      </x:c>
      <x:c r="D19" s="9" t="str">
        <x:v>已有分类</x:v>
      </x:c>
      <x:c r="E19" s="9" t="str"/>
      <x:c r="F19" s="9" t="str">
        <x:v>2026-09-11接收</x:v>
      </x:c>
      <x:c r="G19" s="9" t="str">
        <x:v>原分类只作候选标签</x:v>
      </x:c>
      <x:c r="H19" s="9" t="str">
        <x:v>已抽取；包内单文件哈希待技术补齐</x:v>
      </x:c>
      <x:c r="I19" s="9" t="str">
        <x:v>待核验</x:v>
      </x:c>
      <x:c r="J19" s="9" t="str"/>
      <x:c r="K19" s="9" t="str">
        <x:v>.data/landing_20260911/05_00.json</x:v>
      </x:c>
    </x:row>
    <x:row r="20" ht="44" customHeight="1">
      <x:c r="A20" s="9" t="str">
        <x:v>LA-001-SRC-01</x:v>
      </x:c>
      <x:c r="B20" s="9" t="str">
        <x:v>LA-001</x:v>
      </x:c>
      <x:c r="C20" s="9" t="str">
        <x:v>劳动关系确定类 2(1).zip/LA-001.zip/LA-001案例标注.docx</x:v>
      </x:c>
      <x:c r="D20" s="9" t="str">
        <x:v>混合材料待分离</x:v>
      </x:c>
      <x:c r="E20" s="9" t="str"/>
      <x:c r="F20" s="9" t="str">
        <x:v>2026-09-11接收</x:v>
      </x:c>
      <x:c r="G20" s="9" t="str">
        <x:v>文书正文与文内参考摘要需分别导出</x:v>
      </x:c>
      <x:c r="H20" s="9" t="str">
        <x:v>已抽取；包内单文件哈希待技术补齐</x:v>
      </x:c>
      <x:c r="I20" s="9" t="str">
        <x:v>待核验</x:v>
      </x:c>
      <x:c r="J20" s="9" t="str"/>
      <x:c r="K20" s="9" t="str">
        <x:v>.data/landing_20260911/05_00.json</x:v>
      </x:c>
    </x:row>
    <x:row r="21" ht="44" customHeight="1">
      <x:c r="A21" s="9" t="str">
        <x:v>LA-002-SRC-02</x:v>
      </x:c>
      <x:c r="B21" s="9" t="str">
        <x:v>LA-002</x:v>
      </x:c>
      <x:c r="C21" s="9" t="str">
        <x:v>劳动关系确定类 2(1).zip/LA-002.zip/LA-002脱敏信息分类清单.xlsx</x:v>
      </x:c>
      <x:c r="D21" s="9" t="str">
        <x:v>已有分类</x:v>
      </x:c>
      <x:c r="E21" s="9" t="str"/>
      <x:c r="F21" s="9" t="str">
        <x:v>2026-09-11接收</x:v>
      </x:c>
      <x:c r="G21" s="9" t="str">
        <x:v>原分类只作候选标签</x:v>
      </x:c>
      <x:c r="H21" s="9" t="str">
        <x:v>已抽取；包内单文件哈希待技术补齐</x:v>
      </x:c>
      <x:c r="I21" s="9" t="str">
        <x:v>待核验</x:v>
      </x:c>
      <x:c r="J21" s="9" t="str"/>
      <x:c r="K21" s="9" t="str">
        <x:v>.data/landing_20260911/05_02.json</x:v>
      </x:c>
    </x:row>
    <x:row r="22" ht="44" customHeight="1">
      <x:c r="A22" s="9" t="str">
        <x:v>LA-002-SRC-01</x:v>
      </x:c>
      <x:c r="B22" s="9" t="str">
        <x:v>LA-002</x:v>
      </x:c>
      <x:c r="C22" s="9" t="str">
        <x:v>劳动关系确定类 2(1).zip/LA-002.zip/LA-002案例标注.docx</x:v>
      </x:c>
      <x:c r="D22" s="9" t="str">
        <x:v>混合材料待分离</x:v>
      </x:c>
      <x:c r="E22" s="9" t="str"/>
      <x:c r="F22" s="9" t="str">
        <x:v>2026-09-11接收</x:v>
      </x:c>
      <x:c r="G22" s="9" t="str">
        <x:v>文书正文与文内参考摘要需分别导出</x:v>
      </x:c>
      <x:c r="H22" s="9" t="str">
        <x:v>已抽取；包内单文件哈希待技术补齐</x:v>
      </x:c>
      <x:c r="I22" s="9" t="str">
        <x:v>待核验</x:v>
      </x:c>
      <x:c r="J22" s="9" t="str"/>
      <x:c r="K22" s="9" t="str">
        <x:v>.data/landing_20260911/05_02.json</x:v>
      </x:c>
    </x:row>
    <x:row r="23" ht="44" customHeight="1">
      <x:c r="A23" s="9" t="str">
        <x:v>LA-003-SRC-02</x:v>
      </x:c>
      <x:c r="B23" s="9" t="str">
        <x:v>LA-003</x:v>
      </x:c>
      <x:c r="C23" s="9" t="str">
        <x:v>劳动关系确定类 2(1).zip/LA-003.zip/LA-003脱敏信息分类清单 2.xlsx</x:v>
      </x:c>
      <x:c r="D23" s="9" t="str">
        <x:v>已有分类</x:v>
      </x:c>
      <x:c r="E23" s="9" t="str"/>
      <x:c r="F23" s="9" t="str">
        <x:v>2026-09-11接收</x:v>
      </x:c>
      <x:c r="G23" s="9" t="str">
        <x:v>原分类只作候选标签</x:v>
      </x:c>
      <x:c r="H23" s="9" t="str">
        <x:v>已抽取；包内单文件哈希待技术补齐</x:v>
      </x:c>
      <x:c r="I23" s="9" t="str">
        <x:v>待核验</x:v>
      </x:c>
      <x:c r="J23" s="9" t="str"/>
      <x:c r="K23" s="9" t="str">
        <x:v>.data/landing_20260911/05_04.json</x:v>
      </x:c>
    </x:row>
    <x:row r="24" ht="44" customHeight="1">
      <x:c r="A24" s="9" t="str">
        <x:v>LA-003-SRC-01</x:v>
      </x:c>
      <x:c r="B24" s="9" t="str">
        <x:v>LA-003</x:v>
      </x:c>
      <x:c r="C24" s="9" t="str">
        <x:v>劳动关系确定类 2(1).zip/LA-003.zip/LA-003案例标注.docx</x:v>
      </x:c>
      <x:c r="D24" s="9" t="str">
        <x:v>混合材料待分离</x:v>
      </x:c>
      <x:c r="E24" s="9" t="str"/>
      <x:c r="F24" s="9" t="str">
        <x:v>2026-09-11接收</x:v>
      </x:c>
      <x:c r="G24" s="9" t="str">
        <x:v>文书正文与文内参考摘要需分别导出</x:v>
      </x:c>
      <x:c r="H24" s="9" t="str">
        <x:v>已抽取；包内单文件哈希待技术补齐</x:v>
      </x:c>
      <x:c r="I24" s="9" t="str">
        <x:v>待核验</x:v>
      </x:c>
      <x:c r="J24" s="9" t="str"/>
      <x:c r="K24" s="9" t="str">
        <x:v>.data/landing_20260911/05_04.json</x:v>
      </x:c>
    </x:row>
    <x:row r="25" ht="44" customHeight="1">
      <x:c r="A25" s="9" t="str">
        <x:v>LA-004-SRC-01</x:v>
      </x:c>
      <x:c r="B25" s="9" t="str">
        <x:v>LA-004</x:v>
      </x:c>
      <x:c r="C25" s="9" t="str">
        <x:v>劳动关系确定类 2(1).zip/LA-004.zip/LA-004案例标注.docx</x:v>
      </x:c>
      <x:c r="D25" s="9" t="str">
        <x:v>混合材料待分离</x:v>
      </x:c>
      <x:c r="E25" s="9" t="str"/>
      <x:c r="F25" s="9" t="str">
        <x:v>2026-09-11接收</x:v>
      </x:c>
      <x:c r="G25" s="9" t="str">
        <x:v>文书正文与文内参考摘要需分别导出</x:v>
      </x:c>
      <x:c r="H25" s="9" t="str">
        <x:v>已抽取；包内单文件哈希待技术补齐</x:v>
      </x:c>
      <x:c r="I25" s="9" t="str">
        <x:v>待核验</x:v>
      </x:c>
      <x:c r="J25" s="9" t="str"/>
      <x:c r="K25" s="9" t="str">
        <x:v>.data/landing_20260911/05_06.json</x:v>
      </x:c>
    </x:row>
    <x:row r="26" ht="44" customHeight="1">
      <x:c r="A26" s="9" t="str">
        <x:v>LA-004-SRC-02</x:v>
      </x:c>
      <x:c r="B26" s="9" t="str">
        <x:v>LA-004</x:v>
      </x:c>
      <x:c r="C26" s="9" t="str">
        <x:v>劳动关系确定类 2(1).zip/LA-004.zip/LA-004脱敏信息分类清单.xlsx</x:v>
      </x:c>
      <x:c r="D26" s="9" t="str">
        <x:v>已有分类</x:v>
      </x:c>
      <x:c r="E26" s="9" t="str"/>
      <x:c r="F26" s="9" t="str">
        <x:v>2026-09-11接收</x:v>
      </x:c>
      <x:c r="G26" s="9" t="str">
        <x:v>原分类只作候选标签</x:v>
      </x:c>
      <x:c r="H26" s="9" t="str">
        <x:v>已抽取；包内单文件哈希待技术补齐</x:v>
      </x:c>
      <x:c r="I26" s="9" t="str">
        <x:v>待核验</x:v>
      </x:c>
      <x:c r="J26" s="9" t="str"/>
      <x:c r="K26" s="9" t="str">
        <x:v>.data/landing_20260911/05_06.json</x:v>
      </x:c>
    </x:row>
    <x:row r="27" ht="44" customHeight="1">
      <x:c r="A27" s="9" t="str">
        <x:v>LA-005-SRC-02</x:v>
      </x:c>
      <x:c r="B27" s="9" t="str">
        <x:v>LA-005</x:v>
      </x:c>
      <x:c r="C27" s="9" t="str">
        <x:v>劳动关系确定类 2(1).zip/LA-005.zip/LA-005脱敏信息分类清单.xlsx</x:v>
      </x:c>
      <x:c r="D27" s="9" t="str">
        <x:v>已有分类</x:v>
      </x:c>
      <x:c r="E27" s="9" t="str"/>
      <x:c r="F27" s="9" t="str">
        <x:v>2026-09-11接收</x:v>
      </x:c>
      <x:c r="G27" s="9" t="str">
        <x:v>原分类只作候选标签</x:v>
      </x:c>
      <x:c r="H27" s="9" t="str">
        <x:v>已抽取；包内单文件哈希待技术补齐</x:v>
      </x:c>
      <x:c r="I27" s="9" t="str">
        <x:v>待核验</x:v>
      </x:c>
      <x:c r="J27" s="9" t="str"/>
      <x:c r="K27" s="9" t="str">
        <x:v>.data/landing_20260911/05_07.json</x:v>
      </x:c>
    </x:row>
    <x:row r="28" ht="44" customHeight="1">
      <x:c r="A28" s="9" t="str">
        <x:v>LA-005-SRC-01</x:v>
      </x:c>
      <x:c r="B28" s="9" t="str">
        <x:v>LA-005</x:v>
      </x:c>
      <x:c r="C28" s="9" t="str">
        <x:v>劳动关系确定类 2(1).zip/LA-005.zip/LA-005案例标注.docx</x:v>
      </x:c>
      <x:c r="D28" s="9" t="str">
        <x:v>混合材料待分离</x:v>
      </x:c>
      <x:c r="E28" s="9" t="str"/>
      <x:c r="F28" s="9" t="str">
        <x:v>2026-09-11接收</x:v>
      </x:c>
      <x:c r="G28" s="9" t="str">
        <x:v>文书正文与文内参考摘要需分别导出</x:v>
      </x:c>
      <x:c r="H28" s="9" t="str">
        <x:v>已抽取；包内单文件哈希待技术补齐</x:v>
      </x:c>
      <x:c r="I28" s="9" t="str">
        <x:v>待核验</x:v>
      </x:c>
      <x:c r="J28" s="9" t="str"/>
      <x:c r="K28" s="9" t="str">
        <x:v>.data/landing_20260911/05_07.json</x:v>
      </x:c>
    </x:row>
    <x:row r="29" ht="44" customHeight="1">
      <x:c r="A29" s="9" t="str">
        <x:v>LA-001-TEXT</x:v>
      </x:c>
      <x:c r="B29" s="9" t="str">
        <x:v>LA-001</x:v>
      </x:c>
      <x:c r="C29" s="9" t="str">
        <x:v>待生成：LA-001_TEXT.txt</x:v>
      </x:c>
      <x:c r="D29" s="9" t="str">
        <x:v>原始材料</x:v>
      </x:c>
      <x:c r="E29" s="9" t="str"/>
      <x:c r="F29" s="9" t="str">
        <x:v>待生成</x:v>
      </x:c>
      <x:c r="G29" s="9" t="str">
        <x:v>仅正式文书正文，不含参考摘要或标注答案</x:v>
      </x:c>
      <x:c r="H29" s="9" t="str">
        <x:v>尚未导出；须核对原文分界、转换质量、哈希和锚点</x:v>
      </x:c>
      <x:c r="I29" s="9" t="str">
        <x:v>待核验</x:v>
      </x:c>
      <x:c r="J29" s="9" t="str"/>
      <x:c r="K29" s="9" t="str">
        <x:v>由技术生成受控衍生文件后补路径</x:v>
      </x:c>
    </x:row>
    <x:row r="30" ht="44" customHeight="1">
      <x:c r="A30" s="9" t="str">
        <x:v>LA-001-REF</x:v>
      </x:c>
      <x:c r="B30" s="9" t="str">
        <x:v>LA-001</x:v>
      </x:c>
      <x:c r="C30" s="9" t="str">
        <x:v>待生成：LA-001_REF.txt</x:v>
      </x:c>
      <x:c r="D30" s="9" t="str">
        <x:v>已有参考摘要</x:v>
      </x:c>
      <x:c r="E30" s="9" t="str"/>
      <x:c r="F30" s="9" t="str">
        <x:v>待生成</x:v>
      </x:c>
      <x:c r="G30" s="9" t="str">
        <x:v>原材料内参考摘要；仅用于人工对照，禁止作为事实输入</x:v>
      </x:c>
      <x:c r="H30" s="9" t="str">
        <x:v>尚未导出；须核对原文分界、转换质量、哈希和锚点</x:v>
      </x:c>
      <x:c r="I30" s="9" t="str">
        <x:v>待核验</x:v>
      </x:c>
      <x:c r="J30" s="9" t="str"/>
      <x:c r="K30" s="9" t="str">
        <x:v>由技术生成受控衍生文件后补路径</x:v>
      </x:c>
    </x:row>
    <x:row r="31" ht="44" customHeight="1">
      <x:c r="A31" s="9" t="str">
        <x:v>LA-002-TEXT</x:v>
      </x:c>
      <x:c r="B31" s="9" t="str">
        <x:v>LA-002</x:v>
      </x:c>
      <x:c r="C31" s="9" t="str">
        <x:v>待生成：LA-002_TEXT.txt</x:v>
      </x:c>
      <x:c r="D31" s="9" t="str">
        <x:v>原始材料</x:v>
      </x:c>
      <x:c r="E31" s="9" t="str"/>
      <x:c r="F31" s="9" t="str">
        <x:v>待生成</x:v>
      </x:c>
      <x:c r="G31" s="9" t="str">
        <x:v>仅正式文书正文，不含参考摘要或标注答案</x:v>
      </x:c>
      <x:c r="H31" s="9" t="str">
        <x:v>尚未导出；须核对原文分界、转换质量、哈希和锚点</x:v>
      </x:c>
      <x:c r="I31" s="9" t="str">
        <x:v>待核验</x:v>
      </x:c>
      <x:c r="J31" s="9" t="str"/>
      <x:c r="K31" s="9" t="str">
        <x:v>由技术生成受控衍生文件后补路径</x:v>
      </x:c>
    </x:row>
    <x:row r="32" ht="44" customHeight="1">
      <x:c r="A32" s="9" t="str">
        <x:v>LA-002-REF</x:v>
      </x:c>
      <x:c r="B32" s="9" t="str">
        <x:v>LA-002</x:v>
      </x:c>
      <x:c r="C32" s="9" t="str">
        <x:v>待生成：LA-002_REF.txt</x:v>
      </x:c>
      <x:c r="D32" s="9" t="str">
        <x:v>已有参考摘要</x:v>
      </x:c>
      <x:c r="E32" s="9" t="str"/>
      <x:c r="F32" s="9" t="str">
        <x:v>待生成</x:v>
      </x:c>
      <x:c r="G32" s="9" t="str">
        <x:v>原材料内参考摘要；仅用于人工对照，禁止作为事实输入</x:v>
      </x:c>
      <x:c r="H32" s="9" t="str">
        <x:v>尚未导出；须核对原文分界、转换质量、哈希和锚点</x:v>
      </x:c>
      <x:c r="I32" s="9" t="str">
        <x:v>待核验</x:v>
      </x:c>
      <x:c r="J32" s="9" t="str"/>
      <x:c r="K32" s="9" t="str">
        <x:v>由技术生成受控衍生文件后补路径</x:v>
      </x:c>
    </x:row>
    <x:row r="33" ht="44" customHeight="1">
      <x:c r="A33" s="9" t="str">
        <x:v>LA-003-TEXT</x:v>
      </x:c>
      <x:c r="B33" s="9" t="str">
        <x:v>LA-003</x:v>
      </x:c>
      <x:c r="C33" s="9" t="str">
        <x:v>待生成：LA-003_TEXT.txt</x:v>
      </x:c>
      <x:c r="D33" s="9" t="str">
        <x:v>原始材料</x:v>
      </x:c>
      <x:c r="E33" s="9" t="str"/>
      <x:c r="F33" s="9" t="str">
        <x:v>待生成</x:v>
      </x:c>
      <x:c r="G33" s="9" t="str">
        <x:v>仅正式文书正文，不含参考摘要或标注答案</x:v>
      </x:c>
      <x:c r="H33" s="9" t="str">
        <x:v>尚未导出；须核对原文分界、转换质量、哈希和锚点</x:v>
      </x:c>
      <x:c r="I33" s="9" t="str">
        <x:v>待核验</x:v>
      </x:c>
      <x:c r="J33" s="9" t="str"/>
      <x:c r="K33" s="9" t="str">
        <x:v>由技术生成受控衍生文件后补路径</x:v>
      </x:c>
    </x:row>
    <x:row r="34" ht="44" customHeight="1">
      <x:c r="A34" s="9" t="str">
        <x:v>LA-003-REF</x:v>
      </x:c>
      <x:c r="B34" s="9" t="str">
        <x:v>LA-003</x:v>
      </x:c>
      <x:c r="C34" s="9" t="str">
        <x:v>待生成：LA-003_REF.txt</x:v>
      </x:c>
      <x:c r="D34" s="9" t="str">
        <x:v>已有参考摘要</x:v>
      </x:c>
      <x:c r="E34" s="9" t="str"/>
      <x:c r="F34" s="9" t="str">
        <x:v>待生成</x:v>
      </x:c>
      <x:c r="G34" s="9" t="str">
        <x:v>原材料内参考摘要；仅用于人工对照，禁止作为事实输入</x:v>
      </x:c>
      <x:c r="H34" s="9" t="str">
        <x:v>尚未导出；须核对原文分界、转换质量、哈希和锚点</x:v>
      </x:c>
      <x:c r="I34" s="9" t="str">
        <x:v>待核验</x:v>
      </x:c>
      <x:c r="J34" s="9" t="str"/>
      <x:c r="K34" s="9" t="str">
        <x:v>由技术生成受控衍生文件后补路径</x:v>
      </x:c>
    </x:row>
    <x:row r="35" ht="44" customHeight="1">
      <x:c r="A35" s="9" t="str">
        <x:v>LA-004-TEXT</x:v>
      </x:c>
      <x:c r="B35" s="9" t="str">
        <x:v>LA-004</x:v>
      </x:c>
      <x:c r="C35" s="9" t="str">
        <x:v>待生成：LA-004_TEXT.txt</x:v>
      </x:c>
      <x:c r="D35" s="9" t="str">
        <x:v>原始材料</x:v>
      </x:c>
      <x:c r="E35" s="9" t="str"/>
      <x:c r="F35" s="9" t="str">
        <x:v>待生成</x:v>
      </x:c>
      <x:c r="G35" s="9" t="str">
        <x:v>仅正式文书正文，不含参考摘要或标注答案</x:v>
      </x:c>
      <x:c r="H35" s="9" t="str">
        <x:v>尚未导出；须核对原文分界、转换质量、哈希和锚点</x:v>
      </x:c>
      <x:c r="I35" s="9" t="str">
        <x:v>待核验</x:v>
      </x:c>
      <x:c r="J35" s="9" t="str"/>
      <x:c r="K35" s="9" t="str">
        <x:v>由技术生成受控衍生文件后补路径</x:v>
      </x:c>
    </x:row>
    <x:row r="36" ht="44" customHeight="1">
      <x:c r="A36" s="9" t="str">
        <x:v>LA-004-REF</x:v>
      </x:c>
      <x:c r="B36" s="9" t="str">
        <x:v>LA-004</x:v>
      </x:c>
      <x:c r="C36" s="9" t="str">
        <x:v>待生成：LA-004_REF.txt</x:v>
      </x:c>
      <x:c r="D36" s="9" t="str">
        <x:v>已有参考摘要</x:v>
      </x:c>
      <x:c r="E36" s="9" t="str"/>
      <x:c r="F36" s="9" t="str">
        <x:v>待生成</x:v>
      </x:c>
      <x:c r="G36" s="9" t="str">
        <x:v>原材料内参考摘要；仅用于人工对照，禁止作为事实输入</x:v>
      </x:c>
      <x:c r="H36" s="9" t="str">
        <x:v>尚未导出；须核对原文分界、转换质量、哈希和锚点</x:v>
      </x:c>
      <x:c r="I36" s="9" t="str">
        <x:v>待核验</x:v>
      </x:c>
      <x:c r="J36" s="9" t="str"/>
      <x:c r="K36" s="9" t="str">
        <x:v>由技术生成受控衍生文件后补路径</x:v>
      </x:c>
    </x:row>
    <x:row r="37" ht="44" customHeight="1">
      <x:c r="A37" s="9" t="str">
        <x:v>LA-005-TEXT</x:v>
      </x:c>
      <x:c r="B37" s="9" t="str">
        <x:v>LA-005</x:v>
      </x:c>
      <x:c r="C37" s="9" t="str">
        <x:v>待生成：LA-005_TEXT.txt</x:v>
      </x:c>
      <x:c r="D37" s="9" t="str">
        <x:v>原始材料</x:v>
      </x:c>
      <x:c r="E37" s="9" t="str"/>
      <x:c r="F37" s="9" t="str">
        <x:v>待生成</x:v>
      </x:c>
      <x:c r="G37" s="9" t="str">
        <x:v>仅正式文书正文，不含参考摘要或标注答案</x:v>
      </x:c>
      <x:c r="H37" s="9" t="str">
        <x:v>尚未导出；须核对原文分界、转换质量、哈希和锚点</x:v>
      </x:c>
      <x:c r="I37" s="9" t="str">
        <x:v>待核验</x:v>
      </x:c>
      <x:c r="J37" s="9" t="str"/>
      <x:c r="K37" s="9" t="str">
        <x:v>由技术生成受控衍生文件后补路径</x:v>
      </x:c>
    </x:row>
    <x:row r="38" ht="44" customHeight="1">
      <x:c r="A38" s="9" t="str">
        <x:v>LA-005-REF</x:v>
      </x:c>
      <x:c r="B38" s="9" t="str">
        <x:v>LA-005</x:v>
      </x:c>
      <x:c r="C38" s="9" t="str">
        <x:v>待生成：LA-005_REF.txt</x:v>
      </x:c>
      <x:c r="D38" s="9" t="str">
        <x:v>已有参考摘要</x:v>
      </x:c>
      <x:c r="E38" s="9" t="str"/>
      <x:c r="F38" s="9" t="str">
        <x:v>待生成</x:v>
      </x:c>
      <x:c r="G38" s="9" t="str">
        <x:v>原材料内参考摘要；仅用于人工对照，禁止作为事实输入</x:v>
      </x:c>
      <x:c r="H38" s="9" t="str">
        <x:v>尚未导出；须核对原文分界、转换质量、哈希和锚点</x:v>
      </x:c>
      <x:c r="I38" s="9" t="str">
        <x:v>待核验</x:v>
      </x:c>
      <x:c r="J38" s="9" t="str"/>
      <x:c r="K38" s="9" t="str">
        <x:v>由技术生成受控衍生文件后补路径</x:v>
      </x:c>
    </x:row>
    <x:row r="39" ht="44" customHeight="1">
      <x:c r="A39" s="9" t="str">
        <x:v>GS-001-TEXT</x:v>
      </x:c>
      <x:c r="B39" s="9" t="str">
        <x:v>GS-001</x:v>
      </x:c>
      <x:c r="C39" s="9" t="str">
        <x:v>待生成：GS-001_TEXT.txt</x:v>
      </x:c>
      <x:c r="D39" s="9" t="str">
        <x:v>原始材料</x:v>
      </x:c>
      <x:c r="E39" s="9" t="str"/>
      <x:c r="F39" s="9" t="str">
        <x:v>待生成</x:v>
      </x:c>
      <x:c r="G39" s="9" t="str">
        <x:v>仅正式文书正文，不含参考摘要或标注答案</x:v>
      </x:c>
      <x:c r="H39" s="9" t="str">
        <x:v>尚未导出；须核对原文分界、转换质量、哈希和锚点</x:v>
      </x:c>
      <x:c r="I39" s="9" t="str">
        <x:v>待核验</x:v>
      </x:c>
      <x:c r="J39" s="9" t="str"/>
      <x:c r="K39" s="9" t="str">
        <x:v>由技术生成受控衍生文件后补路径</x:v>
      </x:c>
    </x:row>
    <x:row r="40" ht="44" customHeight="1">
      <x:c r="A40" s="9" t="str">
        <x:v>GS-001-REF</x:v>
      </x:c>
      <x:c r="B40" s="9" t="str">
        <x:v>GS-001</x:v>
      </x:c>
      <x:c r="C40" s="9" t="str">
        <x:v>待生成：GS-001_REF.txt</x:v>
      </x:c>
      <x:c r="D40" s="9" t="str">
        <x:v>已有参考摘要</x:v>
      </x:c>
      <x:c r="E40" s="9" t="str"/>
      <x:c r="F40" s="9" t="str">
        <x:v>待生成</x:v>
      </x:c>
      <x:c r="G40" s="9" t="str">
        <x:v>原材料内参考摘要；仅用于人工对照，禁止作为事实输入</x:v>
      </x:c>
      <x:c r="H40" s="9" t="str">
        <x:v>尚未导出；须核对原文分界、转换质量、哈希和锚点</x:v>
      </x:c>
      <x:c r="I40" s="9" t="str">
        <x:v>待核验</x:v>
      </x:c>
      <x:c r="J40" s="9" t="str"/>
      <x:c r="K40" s="9" t="str">
        <x:v>由技术生成受控衍生文件后补路径</x:v>
      </x:c>
    </x:row>
    <x:row r="41" ht="44" customHeight="1">
      <x:c r="A41" s="9" t="str">
        <x:v>GS-002-TEXT</x:v>
      </x:c>
      <x:c r="B41" s="9" t="str">
        <x:v>GS-002</x:v>
      </x:c>
      <x:c r="C41" s="9" t="str">
        <x:v>待生成：GS-002_TEXT.txt</x:v>
      </x:c>
      <x:c r="D41" s="9" t="str">
        <x:v>原始材料</x:v>
      </x:c>
      <x:c r="E41" s="9" t="str"/>
      <x:c r="F41" s="9" t="str">
        <x:v>待生成</x:v>
      </x:c>
      <x:c r="G41" s="9" t="str">
        <x:v>仅正式文书正文，不含参考摘要或标注答案</x:v>
      </x:c>
      <x:c r="H41" s="9" t="str">
        <x:v>尚未导出；须核对原文分界、转换质量、哈希和锚点</x:v>
      </x:c>
      <x:c r="I41" s="9" t="str">
        <x:v>待核验</x:v>
      </x:c>
      <x:c r="J41" s="9" t="str"/>
      <x:c r="K41" s="9" t="str">
        <x:v>由技术生成受控衍生文件后补路径</x:v>
      </x:c>
    </x:row>
    <x:row r="42" ht="44" customHeight="1">
      <x:c r="A42" s="9" t="str">
        <x:v>GS-002-REF</x:v>
      </x:c>
      <x:c r="B42" s="9" t="str">
        <x:v>GS-002</x:v>
      </x:c>
      <x:c r="C42" s="9" t="str">
        <x:v>待生成：GS-002_REF.txt</x:v>
      </x:c>
      <x:c r="D42" s="9" t="str">
        <x:v>已有参考摘要</x:v>
      </x:c>
      <x:c r="E42" s="9" t="str"/>
      <x:c r="F42" s="9" t="str">
        <x:v>待生成</x:v>
      </x:c>
      <x:c r="G42" s="9" t="str">
        <x:v>原材料内参考摘要；仅用于人工对照，禁止作为事实输入</x:v>
      </x:c>
      <x:c r="H42" s="9" t="str">
        <x:v>尚未导出；须核对原文分界、转换质量、哈希和锚点</x:v>
      </x:c>
      <x:c r="I42" s="9" t="str">
        <x:v>待核验</x:v>
      </x:c>
      <x:c r="J42" s="9" t="str"/>
      <x:c r="K42" s="9" t="str">
        <x:v>由技术生成受控衍生文件后补路径</x:v>
      </x:c>
    </x:row>
    <x:row r="43" ht="44" customHeight="1">
      <x:c r="A43" s="9" t="str">
        <x:v>GS-003-TEXT</x:v>
      </x:c>
      <x:c r="B43" s="9" t="str">
        <x:v>GS-003</x:v>
      </x:c>
      <x:c r="C43" s="9" t="str">
        <x:v>待生成：GS-003_TEXT.txt</x:v>
      </x:c>
      <x:c r="D43" s="9" t="str">
        <x:v>原始材料</x:v>
      </x:c>
      <x:c r="E43" s="9" t="str"/>
      <x:c r="F43" s="9" t="str">
        <x:v>待生成</x:v>
      </x:c>
      <x:c r="G43" s="9" t="str">
        <x:v>仅正式文书正文，不含参考摘要或标注答案</x:v>
      </x:c>
      <x:c r="H43" s="9" t="str">
        <x:v>尚未导出；须核对原文分界、转换质量、哈希和锚点</x:v>
      </x:c>
      <x:c r="I43" s="9" t="str">
        <x:v>待核验</x:v>
      </x:c>
      <x:c r="J43" s="9" t="str"/>
      <x:c r="K43" s="9" t="str">
        <x:v>由技术生成受控衍生文件后补路径</x:v>
      </x:c>
    </x:row>
    <x:row r="44" ht="44" customHeight="1">
      <x:c r="A44" s="9" t="str">
        <x:v>GS-003-REF</x:v>
      </x:c>
      <x:c r="B44" s="9" t="str">
        <x:v>GS-003</x:v>
      </x:c>
      <x:c r="C44" s="9" t="str">
        <x:v>待生成：GS-003_REF.txt</x:v>
      </x:c>
      <x:c r="D44" s="9" t="str">
        <x:v>已有参考摘要</x:v>
      </x:c>
      <x:c r="E44" s="9" t="str"/>
      <x:c r="F44" s="9" t="str">
        <x:v>待生成</x:v>
      </x:c>
      <x:c r="G44" s="9" t="str">
        <x:v>原材料内参考摘要；仅用于人工对照，禁止作为事实输入</x:v>
      </x:c>
      <x:c r="H44" s="9" t="str">
        <x:v>尚未导出；须核对原文分界、转换质量、哈希和锚点</x:v>
      </x:c>
      <x:c r="I44" s="9" t="str">
        <x:v>待核验</x:v>
      </x:c>
      <x:c r="J44" s="9" t="str"/>
      <x:c r="K44" s="9" t="str">
        <x:v>由技术生成受控衍生文件后补路径</x:v>
      </x:c>
    </x:row>
    <x:row r="45" ht="44" customHeight="1">
      <x:c r="A45" s="9" t="str">
        <x:v>GS-004-TEXT</x:v>
      </x:c>
      <x:c r="B45" s="9" t="str">
        <x:v>GS-004</x:v>
      </x:c>
      <x:c r="C45" s="9" t="str">
        <x:v>待生成：GS-004_TEXT.txt</x:v>
      </x:c>
      <x:c r="D45" s="9" t="str">
        <x:v>原始材料</x:v>
      </x:c>
      <x:c r="E45" s="9" t="str"/>
      <x:c r="F45" s="9" t="str">
        <x:v>待生成</x:v>
      </x:c>
      <x:c r="G45" s="9" t="str">
        <x:v>仅正式文书正文，不含参考摘要或标注答案</x:v>
      </x:c>
      <x:c r="H45" s="9" t="str">
        <x:v>尚未导出；须核对原文分界、转换质量、哈希和锚点</x:v>
      </x:c>
      <x:c r="I45" s="9" t="str">
        <x:v>待核验</x:v>
      </x:c>
      <x:c r="J45" s="9" t="str"/>
      <x:c r="K45" s="9" t="str">
        <x:v>由技术生成受控衍生文件后补路径</x:v>
      </x:c>
    </x:row>
    <x:row r="46" ht="44" customHeight="1">
      <x:c r="A46" s="9" t="str">
        <x:v>GS-004-REF</x:v>
      </x:c>
      <x:c r="B46" s="9" t="str">
        <x:v>GS-004</x:v>
      </x:c>
      <x:c r="C46" s="9" t="str">
        <x:v>待生成：GS-004_REF.txt</x:v>
      </x:c>
      <x:c r="D46" s="9" t="str">
        <x:v>已有参考摘要</x:v>
      </x:c>
      <x:c r="E46" s="9" t="str"/>
      <x:c r="F46" s="9" t="str">
        <x:v>待生成</x:v>
      </x:c>
      <x:c r="G46" s="9" t="str">
        <x:v>原材料内参考摘要；仅用于人工对照，禁止作为事实输入</x:v>
      </x:c>
      <x:c r="H46" s="9" t="str">
        <x:v>尚未导出；须核对原文分界、转换质量、哈希和锚点</x:v>
      </x:c>
      <x:c r="I46" s="9" t="str">
        <x:v>待核验</x:v>
      </x:c>
      <x:c r="J46" s="9" t="str"/>
      <x:c r="K46" s="9" t="str">
        <x:v>由技术生成受控衍生文件后补路径</x:v>
      </x:c>
    </x:row>
    <x:row r="47" ht="44" customHeight="1">
      <x:c r="A47" s="9" t="str">
        <x:v>GS-005-TEXT</x:v>
      </x:c>
      <x:c r="B47" s="9" t="str">
        <x:v>GS-005</x:v>
      </x:c>
      <x:c r="C47" s="9" t="str">
        <x:v>待生成：GS-005_TEXT.txt</x:v>
      </x:c>
      <x:c r="D47" s="9" t="str">
        <x:v>原始材料</x:v>
      </x:c>
      <x:c r="E47" s="9" t="str"/>
      <x:c r="F47" s="9" t="str">
        <x:v>待生成</x:v>
      </x:c>
      <x:c r="G47" s="9" t="str">
        <x:v>仅正式文书正文，不含参考摘要或标注答案</x:v>
      </x:c>
      <x:c r="H47" s="9" t="str">
        <x:v>尚未导出；须核对原文分界、转换质量、哈希和锚点</x:v>
      </x:c>
      <x:c r="I47" s="9" t="str">
        <x:v>待核验</x:v>
      </x:c>
      <x:c r="J47" s="9" t="str"/>
      <x:c r="K47" s="9" t="str">
        <x:v>由技术生成受控衍生文件后补路径</x:v>
      </x:c>
    </x:row>
    <x:row r="48" ht="44" customHeight="1">
      <x:c r="A48" s="9" t="str">
        <x:v>GS-005-REF</x:v>
      </x:c>
      <x:c r="B48" s="9" t="str">
        <x:v>GS-005</x:v>
      </x:c>
      <x:c r="C48" s="9" t="str">
        <x:v>待生成：GS-005_REF.txt</x:v>
      </x:c>
      <x:c r="D48" s="9" t="str">
        <x:v>已有参考摘要</x:v>
      </x:c>
      <x:c r="E48" s="9" t="str"/>
      <x:c r="F48" s="9" t="str">
        <x:v>待生成</x:v>
      </x:c>
      <x:c r="G48" s="9" t="str">
        <x:v>原材料内参考摘要；仅用于人工对照，禁止作为事实输入</x:v>
      </x:c>
      <x:c r="H48" s="9" t="str">
        <x:v>尚未导出；须核对原文分界、转换质量、哈希和锚点</x:v>
      </x:c>
      <x:c r="I48" s="9" t="str">
        <x:v>待核验</x:v>
      </x:c>
      <x:c r="J48" s="9" t="str"/>
      <x:c r="K48" s="9" t="str">
        <x:v>由技术生成受控衍生文件后补路径</x:v>
      </x:c>
    </x:row>
    <x:row r="49" ht="44" customHeight="1">
      <x:c r="A49" s="9"/>
      <x:c r="B49" s="9"/>
      <x:c r="C49" s="9"/>
      <x:c r="D49" s="9"/>
      <x:c r="E49" s="9"/>
      <x:c r="F49" s="9"/>
      <x:c r="G49" s="9"/>
      <x:c r="H49" s="9"/>
      <x:c r="I49" s="9"/>
      <x:c r="J49" s="9"/>
      <x:c r="K49" s="9"/>
    </x:row>
    <x:row r="50" ht="44" customHeight="1">
      <x:c r="A50" s="9"/>
      <x:c r="B50" s="9"/>
      <x:c r="C50" s="9"/>
      <x:c r="D50" s="9"/>
      <x:c r="E50" s="9"/>
      <x:c r="F50" s="9"/>
      <x:c r="G50" s="9"/>
      <x:c r="H50" s="9"/>
      <x:c r="I50" s="9"/>
      <x:c r="J50" s="9"/>
      <x:c r="K50" s="9"/>
    </x:row>
    <x:row r="51" ht="44" customHeight="1">
      <x:c r="A51" s="9"/>
      <x:c r="B51" s="9"/>
      <x:c r="C51" s="9"/>
      <x:c r="D51" s="9"/>
      <x:c r="E51" s="9"/>
      <x:c r="F51" s="9"/>
      <x:c r="G51" s="9"/>
      <x:c r="H51" s="9"/>
      <x:c r="I51" s="9"/>
      <x:c r="J51" s="9"/>
      <x:c r="K51" s="9"/>
    </x:row>
    <x:row r="52" ht="44" customHeight="1">
      <x:c r="A52" s="9"/>
      <x:c r="B52" s="9"/>
      <x:c r="C52" s="9"/>
      <x:c r="D52" s="9"/>
      <x:c r="E52" s="9"/>
      <x:c r="F52" s="9"/>
      <x:c r="G52" s="9"/>
      <x:c r="H52" s="9"/>
      <x:c r="I52" s="9"/>
      <x:c r="J52" s="9"/>
      <x:c r="K52" s="9"/>
    </x:row>
    <x:row r="53" ht="44" customHeight="1">
      <x:c r="A53" s="9"/>
      <x:c r="B53" s="9"/>
      <x:c r="C53" s="9"/>
      <x:c r="D53" s="9"/>
      <x:c r="E53" s="9"/>
      <x:c r="F53" s="9"/>
      <x:c r="G53" s="9"/>
      <x:c r="H53" s="9"/>
      <x:c r="I53" s="9"/>
      <x:c r="J53" s="9"/>
      <x:c r="K53" s="9"/>
    </x:row>
    <x:row r="54" ht="44" customHeight="1">
      <x:c r="A54" s="9"/>
      <x:c r="B54" s="9"/>
      <x:c r="C54" s="9"/>
      <x:c r="D54" s="9"/>
      <x:c r="E54" s="9"/>
      <x:c r="F54" s="9"/>
      <x:c r="G54" s="9"/>
      <x:c r="H54" s="9"/>
      <x:c r="I54" s="9"/>
      <x:c r="J54" s="9"/>
      <x:c r="K54" s="9"/>
    </x:row>
    <x:row r="55" ht="44" customHeight="1">
      <x:c r="A55" s="9"/>
      <x:c r="B55" s="9"/>
      <x:c r="C55" s="9"/>
      <x:c r="D55" s="9"/>
      <x:c r="E55" s="9"/>
      <x:c r="F55" s="9"/>
      <x:c r="G55" s="9"/>
      <x:c r="H55" s="9"/>
      <x:c r="I55" s="9"/>
      <x:c r="J55" s="9"/>
      <x:c r="K55" s="9"/>
    </x:row>
    <x:row r="56" ht="44" customHeight="1">
      <x:c r="A56" s="9"/>
      <x:c r="B56" s="9"/>
      <x:c r="C56" s="9"/>
      <x:c r="D56" s="9"/>
      <x:c r="E56" s="9"/>
      <x:c r="F56" s="9"/>
      <x:c r="G56" s="9"/>
      <x:c r="H56" s="9"/>
      <x:c r="I56" s="9"/>
      <x:c r="J56" s="9"/>
      <x:c r="K56" s="9"/>
    </x:row>
    <x:row r="57" ht="44" customHeight="1">
      <x:c r="A57" s="9"/>
      <x:c r="B57" s="9"/>
      <x:c r="C57" s="9"/>
      <x:c r="D57" s="9"/>
      <x:c r="E57" s="9"/>
      <x:c r="F57" s="9"/>
      <x:c r="G57" s="9"/>
      <x:c r="H57" s="9"/>
      <x:c r="I57" s="9"/>
      <x:c r="J57" s="9"/>
      <x:c r="K57" s="9"/>
    </x:row>
    <x:row r="58" ht="44" customHeight="1">
      <x:c r="A58" s="9"/>
      <x:c r="B58" s="9"/>
      <x:c r="C58" s="9"/>
      <x:c r="D58" s="9"/>
      <x:c r="E58" s="9"/>
      <x:c r="F58" s="9"/>
      <x:c r="G58" s="9"/>
      <x:c r="H58" s="9"/>
      <x:c r="I58" s="9"/>
      <x:c r="J58" s="9"/>
      <x:c r="K58" s="9"/>
    </x:row>
    <x:row r="59" ht="44" customHeight="1">
      <x:c r="A59" s="9"/>
      <x:c r="B59" s="9"/>
      <x:c r="C59" s="9"/>
      <x:c r="D59" s="9"/>
      <x:c r="E59" s="9"/>
      <x:c r="F59" s="9"/>
      <x:c r="G59" s="9"/>
      <x:c r="H59" s="9"/>
      <x:c r="I59" s="9"/>
      <x:c r="J59" s="9"/>
      <x:c r="K59" s="9"/>
    </x:row>
    <x:row r="60" ht="44" customHeight="1">
      <x:c r="A60" s="9"/>
      <x:c r="B60" s="9"/>
      <x:c r="C60" s="9"/>
      <x:c r="D60" s="9"/>
      <x:c r="E60" s="9"/>
      <x:c r="F60" s="9"/>
      <x:c r="G60" s="9"/>
      <x:c r="H60" s="9"/>
      <x:c r="I60" s="9"/>
      <x:c r="J60" s="9"/>
      <x:c r="K60" s="9"/>
    </x:row>
    <x:row r="61" ht="44" customHeight="1">
      <x:c r="A61" s="9"/>
      <x:c r="B61" s="9"/>
      <x:c r="C61" s="9"/>
      <x:c r="D61" s="9"/>
      <x:c r="E61" s="9"/>
      <x:c r="F61" s="9"/>
      <x:c r="G61" s="9"/>
      <x:c r="H61" s="9"/>
      <x:c r="I61" s="9"/>
      <x:c r="J61" s="9"/>
      <x:c r="K61" s="9"/>
    </x:row>
    <x:row r="62" ht="44" customHeight="1">
      <x:c r="A62" s="9"/>
      <x:c r="B62" s="9"/>
      <x:c r="C62" s="9"/>
      <x:c r="D62" s="9"/>
      <x:c r="E62" s="9"/>
      <x:c r="F62" s="9"/>
      <x:c r="G62" s="9"/>
      <x:c r="H62" s="9"/>
      <x:c r="I62" s="9"/>
      <x:c r="J62" s="9"/>
      <x:c r="K62" s="9"/>
    </x:row>
    <x:row r="63" ht="44" customHeight="1">
      <x:c r="A63" s="9"/>
      <x:c r="B63" s="9"/>
      <x:c r="C63" s="9"/>
      <x:c r="D63" s="9"/>
      <x:c r="E63" s="9"/>
      <x:c r="F63" s="9"/>
      <x:c r="G63" s="9"/>
      <x:c r="H63" s="9"/>
      <x:c r="I63" s="9"/>
      <x:c r="J63" s="9"/>
      <x:c r="K63" s="9"/>
    </x:row>
    <x:row r="64" ht="44" customHeight="1">
      <x:c r="A64" s="9"/>
      <x:c r="B64" s="9"/>
      <x:c r="C64" s="9"/>
      <x:c r="D64" s="9"/>
      <x:c r="E64" s="9"/>
      <x:c r="F64" s="9"/>
      <x:c r="G64" s="9"/>
      <x:c r="H64" s="9"/>
      <x:c r="I64" s="9"/>
      <x:c r="J64" s="9"/>
      <x:c r="K64" s="9"/>
    </x:row>
    <x:row r="65" ht="44" customHeight="1">
      <x:c r="A65" s="9"/>
      <x:c r="B65" s="9"/>
      <x:c r="C65" s="9"/>
      <x:c r="D65" s="9"/>
      <x:c r="E65" s="9"/>
      <x:c r="F65" s="9"/>
      <x:c r="G65" s="9"/>
      <x:c r="H65" s="9"/>
      <x:c r="I65" s="9"/>
      <x:c r="J65" s="9"/>
      <x:c r="K65" s="9"/>
    </x:row>
    <x:row r="66" ht="44" customHeight="1">
      <x:c r="A66" s="9"/>
      <x:c r="B66" s="9"/>
      <x:c r="C66" s="9"/>
      <x:c r="D66" s="9"/>
      <x:c r="E66" s="9"/>
      <x:c r="F66" s="9"/>
      <x:c r="G66" s="9"/>
      <x:c r="H66" s="9"/>
      <x:c r="I66" s="9"/>
      <x:c r="J66" s="9"/>
      <x:c r="K66" s="9"/>
    </x:row>
    <x:row r="67" ht="44" customHeight="1">
      <x:c r="A67" s="9"/>
      <x:c r="B67" s="9"/>
      <x:c r="C67" s="9"/>
      <x:c r="D67" s="9"/>
      <x:c r="E67" s="9"/>
      <x:c r="F67" s="9"/>
      <x:c r="G67" s="9"/>
      <x:c r="H67" s="9"/>
      <x:c r="I67" s="9"/>
      <x:c r="J67" s="9"/>
      <x:c r="K67" s="9"/>
    </x:row>
    <x:row r="68" ht="44" customHeight="1">
      <x:c r="A68" s="9"/>
      <x:c r="B68" s="9"/>
      <x:c r="C68" s="9"/>
      <x:c r="D68" s="9"/>
      <x:c r="E68" s="9"/>
      <x:c r="F68" s="9"/>
      <x:c r="G68" s="9"/>
      <x:c r="H68" s="9"/>
      <x:c r="I68" s="9"/>
      <x:c r="J68" s="9"/>
      <x:c r="K68" s="9"/>
    </x:row>
    <x:row r="69" ht="44" customHeight="1">
      <x:c r="A69" s="9"/>
      <x:c r="B69" s="9"/>
      <x:c r="C69" s="9"/>
      <x:c r="D69" s="9"/>
      <x:c r="E69" s="9"/>
      <x:c r="F69" s="9"/>
      <x:c r="G69" s="9"/>
      <x:c r="H69" s="9"/>
      <x:c r="I69" s="9"/>
      <x:c r="J69" s="9"/>
      <x:c r="K69" s="9"/>
    </x:row>
    <x:row r="70" ht="44" customHeight="1">
      <x:c r="A70" s="9"/>
      <x:c r="B70" s="9"/>
      <x:c r="C70" s="9"/>
      <x:c r="D70" s="9"/>
      <x:c r="E70" s="9"/>
      <x:c r="F70" s="9"/>
      <x:c r="G70" s="9"/>
      <x:c r="H70" s="9"/>
      <x:c r="I70" s="9"/>
      <x:c r="J70" s="9"/>
      <x:c r="K70" s="9"/>
    </x:row>
    <x:row r="71" ht="44" customHeight="1">
      <x:c r="A71" s="9"/>
      <x:c r="B71" s="9"/>
      <x:c r="C71" s="9"/>
      <x:c r="D71" s="9"/>
      <x:c r="E71" s="9"/>
      <x:c r="F71" s="9"/>
      <x:c r="G71" s="9"/>
      <x:c r="H71" s="9"/>
      <x:c r="I71" s="9"/>
      <x:c r="J71" s="9"/>
      <x:c r="K71" s="9"/>
    </x:row>
    <x:row r="72" ht="44" customHeight="1">
      <x:c r="A72" s="9"/>
      <x:c r="B72" s="9"/>
      <x:c r="C72" s="9"/>
      <x:c r="D72" s="9"/>
      <x:c r="E72" s="9"/>
      <x:c r="F72" s="9"/>
      <x:c r="G72" s="9"/>
      <x:c r="H72" s="9"/>
      <x:c r="I72" s="9"/>
      <x:c r="J72" s="9"/>
      <x:c r="K72" s="9"/>
    </x:row>
    <x:row r="73" ht="44" customHeight="1">
      <x:c r="A73" s="9"/>
      <x:c r="B73" s="9"/>
      <x:c r="C73" s="9"/>
      <x:c r="D73" s="9"/>
      <x:c r="E73" s="9"/>
      <x:c r="F73" s="9"/>
      <x:c r="G73" s="9"/>
      <x:c r="H73" s="9"/>
      <x:c r="I73" s="9"/>
      <x:c r="J73" s="9"/>
      <x:c r="K73" s="9"/>
    </x:row>
    <x:row r="74" ht="44" customHeight="1">
      <x:c r="A74" s="9"/>
      <x:c r="B74" s="9"/>
      <x:c r="C74" s="9"/>
      <x:c r="D74" s="9"/>
      <x:c r="E74" s="9"/>
      <x:c r="F74" s="9"/>
      <x:c r="G74" s="9"/>
      <x:c r="H74" s="9"/>
      <x:c r="I74" s="9"/>
      <x:c r="J74" s="9"/>
      <x:c r="K74" s="9"/>
    </x:row>
    <x:row r="75" ht="44" customHeight="1">
      <x:c r="A75" s="9"/>
      <x:c r="B75" s="9"/>
      <x:c r="C75" s="9"/>
      <x:c r="D75" s="9"/>
      <x:c r="E75" s="9"/>
      <x:c r="F75" s="9"/>
      <x:c r="G75" s="9"/>
      <x:c r="H75" s="9"/>
      <x:c r="I75" s="9"/>
      <x:c r="J75" s="9"/>
      <x:c r="K75" s="9"/>
    </x:row>
    <x:row r="76" ht="44" customHeight="1">
      <x:c r="A76" s="9"/>
      <x:c r="B76" s="9"/>
      <x:c r="C76" s="9"/>
      <x:c r="D76" s="9"/>
      <x:c r="E76" s="9"/>
      <x:c r="F76" s="9"/>
      <x:c r="G76" s="9"/>
      <x:c r="H76" s="9"/>
      <x:c r="I76" s="9"/>
      <x:c r="J76" s="9"/>
      <x:c r="K76" s="9"/>
    </x:row>
    <x:row r="77" ht="44" customHeight="1">
      <x:c r="A77" s="9"/>
      <x:c r="B77" s="9"/>
      <x:c r="C77" s="9"/>
      <x:c r="D77" s="9"/>
      <x:c r="E77" s="9"/>
      <x:c r="F77" s="9"/>
      <x:c r="G77" s="9"/>
      <x:c r="H77" s="9"/>
      <x:c r="I77" s="9"/>
      <x:c r="J77" s="9"/>
      <x:c r="K77" s="9"/>
    </x:row>
    <x:row r="78" ht="44" customHeight="1">
      <x:c r="A78" s="9"/>
      <x:c r="B78" s="9"/>
      <x:c r="C78" s="9"/>
      <x:c r="D78" s="9"/>
      <x:c r="E78" s="9"/>
      <x:c r="F78" s="9"/>
      <x:c r="G78" s="9"/>
      <x:c r="H78" s="9"/>
      <x:c r="I78" s="9"/>
      <x:c r="J78" s="9"/>
      <x:c r="K78" s="9"/>
    </x:row>
    <x:row r="79" ht="44" customHeight="1">
      <x:c r="A79" s="9"/>
      <x:c r="B79" s="9"/>
      <x:c r="C79" s="9"/>
      <x:c r="D79" s="9"/>
      <x:c r="E79" s="9"/>
      <x:c r="F79" s="9"/>
      <x:c r="G79" s="9"/>
      <x:c r="H79" s="9"/>
      <x:c r="I79" s="9"/>
      <x:c r="J79" s="9"/>
      <x:c r="K79" s="9"/>
    </x:row>
    <x:row r="80" ht="44" customHeight="1">
      <x:c r="A80" s="9"/>
      <x:c r="B80" s="9"/>
      <x:c r="C80" s="9"/>
      <x:c r="D80" s="9"/>
      <x:c r="E80" s="9"/>
      <x:c r="F80" s="9"/>
      <x:c r="G80" s="9"/>
      <x:c r="H80" s="9"/>
      <x:c r="I80" s="9"/>
      <x:c r="J80" s="9"/>
      <x:c r="K80" s="9"/>
    </x:row>
    <x:row r="81" ht="44" customHeight="1">
      <x:c r="A81" s="9"/>
      <x:c r="B81" s="9"/>
      <x:c r="C81" s="9"/>
      <x:c r="D81" s="9"/>
      <x:c r="E81" s="9"/>
      <x:c r="F81" s="9"/>
      <x:c r="G81" s="9"/>
      <x:c r="H81" s="9"/>
      <x:c r="I81" s="9"/>
      <x:c r="J81" s="9"/>
      <x:c r="K81" s="9"/>
    </x:row>
    <x:row r="82" ht="44" customHeight="1">
      <x:c r="A82" s="9"/>
      <x:c r="B82" s="9"/>
      <x:c r="C82" s="9"/>
      <x:c r="D82" s="9"/>
      <x:c r="E82" s="9"/>
      <x:c r="F82" s="9"/>
      <x:c r="G82" s="9"/>
      <x:c r="H82" s="9"/>
      <x:c r="I82" s="9"/>
      <x:c r="J82" s="9"/>
      <x:c r="K82" s="9"/>
    </x:row>
    <x:row r="83" ht="44" customHeight="1">
      <x:c r="A83" s="9"/>
      <x:c r="B83" s="9"/>
      <x:c r="C83" s="9"/>
      <x:c r="D83" s="9"/>
      <x:c r="E83" s="9"/>
      <x:c r="F83" s="9"/>
      <x:c r="G83" s="9"/>
      <x:c r="H83" s="9"/>
      <x:c r="I83" s="9"/>
      <x:c r="J83" s="9"/>
      <x:c r="K83" s="9"/>
    </x:row>
    <x:row r="84" ht="44" customHeight="1">
      <x:c r="A84" s="9"/>
      <x:c r="B84" s="9"/>
      <x:c r="C84" s="9"/>
      <x:c r="D84" s="9"/>
      <x:c r="E84" s="9"/>
      <x:c r="F84" s="9"/>
      <x:c r="G84" s="9"/>
      <x:c r="H84" s="9"/>
      <x:c r="I84" s="9"/>
      <x:c r="J84" s="9"/>
      <x:c r="K84" s="9"/>
    </x:row>
    <x:row r="85" ht="44" customHeight="1">
      <x:c r="A85" s="9"/>
      <x:c r="B85" s="9"/>
      <x:c r="C85" s="9"/>
      <x:c r="D85" s="9"/>
      <x:c r="E85" s="9"/>
      <x:c r="F85" s="9"/>
      <x:c r="G85" s="9"/>
      <x:c r="H85" s="9"/>
      <x:c r="I85" s="9"/>
      <x:c r="J85" s="9"/>
      <x:c r="K85" s="9"/>
    </x:row>
    <x:row r="86" ht="44" customHeight="1">
      <x:c r="A86" s="9"/>
      <x:c r="B86" s="9"/>
      <x:c r="C86" s="9"/>
      <x:c r="D86" s="9"/>
      <x:c r="E86" s="9"/>
      <x:c r="F86" s="9"/>
      <x:c r="G86" s="9"/>
      <x:c r="H86" s="9"/>
      <x:c r="I86" s="9"/>
      <x:c r="J86" s="9"/>
      <x:c r="K86" s="9"/>
    </x:row>
    <x:row r="87" ht="44" customHeight="1">
      <x:c r="A87" s="9"/>
      <x:c r="B87" s="9"/>
      <x:c r="C87" s="9"/>
      <x:c r="D87" s="9"/>
      <x:c r="E87" s="9"/>
      <x:c r="F87" s="9"/>
      <x:c r="G87" s="9"/>
      <x:c r="H87" s="9"/>
      <x:c r="I87" s="9"/>
      <x:c r="J87" s="9"/>
      <x:c r="K87" s="9"/>
    </x:row>
    <x:row r="88" ht="44" customHeight="1">
      <x:c r="A88" s="9"/>
      <x:c r="B88" s="9"/>
      <x:c r="C88" s="9"/>
      <x:c r="D88" s="9"/>
      <x:c r="E88" s="9"/>
      <x:c r="F88" s="9"/>
      <x:c r="G88" s="9"/>
      <x:c r="H88" s="9"/>
      <x:c r="I88" s="9"/>
      <x:c r="J88" s="9"/>
      <x:c r="K88" s="9"/>
    </x:row>
    <x:row r="89" ht="44" customHeight="1">
      <x:c r="A89" s="9"/>
      <x:c r="B89" s="9"/>
      <x:c r="C89" s="9"/>
      <x:c r="D89" s="9"/>
      <x:c r="E89" s="9"/>
      <x:c r="F89" s="9"/>
      <x:c r="G89" s="9"/>
      <x:c r="H89" s="9"/>
      <x:c r="I89" s="9"/>
      <x:c r="J89" s="9"/>
      <x:c r="K89" s="9"/>
    </x:row>
    <x:row r="90" ht="44" customHeight="1">
      <x:c r="A90" s="9"/>
      <x:c r="B90" s="9"/>
      <x:c r="C90" s="9"/>
      <x:c r="D90" s="9"/>
      <x:c r="E90" s="9"/>
      <x:c r="F90" s="9"/>
      <x:c r="G90" s="9"/>
      <x:c r="H90" s="9"/>
      <x:c r="I90" s="9"/>
      <x:c r="J90" s="9"/>
      <x:c r="K90" s="9"/>
    </x:row>
    <x:row r="91" ht="44" customHeight="1">
      <x:c r="A91" s="9"/>
      <x:c r="B91" s="9"/>
      <x:c r="C91" s="9"/>
      <x:c r="D91" s="9"/>
      <x:c r="E91" s="9"/>
      <x:c r="F91" s="9"/>
      <x:c r="G91" s="9"/>
      <x:c r="H91" s="9"/>
      <x:c r="I91" s="9"/>
      <x:c r="J91" s="9"/>
      <x:c r="K91" s="9"/>
    </x:row>
    <x:row r="92" ht="44" customHeight="1">
      <x:c r="A92" s="9"/>
      <x:c r="B92" s="9"/>
      <x:c r="C92" s="9"/>
      <x:c r="D92" s="9"/>
      <x:c r="E92" s="9"/>
      <x:c r="F92" s="9"/>
      <x:c r="G92" s="9"/>
      <x:c r="H92" s="9"/>
      <x:c r="I92" s="9"/>
      <x:c r="J92" s="9"/>
      <x:c r="K92" s="9"/>
    </x:row>
    <x:row r="93" ht="44" customHeight="1">
      <x:c r="A93" s="9"/>
      <x:c r="B93" s="9"/>
      <x:c r="C93" s="9"/>
      <x:c r="D93" s="9"/>
      <x:c r="E93" s="9"/>
      <x:c r="F93" s="9"/>
      <x:c r="G93" s="9"/>
      <x:c r="H93" s="9"/>
      <x:c r="I93" s="9"/>
      <x:c r="J93" s="9"/>
      <x:c r="K93" s="9"/>
    </x:row>
    <x:row r="94" ht="44" customHeight="1">
      <x:c r="A94" s="9"/>
      <x:c r="B94" s="9"/>
      <x:c r="C94" s="9"/>
      <x:c r="D94" s="9"/>
      <x:c r="E94" s="9"/>
      <x:c r="F94" s="9"/>
      <x:c r="G94" s="9"/>
      <x:c r="H94" s="9"/>
      <x:c r="I94" s="9"/>
      <x:c r="J94" s="9"/>
      <x:c r="K94" s="9"/>
    </x:row>
    <x:row r="95" ht="44" customHeight="1">
      <x:c r="A95" s="9"/>
      <x:c r="B95" s="9"/>
      <x:c r="C95" s="9"/>
      <x:c r="D95" s="9"/>
      <x:c r="E95" s="9"/>
      <x:c r="F95" s="9"/>
      <x:c r="G95" s="9"/>
      <x:c r="H95" s="9"/>
      <x:c r="I95" s="9"/>
      <x:c r="J95" s="9"/>
      <x:c r="K95" s="9"/>
    </x:row>
    <x:row r="96" ht="44" customHeight="1">
      <x:c r="A96" s="9"/>
      <x:c r="B96" s="9"/>
      <x:c r="C96" s="9"/>
      <x:c r="D96" s="9"/>
      <x:c r="E96" s="9"/>
      <x:c r="F96" s="9"/>
      <x:c r="G96" s="9"/>
      <x:c r="H96" s="9"/>
      <x:c r="I96" s="9"/>
      <x:c r="J96" s="9"/>
      <x:c r="K96" s="9"/>
    </x:row>
    <x:row r="97" ht="44" customHeight="1">
      <x:c r="A97" s="9"/>
      <x:c r="B97" s="9"/>
      <x:c r="C97" s="9"/>
      <x:c r="D97" s="9"/>
      <x:c r="E97" s="9"/>
      <x:c r="F97" s="9"/>
      <x:c r="G97" s="9"/>
      <x:c r="H97" s="9"/>
      <x:c r="I97" s="9"/>
      <x:c r="J97" s="9"/>
      <x:c r="K97" s="9"/>
    </x:row>
    <x:row r="98" ht="44" customHeight="1">
      <x:c r="A98" s="9"/>
      <x:c r="B98" s="9"/>
      <x:c r="C98" s="9"/>
      <x:c r="D98" s="9"/>
      <x:c r="E98" s="9"/>
      <x:c r="F98" s="9"/>
      <x:c r="G98" s="9"/>
      <x:c r="H98" s="9"/>
      <x:c r="I98" s="9"/>
      <x:c r="J98" s="9"/>
      <x:c r="K98" s="9"/>
    </x:row>
    <x:row r="99" ht="44" customHeight="1">
      <x:c r="A99" s="9"/>
      <x:c r="B99" s="9"/>
      <x:c r="C99" s="9"/>
      <x:c r="D99" s="9"/>
      <x:c r="E99" s="9"/>
      <x:c r="F99" s="9"/>
      <x:c r="G99" s="9"/>
      <x:c r="H99" s="9"/>
      <x:c r="I99" s="9"/>
      <x:c r="J99" s="9"/>
      <x:c r="K99" s="9"/>
    </x:row>
    <x:row r="100" ht="44" customHeight="1">
      <x:c r="A100" s="9"/>
      <x:c r="B100" s="9"/>
      <x:c r="C100" s="9"/>
      <x:c r="D100" s="9"/>
      <x:c r="E100" s="9"/>
      <x:c r="F100" s="9"/>
      <x:c r="G100" s="9"/>
      <x:c r="H100" s="9"/>
      <x:c r="I100" s="9"/>
      <x:c r="J100" s="9"/>
      <x:c r="K100" s="9"/>
    </x:row>
    <x:row r="101" ht="44" customHeight="1">
      <x:c r="A101" s="9"/>
      <x:c r="B101" s="9"/>
      <x:c r="C101" s="9"/>
      <x:c r="D101" s="9"/>
      <x:c r="E101" s="9"/>
      <x:c r="F101" s="9"/>
      <x:c r="G101" s="9"/>
      <x:c r="H101" s="9"/>
      <x:c r="I101" s="9"/>
      <x:c r="J101" s="9"/>
      <x:c r="K101" s="9"/>
    </x:row>
    <x:row r="102" ht="44" customHeight="1">
      <x:c r="A102" s="9"/>
      <x:c r="B102" s="9"/>
      <x:c r="C102" s="9"/>
      <x:c r="D102" s="9"/>
      <x:c r="E102" s="9"/>
      <x:c r="F102" s="9"/>
      <x:c r="G102" s="9"/>
      <x:c r="H102" s="9"/>
      <x:c r="I102" s="9"/>
      <x:c r="J102" s="9"/>
      <x:c r="K102" s="9"/>
    </x:row>
    <x:row r="103" ht="44" customHeight="1">
      <x:c r="A103" s="9"/>
      <x:c r="B103" s="9"/>
      <x:c r="C103" s="9"/>
      <x:c r="D103" s="9"/>
      <x:c r="E103" s="9"/>
      <x:c r="F103" s="9"/>
      <x:c r="G103" s="9"/>
      <x:c r="H103" s="9"/>
      <x:c r="I103" s="9"/>
      <x:c r="J103" s="9"/>
      <x:c r="K103" s="9"/>
    </x:row>
    <x:row r="104" ht="44" customHeight="1">
      <x:c r="A104" s="9"/>
      <x:c r="B104" s="9"/>
      <x:c r="C104" s="9"/>
      <x:c r="D104" s="9"/>
      <x:c r="E104" s="9"/>
      <x:c r="F104" s="9"/>
      <x:c r="G104" s="9"/>
      <x:c r="H104" s="9"/>
      <x:c r="I104" s="9"/>
      <x:c r="J104" s="9"/>
      <x:c r="K104" s="9"/>
    </x:row>
    <x:row r="105" ht="44" customHeight="1">
      <x:c r="A105" s="9"/>
      <x:c r="B105" s="9"/>
      <x:c r="C105" s="9"/>
      <x:c r="D105" s="9"/>
      <x:c r="E105" s="9"/>
      <x:c r="F105" s="9"/>
      <x:c r="G105" s="9"/>
      <x:c r="H105" s="9"/>
      <x:c r="I105" s="9"/>
      <x:c r="J105" s="9"/>
      <x:c r="K105" s="9"/>
    </x:row>
  </x:sheetData>
  <x:mergeCells>
    <x:mergeCell ref="A1:H1"/>
    <x:mergeCell ref="A2:K2"/>
    <x:mergeCell ref="A3:K3"/>
  </x:mergeCells>
  <x:dataValidations count="2">
    <x:dataValidation type="list" sqref="D6:D105">
      <x:formula1>'标注选项'!$B$11:$B$19</x:formula1>
    </x:dataValidation>
    <x:dataValidation type="list" sqref="I6:I105">
      <x:formula1>'标注选项'!$B$24:$B$28</x:formula1>
    </x:dataValidation>
  </x:dataValidations>
  <x:pageMargins left="0.7" right="0.7" top="0.75" bottom="0.75" header="0.3" footer="0.3"/>
  <x:legacyDrawing xmlns:r="http://schemas.openxmlformats.org/officeDocument/2006/relationships" r:id="R90a56a154556463b"/>
  <x:tableParts count="1">
    <x:tablePart xmlns:r="http://schemas.openxmlformats.org/officeDocument/2006/relationships" r:id="R2cc764afefa74bef"/>
  </x:tableParts>
</x:worksheet>
</file>

<file path=xl/worksheets/sheet4.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22" hidden="0" customWidth="1"/>
    <x:col min="4" max="4" width="38" hidden="0" customWidth="1"/>
    <x:col min="5" max="5" width="22" hidden="0" customWidth="1"/>
    <x:col min="6" max="6" width="38" hidden="0" customWidth="1"/>
    <x:col min="7" max="7" width="38" hidden="0" customWidth="1"/>
    <x:col min="8" max="8" width="22" hidden="0" customWidth="1"/>
    <x:col min="9" max="9" width="38" hidden="0" customWidth="1"/>
    <x:col min="10" max="10" width="58" hidden="0" customWidth="1"/>
    <x:col min="11" max="11" width="38" hidden="0" customWidth="1"/>
    <x:col min="12" max="12" width="22" hidden="0" customWidth="1"/>
    <x:col min="13" max="13" width="22" hidden="0" customWidth="1"/>
    <x:col min="14" max="14" width="40" hidden="0" customWidth="1"/>
  </x:cols>
  <x:sheetData>
    <x:row r="1" ht="38" customHeight="1">
      <x:c r="A1" s="5" t="str">
        <x:v>主体登记</x:v>
      </x:c>
      <x:c r="B1" s="5"/>
      <x:c r="C1" s="5"/>
      <x:c r="D1" s="5"/>
      <x:c r="E1" s="5"/>
      <x:c r="F1" s="5"/>
      <x:c r="G1" s="5"/>
      <x:c r="H1" s="5"/>
      <x:c r="I1" s="3"/>
      <x:c r="J1" s="3"/>
      <x:c r="K1" s="3"/>
      <x:c r="L1" s="3"/>
      <x:c r="M1" s="3"/>
      <x:c r="N1" s="3"/>
    </x:row>
    <x:row r="2" ht="36" customHeight="1">
      <x:c r="A2" s="6" t="str">
        <x:v>一案一套主体ID；同一主体多角色写角色对应的程序阶段。原名映射仅限本地。</x:v>
      </x:c>
      <x:c r="B2" s="6"/>
      <x:c r="C2" s="6"/>
      <x:c r="D2" s="6"/>
      <x:c r="E2" s="6"/>
      <x:c r="F2" s="6"/>
      <x:c r="G2" s="6"/>
      <x:c r="H2" s="6"/>
      <x:c r="I2" s="6"/>
      <x:c r="J2" s="6"/>
      <x:c r="K2" s="6"/>
      <x:c r="L2" s="6"/>
      <x:c r="M2" s="6"/>
      <x:c r="N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row>
    <x:row r="4" ht="44" customHeight="1">
      <x:c r="A4" s="3"/>
      <x:c r="B4" s="3"/>
      <x:c r="C4" s="3"/>
      <x:c r="D4" s="3"/>
      <x:c r="E4" s="3"/>
      <x:c r="F4" s="3"/>
      <x:c r="G4" s="3"/>
      <x:c r="H4" s="3"/>
      <x:c r="I4" s="3"/>
      <x:c r="J4" s="3"/>
      <x:c r="K4" s="3"/>
      <x:c r="L4" s="3"/>
      <x:c r="M4" s="3"/>
      <x:c r="N4" s="3"/>
    </x:row>
    <x:row r="5" ht="48" customHeight="1">
      <x:c r="A5" s="10" t="str">
        <x:v>主体记录ID</x:v>
      </x:c>
      <x:c r="B5" s="10" t="str">
        <x:v>案件ID</x:v>
      </x:c>
      <x:c r="C5" s="10" t="str">
        <x:v>主体ID</x:v>
      </x:c>
      <x:c r="D5" s="10" t="str">
        <x:v>原名及别名</x:v>
      </x:c>
      <x:c r="E5" s="10" t="str">
        <x:v>主体类型</x:v>
      </x:c>
      <x:c r="F5" s="10" t="str">
        <x:v>角色及程序阶段</x:v>
      </x:c>
      <x:c r="G5" s="10" t="str">
        <x:v>稳定代称</x:v>
      </x:c>
      <x:c r="H5" s="10" t="str">
        <x:v>来源材料ID</x:v>
      </x:c>
      <x:c r="I5" s="10" t="str">
        <x:v>来源锚点</x:v>
      </x:c>
      <x:c r="J5" s="10" t="str">
        <x:v>合并或拆分依据</x:v>
      </x:c>
      <x:c r="K5" s="10" t="str">
        <x:v>标注人</x:v>
      </x:c>
      <x:c r="L5" s="10" t="str">
        <x:v>批次</x:v>
      </x:c>
      <x:c r="M5" s="10" t="str">
        <x:v>复核状态</x:v>
      </x:c>
      <x:c r="N5" s="10" t="str">
        <x:v>质检提示</x:v>
      </x:c>
    </x:row>
    <x:row r="6" ht="44" customHeight="1">
      <x:c r="A6" s="9"/>
      <x:c r="B6" s="9"/>
      <x:c r="C6" s="9"/>
      <x:c r="D6" s="9"/>
      <x:c r="E6" s="9"/>
      <x:c r="F6" s="9"/>
      <x:c r="G6" s="9"/>
      <x:c r="H6" s="9"/>
      <x:c r="I6" s="9"/>
      <x:c r="J6" s="9"/>
      <x:c r="K6" s="9"/>
      <x:c r="L6" s="9"/>
      <x:c r="M6" s="9"/>
      <x:c r="N6" s="12" t="str">
        <x:f>IF(A6="","",IF(COUNTIF($A$6:$A$205,A6)&gt;1,"记录ID重复",IF(COUNTIF('案件索引'!$A$6:$A$105,B6)=0,"案件ID未登记",IF(OR(C6="",G6="",H6="",I6="",K6=""),"补主体、代称、来源或标注人","格式已填；仍须人工复核"))))</x:f>
      </x:c>
    </x:row>
    <x:row r="7" ht="44" customHeight="1">
      <x:c r="A7" s="9"/>
      <x:c r="B7" s="9"/>
      <x:c r="C7" s="9"/>
      <x:c r="D7" s="9"/>
      <x:c r="E7" s="9"/>
      <x:c r="F7" s="9"/>
      <x:c r="G7" s="9"/>
      <x:c r="H7" s="9"/>
      <x:c r="I7" s="9"/>
      <x:c r="J7" s="9"/>
      <x:c r="K7" s="9"/>
      <x:c r="L7" s="9"/>
      <x:c r="M7" s="9"/>
      <x:c r="N7" s="12" t="str">
        <x:f>IF(A7="","",IF(COUNTIF($A$6:$A$205,A7)&gt;1,"记录ID重复",IF(COUNTIF('案件索引'!$A$6:$A$105,B7)=0,"案件ID未登记",IF(OR(C7="",G7="",H7="",I7="",K7=""),"补主体、代称、来源或标注人","格式已填；仍须人工复核"))))</x:f>
      </x:c>
    </x:row>
    <x:row r="8" ht="44" customHeight="1">
      <x:c r="A8" s="9"/>
      <x:c r="B8" s="9"/>
      <x:c r="C8" s="9"/>
      <x:c r="D8" s="9"/>
      <x:c r="E8" s="9"/>
      <x:c r="F8" s="9"/>
      <x:c r="G8" s="9"/>
      <x:c r="H8" s="9"/>
      <x:c r="I8" s="9"/>
      <x:c r="J8" s="9"/>
      <x:c r="K8" s="9"/>
      <x:c r="L8" s="9"/>
      <x:c r="M8" s="9"/>
      <x:c r="N8" s="12" t="str">
        <x:f>IF(A8="","",IF(COUNTIF($A$6:$A$205,A8)&gt;1,"记录ID重复",IF(COUNTIF('案件索引'!$A$6:$A$105,B8)=0,"案件ID未登记",IF(OR(C8="",G8="",H8="",I8="",K8=""),"补主体、代称、来源或标注人","格式已填；仍须人工复核"))))</x:f>
      </x:c>
    </x:row>
    <x:row r="9" ht="44" customHeight="1">
      <x:c r="A9" s="9"/>
      <x:c r="B9" s="9"/>
      <x:c r="C9" s="9"/>
      <x:c r="D9" s="9"/>
      <x:c r="E9" s="9"/>
      <x:c r="F9" s="9"/>
      <x:c r="G9" s="9"/>
      <x:c r="H9" s="9"/>
      <x:c r="I9" s="9"/>
      <x:c r="J9" s="9"/>
      <x:c r="K9" s="9"/>
      <x:c r="L9" s="9"/>
      <x:c r="M9" s="9"/>
      <x:c r="N9" s="12" t="str">
        <x:f>IF(A9="","",IF(COUNTIF($A$6:$A$205,A9)&gt;1,"记录ID重复",IF(COUNTIF('案件索引'!$A$6:$A$105,B9)=0,"案件ID未登记",IF(OR(C9="",G9="",H9="",I9="",K9=""),"补主体、代称、来源或标注人","格式已填；仍须人工复核"))))</x:f>
      </x:c>
    </x:row>
    <x:row r="10" ht="44" customHeight="1">
      <x:c r="A10" s="9"/>
      <x:c r="B10" s="9"/>
      <x:c r="C10" s="9"/>
      <x:c r="D10" s="9"/>
      <x:c r="E10" s="9"/>
      <x:c r="F10" s="9"/>
      <x:c r="G10" s="9"/>
      <x:c r="H10" s="9"/>
      <x:c r="I10" s="9"/>
      <x:c r="J10" s="9"/>
      <x:c r="K10" s="9"/>
      <x:c r="L10" s="9"/>
      <x:c r="M10" s="9"/>
      <x:c r="N10" s="12" t="str">
        <x:f>IF(A10="","",IF(COUNTIF($A$6:$A$205,A10)&gt;1,"记录ID重复",IF(COUNTIF('案件索引'!$A$6:$A$105,B10)=0,"案件ID未登记",IF(OR(C10="",G10="",H10="",I10="",K10=""),"补主体、代称、来源或标注人","格式已填；仍须人工复核"))))</x:f>
      </x:c>
    </x:row>
    <x:row r="11" ht="44" customHeight="1">
      <x:c r="A11" s="9"/>
      <x:c r="B11" s="9"/>
      <x:c r="C11" s="9"/>
      <x:c r="D11" s="9"/>
      <x:c r="E11" s="9"/>
      <x:c r="F11" s="9"/>
      <x:c r="G11" s="9"/>
      <x:c r="H11" s="9"/>
      <x:c r="I11" s="9"/>
      <x:c r="J11" s="9"/>
      <x:c r="K11" s="9"/>
      <x:c r="L11" s="9"/>
      <x:c r="M11" s="9"/>
      <x:c r="N11" s="12" t="str">
        <x:f>IF(A11="","",IF(COUNTIF($A$6:$A$205,A11)&gt;1,"记录ID重复",IF(COUNTIF('案件索引'!$A$6:$A$105,B11)=0,"案件ID未登记",IF(OR(C11="",G11="",H11="",I11="",K11=""),"补主体、代称、来源或标注人","格式已填；仍须人工复核"))))</x:f>
      </x:c>
    </x:row>
    <x:row r="12" ht="44" customHeight="1">
      <x:c r="A12" s="9"/>
      <x:c r="B12" s="9"/>
      <x:c r="C12" s="9"/>
      <x:c r="D12" s="9"/>
      <x:c r="E12" s="9"/>
      <x:c r="F12" s="9"/>
      <x:c r="G12" s="9"/>
      <x:c r="H12" s="9"/>
      <x:c r="I12" s="9"/>
      <x:c r="J12" s="9"/>
      <x:c r="K12" s="9"/>
      <x:c r="L12" s="9"/>
      <x:c r="M12" s="9"/>
      <x:c r="N12" s="12" t="str">
        <x:f>IF(A12="","",IF(COUNTIF($A$6:$A$205,A12)&gt;1,"记录ID重复",IF(COUNTIF('案件索引'!$A$6:$A$105,B12)=0,"案件ID未登记",IF(OR(C12="",G12="",H12="",I12="",K12=""),"补主体、代称、来源或标注人","格式已填；仍须人工复核"))))</x:f>
      </x:c>
    </x:row>
    <x:row r="13" ht="44" customHeight="1">
      <x:c r="A13" s="9"/>
      <x:c r="B13" s="9"/>
      <x:c r="C13" s="9"/>
      <x:c r="D13" s="9"/>
      <x:c r="E13" s="9"/>
      <x:c r="F13" s="9"/>
      <x:c r="G13" s="9"/>
      <x:c r="H13" s="9"/>
      <x:c r="I13" s="9"/>
      <x:c r="J13" s="9"/>
      <x:c r="K13" s="9"/>
      <x:c r="L13" s="9"/>
      <x:c r="M13" s="9"/>
      <x:c r="N13" s="12" t="str">
        <x:f>IF(A13="","",IF(COUNTIF($A$6:$A$205,A13)&gt;1,"记录ID重复",IF(COUNTIF('案件索引'!$A$6:$A$105,B13)=0,"案件ID未登记",IF(OR(C13="",G13="",H13="",I13="",K13=""),"补主体、代称、来源或标注人","格式已填；仍须人工复核"))))</x:f>
      </x:c>
    </x:row>
    <x:row r="14" ht="44" customHeight="1">
      <x:c r="A14" s="9"/>
      <x:c r="B14" s="9"/>
      <x:c r="C14" s="9"/>
      <x:c r="D14" s="9"/>
      <x:c r="E14" s="9"/>
      <x:c r="F14" s="9"/>
      <x:c r="G14" s="9"/>
      <x:c r="H14" s="9"/>
      <x:c r="I14" s="9"/>
      <x:c r="J14" s="9"/>
      <x:c r="K14" s="9"/>
      <x:c r="L14" s="9"/>
      <x:c r="M14" s="9"/>
      <x:c r="N14" s="12" t="str">
        <x:f>IF(A14="","",IF(COUNTIF($A$6:$A$205,A14)&gt;1,"记录ID重复",IF(COUNTIF('案件索引'!$A$6:$A$105,B14)=0,"案件ID未登记",IF(OR(C14="",G14="",H14="",I14="",K14=""),"补主体、代称、来源或标注人","格式已填；仍须人工复核"))))</x:f>
      </x:c>
    </x:row>
    <x:row r="15" ht="44" customHeight="1">
      <x:c r="A15" s="9"/>
      <x:c r="B15" s="9"/>
      <x:c r="C15" s="9"/>
      <x:c r="D15" s="9"/>
      <x:c r="E15" s="9"/>
      <x:c r="F15" s="9"/>
      <x:c r="G15" s="9"/>
      <x:c r="H15" s="9"/>
      <x:c r="I15" s="9"/>
      <x:c r="J15" s="9"/>
      <x:c r="K15" s="9"/>
      <x:c r="L15" s="9"/>
      <x:c r="M15" s="9"/>
      <x:c r="N15" s="12" t="str">
        <x:f>IF(A15="","",IF(COUNTIF($A$6:$A$205,A15)&gt;1,"记录ID重复",IF(COUNTIF('案件索引'!$A$6:$A$105,B15)=0,"案件ID未登记",IF(OR(C15="",G15="",H15="",I15="",K15=""),"补主体、代称、来源或标注人","格式已填；仍须人工复核"))))</x:f>
      </x:c>
    </x:row>
    <x:row r="16" ht="44" customHeight="1">
      <x:c r="A16" s="9"/>
      <x:c r="B16" s="9"/>
      <x:c r="C16" s="9"/>
      <x:c r="D16" s="9"/>
      <x:c r="E16" s="9"/>
      <x:c r="F16" s="9"/>
      <x:c r="G16" s="9"/>
      <x:c r="H16" s="9"/>
      <x:c r="I16" s="9"/>
      <x:c r="J16" s="9"/>
      <x:c r="K16" s="9"/>
      <x:c r="L16" s="9"/>
      <x:c r="M16" s="9"/>
      <x:c r="N16" s="12" t="str">
        <x:f>IF(A16="","",IF(COUNTIF($A$6:$A$205,A16)&gt;1,"记录ID重复",IF(COUNTIF('案件索引'!$A$6:$A$105,B16)=0,"案件ID未登记",IF(OR(C16="",G16="",H16="",I16="",K16=""),"补主体、代称、来源或标注人","格式已填；仍须人工复核"))))</x:f>
      </x:c>
    </x:row>
    <x:row r="17" ht="44" customHeight="1">
      <x:c r="A17" s="9"/>
      <x:c r="B17" s="9"/>
      <x:c r="C17" s="9"/>
      <x:c r="D17" s="9"/>
      <x:c r="E17" s="9"/>
      <x:c r="F17" s="9"/>
      <x:c r="G17" s="9"/>
      <x:c r="H17" s="9"/>
      <x:c r="I17" s="9"/>
      <x:c r="J17" s="9"/>
      <x:c r="K17" s="9"/>
      <x:c r="L17" s="9"/>
      <x:c r="M17" s="9"/>
      <x:c r="N17" s="12" t="str">
        <x:f>IF(A17="","",IF(COUNTIF($A$6:$A$205,A17)&gt;1,"记录ID重复",IF(COUNTIF('案件索引'!$A$6:$A$105,B17)=0,"案件ID未登记",IF(OR(C17="",G17="",H17="",I17="",K17=""),"补主体、代称、来源或标注人","格式已填；仍须人工复核"))))</x:f>
      </x:c>
    </x:row>
    <x:row r="18" ht="44" customHeight="1">
      <x:c r="A18" s="9"/>
      <x:c r="B18" s="9"/>
      <x:c r="C18" s="9"/>
      <x:c r="D18" s="9"/>
      <x:c r="E18" s="9"/>
      <x:c r="F18" s="9"/>
      <x:c r="G18" s="9"/>
      <x:c r="H18" s="9"/>
      <x:c r="I18" s="9"/>
      <x:c r="J18" s="9"/>
      <x:c r="K18" s="9"/>
      <x:c r="L18" s="9"/>
      <x:c r="M18" s="9"/>
      <x:c r="N18" s="12" t="str">
        <x:f>IF(A18="","",IF(COUNTIF($A$6:$A$205,A18)&gt;1,"记录ID重复",IF(COUNTIF('案件索引'!$A$6:$A$105,B18)=0,"案件ID未登记",IF(OR(C18="",G18="",H18="",I18="",K18=""),"补主体、代称、来源或标注人","格式已填；仍须人工复核"))))</x:f>
      </x:c>
    </x:row>
    <x:row r="19" ht="44" customHeight="1">
      <x:c r="A19" s="9"/>
      <x:c r="B19" s="9"/>
      <x:c r="C19" s="9"/>
      <x:c r="D19" s="9"/>
      <x:c r="E19" s="9"/>
      <x:c r="F19" s="9"/>
      <x:c r="G19" s="9"/>
      <x:c r="H19" s="9"/>
      <x:c r="I19" s="9"/>
      <x:c r="J19" s="9"/>
      <x:c r="K19" s="9"/>
      <x:c r="L19" s="9"/>
      <x:c r="M19" s="9"/>
      <x:c r="N19" s="12" t="str">
        <x:f>IF(A19="","",IF(COUNTIF($A$6:$A$205,A19)&gt;1,"记录ID重复",IF(COUNTIF('案件索引'!$A$6:$A$105,B19)=0,"案件ID未登记",IF(OR(C19="",G19="",H19="",I19="",K19=""),"补主体、代称、来源或标注人","格式已填；仍须人工复核"))))</x:f>
      </x:c>
    </x:row>
    <x:row r="20" ht="44" customHeight="1">
      <x:c r="A20" s="9"/>
      <x:c r="B20" s="9"/>
      <x:c r="C20" s="9"/>
      <x:c r="D20" s="9"/>
      <x:c r="E20" s="9"/>
      <x:c r="F20" s="9"/>
      <x:c r="G20" s="9"/>
      <x:c r="H20" s="9"/>
      <x:c r="I20" s="9"/>
      <x:c r="J20" s="9"/>
      <x:c r="K20" s="9"/>
      <x:c r="L20" s="9"/>
      <x:c r="M20" s="9"/>
      <x:c r="N20" s="12" t="str">
        <x:f>IF(A20="","",IF(COUNTIF($A$6:$A$205,A20)&gt;1,"记录ID重复",IF(COUNTIF('案件索引'!$A$6:$A$105,B20)=0,"案件ID未登记",IF(OR(C20="",G20="",H20="",I20="",K20=""),"补主体、代称、来源或标注人","格式已填；仍须人工复核"))))</x:f>
      </x:c>
    </x:row>
    <x:row r="21" ht="44" customHeight="1">
      <x:c r="A21" s="9"/>
      <x:c r="B21" s="9"/>
      <x:c r="C21" s="9"/>
      <x:c r="D21" s="9"/>
      <x:c r="E21" s="9"/>
      <x:c r="F21" s="9"/>
      <x:c r="G21" s="9"/>
      <x:c r="H21" s="9"/>
      <x:c r="I21" s="9"/>
      <x:c r="J21" s="9"/>
      <x:c r="K21" s="9"/>
      <x:c r="L21" s="9"/>
      <x:c r="M21" s="9"/>
      <x:c r="N21" s="12" t="str">
        <x:f>IF(A21="","",IF(COUNTIF($A$6:$A$205,A21)&gt;1,"记录ID重复",IF(COUNTIF('案件索引'!$A$6:$A$105,B21)=0,"案件ID未登记",IF(OR(C21="",G21="",H21="",I21="",K21=""),"补主体、代称、来源或标注人","格式已填；仍须人工复核"))))</x:f>
      </x:c>
    </x:row>
    <x:row r="22" ht="44" customHeight="1">
      <x:c r="A22" s="9"/>
      <x:c r="B22" s="9"/>
      <x:c r="C22" s="9"/>
      <x:c r="D22" s="9"/>
      <x:c r="E22" s="9"/>
      <x:c r="F22" s="9"/>
      <x:c r="G22" s="9"/>
      <x:c r="H22" s="9"/>
      <x:c r="I22" s="9"/>
      <x:c r="J22" s="9"/>
      <x:c r="K22" s="9"/>
      <x:c r="L22" s="9"/>
      <x:c r="M22" s="9"/>
      <x:c r="N22" s="12" t="str">
        <x:f>IF(A22="","",IF(COUNTIF($A$6:$A$205,A22)&gt;1,"记录ID重复",IF(COUNTIF('案件索引'!$A$6:$A$105,B22)=0,"案件ID未登记",IF(OR(C22="",G22="",H22="",I22="",K22=""),"补主体、代称、来源或标注人","格式已填；仍须人工复核"))))</x:f>
      </x:c>
    </x:row>
    <x:row r="23" ht="44" customHeight="1">
      <x:c r="A23" s="9"/>
      <x:c r="B23" s="9"/>
      <x:c r="C23" s="9"/>
      <x:c r="D23" s="9"/>
      <x:c r="E23" s="9"/>
      <x:c r="F23" s="9"/>
      <x:c r="G23" s="9"/>
      <x:c r="H23" s="9"/>
      <x:c r="I23" s="9"/>
      <x:c r="J23" s="9"/>
      <x:c r="K23" s="9"/>
      <x:c r="L23" s="9"/>
      <x:c r="M23" s="9"/>
      <x:c r="N23" s="12" t="str">
        <x:f>IF(A23="","",IF(COUNTIF($A$6:$A$205,A23)&gt;1,"记录ID重复",IF(COUNTIF('案件索引'!$A$6:$A$105,B23)=0,"案件ID未登记",IF(OR(C23="",G23="",H23="",I23="",K23=""),"补主体、代称、来源或标注人","格式已填；仍须人工复核"))))</x:f>
      </x:c>
    </x:row>
    <x:row r="24" ht="44" customHeight="1">
      <x:c r="A24" s="9"/>
      <x:c r="B24" s="9"/>
      <x:c r="C24" s="9"/>
      <x:c r="D24" s="9"/>
      <x:c r="E24" s="9"/>
      <x:c r="F24" s="9"/>
      <x:c r="G24" s="9"/>
      <x:c r="H24" s="9"/>
      <x:c r="I24" s="9"/>
      <x:c r="J24" s="9"/>
      <x:c r="K24" s="9"/>
      <x:c r="L24" s="9"/>
      <x:c r="M24" s="9"/>
      <x:c r="N24" s="12" t="str">
        <x:f>IF(A24="","",IF(COUNTIF($A$6:$A$205,A24)&gt;1,"记录ID重复",IF(COUNTIF('案件索引'!$A$6:$A$105,B24)=0,"案件ID未登记",IF(OR(C24="",G24="",H24="",I24="",K24=""),"补主体、代称、来源或标注人","格式已填；仍须人工复核"))))</x:f>
      </x:c>
    </x:row>
    <x:row r="25" ht="44" customHeight="1">
      <x:c r="A25" s="9"/>
      <x:c r="B25" s="9"/>
      <x:c r="C25" s="9"/>
      <x:c r="D25" s="9"/>
      <x:c r="E25" s="9"/>
      <x:c r="F25" s="9"/>
      <x:c r="G25" s="9"/>
      <x:c r="H25" s="9"/>
      <x:c r="I25" s="9"/>
      <x:c r="J25" s="9"/>
      <x:c r="K25" s="9"/>
      <x:c r="L25" s="9"/>
      <x:c r="M25" s="9"/>
      <x:c r="N25" s="12" t="str">
        <x:f>IF(A25="","",IF(COUNTIF($A$6:$A$205,A25)&gt;1,"记录ID重复",IF(COUNTIF('案件索引'!$A$6:$A$105,B25)=0,"案件ID未登记",IF(OR(C25="",G25="",H25="",I25="",K25=""),"补主体、代称、来源或标注人","格式已填；仍须人工复核"))))</x:f>
      </x:c>
    </x:row>
    <x:row r="26" ht="44" customHeight="1">
      <x:c r="A26" s="9"/>
      <x:c r="B26" s="9"/>
      <x:c r="C26" s="9"/>
      <x:c r="D26" s="9"/>
      <x:c r="E26" s="9"/>
      <x:c r="F26" s="9"/>
      <x:c r="G26" s="9"/>
      <x:c r="H26" s="9"/>
      <x:c r="I26" s="9"/>
      <x:c r="J26" s="9"/>
      <x:c r="K26" s="9"/>
      <x:c r="L26" s="9"/>
      <x:c r="M26" s="9"/>
      <x:c r="N26" s="12" t="str">
        <x:f>IF(A26="","",IF(COUNTIF($A$6:$A$205,A26)&gt;1,"记录ID重复",IF(COUNTIF('案件索引'!$A$6:$A$105,B26)=0,"案件ID未登记",IF(OR(C26="",G26="",H26="",I26="",K26=""),"补主体、代称、来源或标注人","格式已填；仍须人工复核"))))</x:f>
      </x:c>
    </x:row>
    <x:row r="27" ht="44" customHeight="1">
      <x:c r="A27" s="9"/>
      <x:c r="B27" s="9"/>
      <x:c r="C27" s="9"/>
      <x:c r="D27" s="9"/>
      <x:c r="E27" s="9"/>
      <x:c r="F27" s="9"/>
      <x:c r="G27" s="9"/>
      <x:c r="H27" s="9"/>
      <x:c r="I27" s="9"/>
      <x:c r="J27" s="9"/>
      <x:c r="K27" s="9"/>
      <x:c r="L27" s="9"/>
      <x:c r="M27" s="9"/>
      <x:c r="N27" s="12" t="str">
        <x:f>IF(A27="","",IF(COUNTIF($A$6:$A$205,A27)&gt;1,"记录ID重复",IF(COUNTIF('案件索引'!$A$6:$A$105,B27)=0,"案件ID未登记",IF(OR(C27="",G27="",H27="",I27="",K27=""),"补主体、代称、来源或标注人","格式已填；仍须人工复核"))))</x:f>
      </x:c>
    </x:row>
    <x:row r="28" ht="44" customHeight="1">
      <x:c r="A28" s="9"/>
      <x:c r="B28" s="9"/>
      <x:c r="C28" s="9"/>
      <x:c r="D28" s="9"/>
      <x:c r="E28" s="9"/>
      <x:c r="F28" s="9"/>
      <x:c r="G28" s="9"/>
      <x:c r="H28" s="9"/>
      <x:c r="I28" s="9"/>
      <x:c r="J28" s="9"/>
      <x:c r="K28" s="9"/>
      <x:c r="L28" s="9"/>
      <x:c r="M28" s="9"/>
      <x:c r="N28" s="12" t="str">
        <x:f>IF(A28="","",IF(COUNTIF($A$6:$A$205,A28)&gt;1,"记录ID重复",IF(COUNTIF('案件索引'!$A$6:$A$105,B28)=0,"案件ID未登记",IF(OR(C28="",G28="",H28="",I28="",K28=""),"补主体、代称、来源或标注人","格式已填；仍须人工复核"))))</x:f>
      </x:c>
    </x:row>
    <x:row r="29" ht="44" customHeight="1">
      <x:c r="A29" s="9"/>
      <x:c r="B29" s="9"/>
      <x:c r="C29" s="9"/>
      <x:c r="D29" s="9"/>
      <x:c r="E29" s="9"/>
      <x:c r="F29" s="9"/>
      <x:c r="G29" s="9"/>
      <x:c r="H29" s="9"/>
      <x:c r="I29" s="9"/>
      <x:c r="J29" s="9"/>
      <x:c r="K29" s="9"/>
      <x:c r="L29" s="9"/>
      <x:c r="M29" s="9"/>
      <x:c r="N29" s="12" t="str">
        <x:f>IF(A29="","",IF(COUNTIF($A$6:$A$205,A29)&gt;1,"记录ID重复",IF(COUNTIF('案件索引'!$A$6:$A$105,B29)=0,"案件ID未登记",IF(OR(C29="",G29="",H29="",I29="",K29=""),"补主体、代称、来源或标注人","格式已填；仍须人工复核"))))</x:f>
      </x:c>
    </x:row>
    <x:row r="30" ht="44" customHeight="1">
      <x:c r="A30" s="9"/>
      <x:c r="B30" s="9"/>
      <x:c r="C30" s="9"/>
      <x:c r="D30" s="9"/>
      <x:c r="E30" s="9"/>
      <x:c r="F30" s="9"/>
      <x:c r="G30" s="9"/>
      <x:c r="H30" s="9"/>
      <x:c r="I30" s="9"/>
      <x:c r="J30" s="9"/>
      <x:c r="K30" s="9"/>
      <x:c r="L30" s="9"/>
      <x:c r="M30" s="9"/>
      <x:c r="N30" s="12" t="str">
        <x:f>IF(A30="","",IF(COUNTIF($A$6:$A$205,A30)&gt;1,"记录ID重复",IF(COUNTIF('案件索引'!$A$6:$A$105,B30)=0,"案件ID未登记",IF(OR(C30="",G30="",H30="",I30="",K30=""),"补主体、代称、来源或标注人","格式已填；仍须人工复核"))))</x:f>
      </x:c>
    </x:row>
    <x:row r="31" ht="44" customHeight="1">
      <x:c r="A31" s="9"/>
      <x:c r="B31" s="9"/>
      <x:c r="C31" s="9"/>
      <x:c r="D31" s="9"/>
      <x:c r="E31" s="9"/>
      <x:c r="F31" s="9"/>
      <x:c r="G31" s="9"/>
      <x:c r="H31" s="9"/>
      <x:c r="I31" s="9"/>
      <x:c r="J31" s="9"/>
      <x:c r="K31" s="9"/>
      <x:c r="L31" s="9"/>
      <x:c r="M31" s="9"/>
      <x:c r="N31" s="12" t="str">
        <x:f>IF(A31="","",IF(COUNTIF($A$6:$A$205,A31)&gt;1,"记录ID重复",IF(COUNTIF('案件索引'!$A$6:$A$105,B31)=0,"案件ID未登记",IF(OR(C31="",G31="",H31="",I31="",K31=""),"补主体、代称、来源或标注人","格式已填；仍须人工复核"))))</x:f>
      </x:c>
    </x:row>
    <x:row r="32" ht="44" customHeight="1">
      <x:c r="A32" s="9"/>
      <x:c r="B32" s="9"/>
      <x:c r="C32" s="9"/>
      <x:c r="D32" s="9"/>
      <x:c r="E32" s="9"/>
      <x:c r="F32" s="9"/>
      <x:c r="G32" s="9"/>
      <x:c r="H32" s="9"/>
      <x:c r="I32" s="9"/>
      <x:c r="J32" s="9"/>
      <x:c r="K32" s="9"/>
      <x:c r="L32" s="9"/>
      <x:c r="M32" s="9"/>
      <x:c r="N32" s="12" t="str">
        <x:f>IF(A32="","",IF(COUNTIF($A$6:$A$205,A32)&gt;1,"记录ID重复",IF(COUNTIF('案件索引'!$A$6:$A$105,B32)=0,"案件ID未登记",IF(OR(C32="",G32="",H32="",I32="",K32=""),"补主体、代称、来源或标注人","格式已填；仍须人工复核"))))</x:f>
      </x:c>
    </x:row>
    <x:row r="33" ht="44" customHeight="1">
      <x:c r="A33" s="9"/>
      <x:c r="B33" s="9"/>
      <x:c r="C33" s="9"/>
      <x:c r="D33" s="9"/>
      <x:c r="E33" s="9"/>
      <x:c r="F33" s="9"/>
      <x:c r="G33" s="9"/>
      <x:c r="H33" s="9"/>
      <x:c r="I33" s="9"/>
      <x:c r="J33" s="9"/>
      <x:c r="K33" s="9"/>
      <x:c r="L33" s="9"/>
      <x:c r="M33" s="9"/>
      <x:c r="N33" s="12" t="str">
        <x:f>IF(A33="","",IF(COUNTIF($A$6:$A$205,A33)&gt;1,"记录ID重复",IF(COUNTIF('案件索引'!$A$6:$A$105,B33)=0,"案件ID未登记",IF(OR(C33="",G33="",H33="",I33="",K33=""),"补主体、代称、来源或标注人","格式已填；仍须人工复核"))))</x:f>
      </x:c>
    </x:row>
    <x:row r="34" ht="44" customHeight="1">
      <x:c r="A34" s="9"/>
      <x:c r="B34" s="9"/>
      <x:c r="C34" s="9"/>
      <x:c r="D34" s="9"/>
      <x:c r="E34" s="9"/>
      <x:c r="F34" s="9"/>
      <x:c r="G34" s="9"/>
      <x:c r="H34" s="9"/>
      <x:c r="I34" s="9"/>
      <x:c r="J34" s="9"/>
      <x:c r="K34" s="9"/>
      <x:c r="L34" s="9"/>
      <x:c r="M34" s="9"/>
      <x:c r="N34" s="12" t="str">
        <x:f>IF(A34="","",IF(COUNTIF($A$6:$A$205,A34)&gt;1,"记录ID重复",IF(COUNTIF('案件索引'!$A$6:$A$105,B34)=0,"案件ID未登记",IF(OR(C34="",G34="",H34="",I34="",K34=""),"补主体、代称、来源或标注人","格式已填；仍须人工复核"))))</x:f>
      </x:c>
    </x:row>
    <x:row r="35" ht="44" customHeight="1">
      <x:c r="A35" s="9"/>
      <x:c r="B35" s="9"/>
      <x:c r="C35" s="9"/>
      <x:c r="D35" s="9"/>
      <x:c r="E35" s="9"/>
      <x:c r="F35" s="9"/>
      <x:c r="G35" s="9"/>
      <x:c r="H35" s="9"/>
      <x:c r="I35" s="9"/>
      <x:c r="J35" s="9"/>
      <x:c r="K35" s="9"/>
      <x:c r="L35" s="9"/>
      <x:c r="M35" s="9"/>
      <x:c r="N35" s="12" t="str">
        <x:f>IF(A35="","",IF(COUNTIF($A$6:$A$205,A35)&gt;1,"记录ID重复",IF(COUNTIF('案件索引'!$A$6:$A$105,B35)=0,"案件ID未登记",IF(OR(C35="",G35="",H35="",I35="",K35=""),"补主体、代称、来源或标注人","格式已填；仍须人工复核"))))</x:f>
      </x:c>
    </x:row>
    <x:row r="36" ht="44" customHeight="1">
      <x:c r="A36" s="9"/>
      <x:c r="B36" s="9"/>
      <x:c r="C36" s="9"/>
      <x:c r="D36" s="9"/>
      <x:c r="E36" s="9"/>
      <x:c r="F36" s="9"/>
      <x:c r="G36" s="9"/>
      <x:c r="H36" s="9"/>
      <x:c r="I36" s="9"/>
      <x:c r="J36" s="9"/>
      <x:c r="K36" s="9"/>
      <x:c r="L36" s="9"/>
      <x:c r="M36" s="9"/>
      <x:c r="N36" s="12" t="str">
        <x:f>IF(A36="","",IF(COUNTIF($A$6:$A$205,A36)&gt;1,"记录ID重复",IF(COUNTIF('案件索引'!$A$6:$A$105,B36)=0,"案件ID未登记",IF(OR(C36="",G36="",H36="",I36="",K36=""),"补主体、代称、来源或标注人","格式已填；仍须人工复核"))))</x:f>
      </x:c>
    </x:row>
    <x:row r="37" ht="44" customHeight="1">
      <x:c r="A37" s="9"/>
      <x:c r="B37" s="9"/>
      <x:c r="C37" s="9"/>
      <x:c r="D37" s="9"/>
      <x:c r="E37" s="9"/>
      <x:c r="F37" s="9"/>
      <x:c r="G37" s="9"/>
      <x:c r="H37" s="9"/>
      <x:c r="I37" s="9"/>
      <x:c r="J37" s="9"/>
      <x:c r="K37" s="9"/>
      <x:c r="L37" s="9"/>
      <x:c r="M37" s="9"/>
      <x:c r="N37" s="12" t="str">
        <x:f>IF(A37="","",IF(COUNTIF($A$6:$A$205,A37)&gt;1,"记录ID重复",IF(COUNTIF('案件索引'!$A$6:$A$105,B37)=0,"案件ID未登记",IF(OR(C37="",G37="",H37="",I37="",K37=""),"补主体、代称、来源或标注人","格式已填；仍须人工复核"))))</x:f>
      </x:c>
    </x:row>
    <x:row r="38" ht="44" customHeight="1">
      <x:c r="A38" s="9"/>
      <x:c r="B38" s="9"/>
      <x:c r="C38" s="9"/>
      <x:c r="D38" s="9"/>
      <x:c r="E38" s="9"/>
      <x:c r="F38" s="9"/>
      <x:c r="G38" s="9"/>
      <x:c r="H38" s="9"/>
      <x:c r="I38" s="9"/>
      <x:c r="J38" s="9"/>
      <x:c r="K38" s="9"/>
      <x:c r="L38" s="9"/>
      <x:c r="M38" s="9"/>
      <x:c r="N38" s="12" t="str">
        <x:f>IF(A38="","",IF(COUNTIF($A$6:$A$205,A38)&gt;1,"记录ID重复",IF(COUNTIF('案件索引'!$A$6:$A$105,B38)=0,"案件ID未登记",IF(OR(C38="",G38="",H38="",I38="",K38=""),"补主体、代称、来源或标注人","格式已填；仍须人工复核"))))</x:f>
      </x:c>
    </x:row>
    <x:row r="39" ht="44" customHeight="1">
      <x:c r="A39" s="9"/>
      <x:c r="B39" s="9"/>
      <x:c r="C39" s="9"/>
      <x:c r="D39" s="9"/>
      <x:c r="E39" s="9"/>
      <x:c r="F39" s="9"/>
      <x:c r="G39" s="9"/>
      <x:c r="H39" s="9"/>
      <x:c r="I39" s="9"/>
      <x:c r="J39" s="9"/>
      <x:c r="K39" s="9"/>
      <x:c r="L39" s="9"/>
      <x:c r="M39" s="9"/>
      <x:c r="N39" s="12" t="str">
        <x:f>IF(A39="","",IF(COUNTIF($A$6:$A$205,A39)&gt;1,"记录ID重复",IF(COUNTIF('案件索引'!$A$6:$A$105,B39)=0,"案件ID未登记",IF(OR(C39="",G39="",H39="",I39="",K39=""),"补主体、代称、来源或标注人","格式已填；仍须人工复核"))))</x:f>
      </x:c>
    </x:row>
    <x:row r="40" ht="44" customHeight="1">
      <x:c r="A40" s="9"/>
      <x:c r="B40" s="9"/>
      <x:c r="C40" s="9"/>
      <x:c r="D40" s="9"/>
      <x:c r="E40" s="9"/>
      <x:c r="F40" s="9"/>
      <x:c r="G40" s="9"/>
      <x:c r="H40" s="9"/>
      <x:c r="I40" s="9"/>
      <x:c r="J40" s="9"/>
      <x:c r="K40" s="9"/>
      <x:c r="L40" s="9"/>
      <x:c r="M40" s="9"/>
      <x:c r="N40" s="12" t="str">
        <x:f>IF(A40="","",IF(COUNTIF($A$6:$A$205,A40)&gt;1,"记录ID重复",IF(COUNTIF('案件索引'!$A$6:$A$105,B40)=0,"案件ID未登记",IF(OR(C40="",G40="",H40="",I40="",K40=""),"补主体、代称、来源或标注人","格式已填；仍须人工复核"))))</x:f>
      </x:c>
    </x:row>
    <x:row r="41" ht="44" customHeight="1">
      <x:c r="A41" s="9"/>
      <x:c r="B41" s="9"/>
      <x:c r="C41" s="9"/>
      <x:c r="D41" s="9"/>
      <x:c r="E41" s="9"/>
      <x:c r="F41" s="9"/>
      <x:c r="G41" s="9"/>
      <x:c r="H41" s="9"/>
      <x:c r="I41" s="9"/>
      <x:c r="J41" s="9"/>
      <x:c r="K41" s="9"/>
      <x:c r="L41" s="9"/>
      <x:c r="M41" s="9"/>
      <x:c r="N41" s="12" t="str">
        <x:f>IF(A41="","",IF(COUNTIF($A$6:$A$205,A41)&gt;1,"记录ID重复",IF(COUNTIF('案件索引'!$A$6:$A$105,B41)=0,"案件ID未登记",IF(OR(C41="",G41="",H41="",I41="",K41=""),"补主体、代称、来源或标注人","格式已填；仍须人工复核"))))</x:f>
      </x:c>
    </x:row>
    <x:row r="42" ht="44" customHeight="1">
      <x:c r="A42" s="9"/>
      <x:c r="B42" s="9"/>
      <x:c r="C42" s="9"/>
      <x:c r="D42" s="9"/>
      <x:c r="E42" s="9"/>
      <x:c r="F42" s="9"/>
      <x:c r="G42" s="9"/>
      <x:c r="H42" s="9"/>
      <x:c r="I42" s="9"/>
      <x:c r="J42" s="9"/>
      <x:c r="K42" s="9"/>
      <x:c r="L42" s="9"/>
      <x:c r="M42" s="9"/>
      <x:c r="N42" s="12" t="str">
        <x:f>IF(A42="","",IF(COUNTIF($A$6:$A$205,A42)&gt;1,"记录ID重复",IF(COUNTIF('案件索引'!$A$6:$A$105,B42)=0,"案件ID未登记",IF(OR(C42="",G42="",H42="",I42="",K42=""),"补主体、代称、来源或标注人","格式已填；仍须人工复核"))))</x:f>
      </x:c>
    </x:row>
    <x:row r="43" ht="44" customHeight="1">
      <x:c r="A43" s="9"/>
      <x:c r="B43" s="9"/>
      <x:c r="C43" s="9"/>
      <x:c r="D43" s="9"/>
      <x:c r="E43" s="9"/>
      <x:c r="F43" s="9"/>
      <x:c r="G43" s="9"/>
      <x:c r="H43" s="9"/>
      <x:c r="I43" s="9"/>
      <x:c r="J43" s="9"/>
      <x:c r="K43" s="9"/>
      <x:c r="L43" s="9"/>
      <x:c r="M43" s="9"/>
      <x:c r="N43" s="12" t="str">
        <x:f>IF(A43="","",IF(COUNTIF($A$6:$A$205,A43)&gt;1,"记录ID重复",IF(COUNTIF('案件索引'!$A$6:$A$105,B43)=0,"案件ID未登记",IF(OR(C43="",G43="",H43="",I43="",K43=""),"补主体、代称、来源或标注人","格式已填；仍须人工复核"))))</x:f>
      </x:c>
    </x:row>
    <x:row r="44" ht="44" customHeight="1">
      <x:c r="A44" s="9"/>
      <x:c r="B44" s="9"/>
      <x:c r="C44" s="9"/>
      <x:c r="D44" s="9"/>
      <x:c r="E44" s="9"/>
      <x:c r="F44" s="9"/>
      <x:c r="G44" s="9"/>
      <x:c r="H44" s="9"/>
      <x:c r="I44" s="9"/>
      <x:c r="J44" s="9"/>
      <x:c r="K44" s="9"/>
      <x:c r="L44" s="9"/>
      <x:c r="M44" s="9"/>
      <x:c r="N44" s="12" t="str">
        <x:f>IF(A44="","",IF(COUNTIF($A$6:$A$205,A44)&gt;1,"记录ID重复",IF(COUNTIF('案件索引'!$A$6:$A$105,B44)=0,"案件ID未登记",IF(OR(C44="",G44="",H44="",I44="",K44=""),"补主体、代称、来源或标注人","格式已填；仍须人工复核"))))</x:f>
      </x:c>
    </x:row>
    <x:row r="45" ht="44" customHeight="1">
      <x:c r="A45" s="9"/>
      <x:c r="B45" s="9"/>
      <x:c r="C45" s="9"/>
      <x:c r="D45" s="9"/>
      <x:c r="E45" s="9"/>
      <x:c r="F45" s="9"/>
      <x:c r="G45" s="9"/>
      <x:c r="H45" s="9"/>
      <x:c r="I45" s="9"/>
      <x:c r="J45" s="9"/>
      <x:c r="K45" s="9"/>
      <x:c r="L45" s="9"/>
      <x:c r="M45" s="9"/>
      <x:c r="N45" s="12" t="str">
        <x:f>IF(A45="","",IF(COUNTIF($A$6:$A$205,A45)&gt;1,"记录ID重复",IF(COUNTIF('案件索引'!$A$6:$A$105,B45)=0,"案件ID未登记",IF(OR(C45="",G45="",H45="",I45="",K45=""),"补主体、代称、来源或标注人","格式已填；仍须人工复核"))))</x:f>
      </x:c>
    </x:row>
    <x:row r="46" ht="44" customHeight="1">
      <x:c r="A46" s="9"/>
      <x:c r="B46" s="9"/>
      <x:c r="C46" s="9"/>
      <x:c r="D46" s="9"/>
      <x:c r="E46" s="9"/>
      <x:c r="F46" s="9"/>
      <x:c r="G46" s="9"/>
      <x:c r="H46" s="9"/>
      <x:c r="I46" s="9"/>
      <x:c r="J46" s="9"/>
      <x:c r="K46" s="9"/>
      <x:c r="L46" s="9"/>
      <x:c r="M46" s="9"/>
      <x:c r="N46" s="12" t="str">
        <x:f>IF(A46="","",IF(COUNTIF($A$6:$A$205,A46)&gt;1,"记录ID重复",IF(COUNTIF('案件索引'!$A$6:$A$105,B46)=0,"案件ID未登记",IF(OR(C46="",G46="",H46="",I46="",K46=""),"补主体、代称、来源或标注人","格式已填；仍须人工复核"))))</x:f>
      </x:c>
    </x:row>
    <x:row r="47" ht="44" customHeight="1">
      <x:c r="A47" s="9"/>
      <x:c r="B47" s="9"/>
      <x:c r="C47" s="9"/>
      <x:c r="D47" s="9"/>
      <x:c r="E47" s="9"/>
      <x:c r="F47" s="9"/>
      <x:c r="G47" s="9"/>
      <x:c r="H47" s="9"/>
      <x:c r="I47" s="9"/>
      <x:c r="J47" s="9"/>
      <x:c r="K47" s="9"/>
      <x:c r="L47" s="9"/>
      <x:c r="M47" s="9"/>
      <x:c r="N47" s="12" t="str">
        <x:f>IF(A47="","",IF(COUNTIF($A$6:$A$205,A47)&gt;1,"记录ID重复",IF(COUNTIF('案件索引'!$A$6:$A$105,B47)=0,"案件ID未登记",IF(OR(C47="",G47="",H47="",I47="",K47=""),"补主体、代称、来源或标注人","格式已填；仍须人工复核"))))</x:f>
      </x:c>
    </x:row>
    <x:row r="48" ht="44" customHeight="1">
      <x:c r="A48" s="9"/>
      <x:c r="B48" s="9"/>
      <x:c r="C48" s="9"/>
      <x:c r="D48" s="9"/>
      <x:c r="E48" s="9"/>
      <x:c r="F48" s="9"/>
      <x:c r="G48" s="9"/>
      <x:c r="H48" s="9"/>
      <x:c r="I48" s="9"/>
      <x:c r="J48" s="9"/>
      <x:c r="K48" s="9"/>
      <x:c r="L48" s="9"/>
      <x:c r="M48" s="9"/>
      <x:c r="N48" s="12" t="str">
        <x:f>IF(A48="","",IF(COUNTIF($A$6:$A$205,A48)&gt;1,"记录ID重复",IF(COUNTIF('案件索引'!$A$6:$A$105,B48)=0,"案件ID未登记",IF(OR(C48="",G48="",H48="",I48="",K48=""),"补主体、代称、来源或标注人","格式已填；仍须人工复核"))))</x:f>
      </x:c>
    </x:row>
    <x:row r="49" ht="44" customHeight="1">
      <x:c r="A49" s="9"/>
      <x:c r="B49" s="9"/>
      <x:c r="C49" s="9"/>
      <x:c r="D49" s="9"/>
      <x:c r="E49" s="9"/>
      <x:c r="F49" s="9"/>
      <x:c r="G49" s="9"/>
      <x:c r="H49" s="9"/>
      <x:c r="I49" s="9"/>
      <x:c r="J49" s="9"/>
      <x:c r="K49" s="9"/>
      <x:c r="L49" s="9"/>
      <x:c r="M49" s="9"/>
      <x:c r="N49" s="12" t="str">
        <x:f>IF(A49="","",IF(COUNTIF($A$6:$A$205,A49)&gt;1,"记录ID重复",IF(COUNTIF('案件索引'!$A$6:$A$105,B49)=0,"案件ID未登记",IF(OR(C49="",G49="",H49="",I49="",K49=""),"补主体、代称、来源或标注人","格式已填；仍须人工复核"))))</x:f>
      </x:c>
    </x:row>
    <x:row r="50" ht="44" customHeight="1">
      <x:c r="A50" s="9"/>
      <x:c r="B50" s="9"/>
      <x:c r="C50" s="9"/>
      <x:c r="D50" s="9"/>
      <x:c r="E50" s="9"/>
      <x:c r="F50" s="9"/>
      <x:c r="G50" s="9"/>
      <x:c r="H50" s="9"/>
      <x:c r="I50" s="9"/>
      <x:c r="J50" s="9"/>
      <x:c r="K50" s="9"/>
      <x:c r="L50" s="9"/>
      <x:c r="M50" s="9"/>
      <x:c r="N50" s="12" t="str">
        <x:f>IF(A50="","",IF(COUNTIF($A$6:$A$205,A50)&gt;1,"记录ID重复",IF(COUNTIF('案件索引'!$A$6:$A$105,B50)=0,"案件ID未登记",IF(OR(C50="",G50="",H50="",I50="",K50=""),"补主体、代称、来源或标注人","格式已填；仍须人工复核"))))</x:f>
      </x:c>
    </x:row>
    <x:row r="51" ht="44" customHeight="1">
      <x:c r="A51" s="9"/>
      <x:c r="B51" s="9"/>
      <x:c r="C51" s="9"/>
      <x:c r="D51" s="9"/>
      <x:c r="E51" s="9"/>
      <x:c r="F51" s="9"/>
      <x:c r="G51" s="9"/>
      <x:c r="H51" s="9"/>
      <x:c r="I51" s="9"/>
      <x:c r="J51" s="9"/>
      <x:c r="K51" s="9"/>
      <x:c r="L51" s="9"/>
      <x:c r="M51" s="9"/>
      <x:c r="N51" s="12" t="str">
        <x:f>IF(A51="","",IF(COUNTIF($A$6:$A$205,A51)&gt;1,"记录ID重复",IF(COUNTIF('案件索引'!$A$6:$A$105,B51)=0,"案件ID未登记",IF(OR(C51="",G51="",H51="",I51="",K51=""),"补主体、代称、来源或标注人","格式已填；仍须人工复核"))))</x:f>
      </x:c>
    </x:row>
    <x:row r="52" ht="44" customHeight="1">
      <x:c r="A52" s="9"/>
      <x:c r="B52" s="9"/>
      <x:c r="C52" s="9"/>
      <x:c r="D52" s="9"/>
      <x:c r="E52" s="9"/>
      <x:c r="F52" s="9"/>
      <x:c r="G52" s="9"/>
      <x:c r="H52" s="9"/>
      <x:c r="I52" s="9"/>
      <x:c r="J52" s="9"/>
      <x:c r="K52" s="9"/>
      <x:c r="L52" s="9"/>
      <x:c r="M52" s="9"/>
      <x:c r="N52" s="12" t="str">
        <x:f>IF(A52="","",IF(COUNTIF($A$6:$A$205,A52)&gt;1,"记录ID重复",IF(COUNTIF('案件索引'!$A$6:$A$105,B52)=0,"案件ID未登记",IF(OR(C52="",G52="",H52="",I52="",K52=""),"补主体、代称、来源或标注人","格式已填；仍须人工复核"))))</x:f>
      </x:c>
    </x:row>
    <x:row r="53" ht="44" customHeight="1">
      <x:c r="A53" s="9"/>
      <x:c r="B53" s="9"/>
      <x:c r="C53" s="9"/>
      <x:c r="D53" s="9"/>
      <x:c r="E53" s="9"/>
      <x:c r="F53" s="9"/>
      <x:c r="G53" s="9"/>
      <x:c r="H53" s="9"/>
      <x:c r="I53" s="9"/>
      <x:c r="J53" s="9"/>
      <x:c r="K53" s="9"/>
      <x:c r="L53" s="9"/>
      <x:c r="M53" s="9"/>
      <x:c r="N53" s="12" t="str">
        <x:f>IF(A53="","",IF(COUNTIF($A$6:$A$205,A53)&gt;1,"记录ID重复",IF(COUNTIF('案件索引'!$A$6:$A$105,B53)=0,"案件ID未登记",IF(OR(C53="",G53="",H53="",I53="",K53=""),"补主体、代称、来源或标注人","格式已填；仍须人工复核"))))</x:f>
      </x:c>
    </x:row>
    <x:row r="54" ht="44" customHeight="1">
      <x:c r="A54" s="9"/>
      <x:c r="B54" s="9"/>
      <x:c r="C54" s="9"/>
      <x:c r="D54" s="9"/>
      <x:c r="E54" s="9"/>
      <x:c r="F54" s="9"/>
      <x:c r="G54" s="9"/>
      <x:c r="H54" s="9"/>
      <x:c r="I54" s="9"/>
      <x:c r="J54" s="9"/>
      <x:c r="K54" s="9"/>
      <x:c r="L54" s="9"/>
      <x:c r="M54" s="9"/>
      <x:c r="N54" s="12" t="str">
        <x:f>IF(A54="","",IF(COUNTIF($A$6:$A$205,A54)&gt;1,"记录ID重复",IF(COUNTIF('案件索引'!$A$6:$A$105,B54)=0,"案件ID未登记",IF(OR(C54="",G54="",H54="",I54="",K54=""),"补主体、代称、来源或标注人","格式已填；仍须人工复核"))))</x:f>
      </x:c>
    </x:row>
    <x:row r="55" ht="44" customHeight="1">
      <x:c r="A55" s="9"/>
      <x:c r="B55" s="9"/>
      <x:c r="C55" s="9"/>
      <x:c r="D55" s="9"/>
      <x:c r="E55" s="9"/>
      <x:c r="F55" s="9"/>
      <x:c r="G55" s="9"/>
      <x:c r="H55" s="9"/>
      <x:c r="I55" s="9"/>
      <x:c r="J55" s="9"/>
      <x:c r="K55" s="9"/>
      <x:c r="L55" s="9"/>
      <x:c r="M55" s="9"/>
      <x:c r="N55" s="12" t="str">
        <x:f>IF(A55="","",IF(COUNTIF($A$6:$A$205,A55)&gt;1,"记录ID重复",IF(COUNTIF('案件索引'!$A$6:$A$105,B55)=0,"案件ID未登记",IF(OR(C55="",G55="",H55="",I55="",K55=""),"补主体、代称、来源或标注人","格式已填；仍须人工复核"))))</x:f>
      </x:c>
    </x:row>
    <x:row r="56" ht="44" customHeight="1">
      <x:c r="A56" s="9"/>
      <x:c r="B56" s="9"/>
      <x:c r="C56" s="9"/>
      <x:c r="D56" s="9"/>
      <x:c r="E56" s="9"/>
      <x:c r="F56" s="9"/>
      <x:c r="G56" s="9"/>
      <x:c r="H56" s="9"/>
      <x:c r="I56" s="9"/>
      <x:c r="J56" s="9"/>
      <x:c r="K56" s="9"/>
      <x:c r="L56" s="9"/>
      <x:c r="M56" s="9"/>
      <x:c r="N56" s="12" t="str">
        <x:f>IF(A56="","",IF(COUNTIF($A$6:$A$205,A56)&gt;1,"记录ID重复",IF(COUNTIF('案件索引'!$A$6:$A$105,B56)=0,"案件ID未登记",IF(OR(C56="",G56="",H56="",I56="",K56=""),"补主体、代称、来源或标注人","格式已填；仍须人工复核"))))</x:f>
      </x:c>
    </x:row>
    <x:row r="57" ht="44" customHeight="1">
      <x:c r="A57" s="9"/>
      <x:c r="B57" s="9"/>
      <x:c r="C57" s="9"/>
      <x:c r="D57" s="9"/>
      <x:c r="E57" s="9"/>
      <x:c r="F57" s="9"/>
      <x:c r="G57" s="9"/>
      <x:c r="H57" s="9"/>
      <x:c r="I57" s="9"/>
      <x:c r="J57" s="9"/>
      <x:c r="K57" s="9"/>
      <x:c r="L57" s="9"/>
      <x:c r="M57" s="9"/>
      <x:c r="N57" s="12" t="str">
        <x:f>IF(A57="","",IF(COUNTIF($A$6:$A$205,A57)&gt;1,"记录ID重复",IF(COUNTIF('案件索引'!$A$6:$A$105,B57)=0,"案件ID未登记",IF(OR(C57="",G57="",H57="",I57="",K57=""),"补主体、代称、来源或标注人","格式已填；仍须人工复核"))))</x:f>
      </x:c>
    </x:row>
    <x:row r="58" ht="44" customHeight="1">
      <x:c r="A58" s="9"/>
      <x:c r="B58" s="9"/>
      <x:c r="C58" s="9"/>
      <x:c r="D58" s="9"/>
      <x:c r="E58" s="9"/>
      <x:c r="F58" s="9"/>
      <x:c r="G58" s="9"/>
      <x:c r="H58" s="9"/>
      <x:c r="I58" s="9"/>
      <x:c r="J58" s="9"/>
      <x:c r="K58" s="9"/>
      <x:c r="L58" s="9"/>
      <x:c r="M58" s="9"/>
      <x:c r="N58" s="12" t="str">
        <x:f>IF(A58="","",IF(COUNTIF($A$6:$A$205,A58)&gt;1,"记录ID重复",IF(COUNTIF('案件索引'!$A$6:$A$105,B58)=0,"案件ID未登记",IF(OR(C58="",G58="",H58="",I58="",K58=""),"补主体、代称、来源或标注人","格式已填；仍须人工复核"))))</x:f>
      </x:c>
    </x:row>
    <x:row r="59" ht="44" customHeight="1">
      <x:c r="A59" s="9"/>
      <x:c r="B59" s="9"/>
      <x:c r="C59" s="9"/>
      <x:c r="D59" s="9"/>
      <x:c r="E59" s="9"/>
      <x:c r="F59" s="9"/>
      <x:c r="G59" s="9"/>
      <x:c r="H59" s="9"/>
      <x:c r="I59" s="9"/>
      <x:c r="J59" s="9"/>
      <x:c r="K59" s="9"/>
      <x:c r="L59" s="9"/>
      <x:c r="M59" s="9"/>
      <x:c r="N59" s="12" t="str">
        <x:f>IF(A59="","",IF(COUNTIF($A$6:$A$205,A59)&gt;1,"记录ID重复",IF(COUNTIF('案件索引'!$A$6:$A$105,B59)=0,"案件ID未登记",IF(OR(C59="",G59="",H59="",I59="",K59=""),"补主体、代称、来源或标注人","格式已填；仍须人工复核"))))</x:f>
      </x:c>
    </x:row>
    <x:row r="60" ht="44" customHeight="1">
      <x:c r="A60" s="9"/>
      <x:c r="B60" s="9"/>
      <x:c r="C60" s="9"/>
      <x:c r="D60" s="9"/>
      <x:c r="E60" s="9"/>
      <x:c r="F60" s="9"/>
      <x:c r="G60" s="9"/>
      <x:c r="H60" s="9"/>
      <x:c r="I60" s="9"/>
      <x:c r="J60" s="9"/>
      <x:c r="K60" s="9"/>
      <x:c r="L60" s="9"/>
      <x:c r="M60" s="9"/>
      <x:c r="N60" s="12" t="str">
        <x:f>IF(A60="","",IF(COUNTIF($A$6:$A$205,A60)&gt;1,"记录ID重复",IF(COUNTIF('案件索引'!$A$6:$A$105,B60)=0,"案件ID未登记",IF(OR(C60="",G60="",H60="",I60="",K60=""),"补主体、代称、来源或标注人","格式已填；仍须人工复核"))))</x:f>
      </x:c>
    </x:row>
    <x:row r="61" ht="44" customHeight="1">
      <x:c r="A61" s="9"/>
      <x:c r="B61" s="9"/>
      <x:c r="C61" s="9"/>
      <x:c r="D61" s="9"/>
      <x:c r="E61" s="9"/>
      <x:c r="F61" s="9"/>
      <x:c r="G61" s="9"/>
      <x:c r="H61" s="9"/>
      <x:c r="I61" s="9"/>
      <x:c r="J61" s="9"/>
      <x:c r="K61" s="9"/>
      <x:c r="L61" s="9"/>
      <x:c r="M61" s="9"/>
      <x:c r="N61" s="12" t="str">
        <x:f>IF(A61="","",IF(COUNTIF($A$6:$A$205,A61)&gt;1,"记录ID重复",IF(COUNTIF('案件索引'!$A$6:$A$105,B61)=0,"案件ID未登记",IF(OR(C61="",G61="",H61="",I61="",K61=""),"补主体、代称、来源或标注人","格式已填；仍须人工复核"))))</x:f>
      </x:c>
    </x:row>
    <x:row r="62" ht="44" customHeight="1">
      <x:c r="A62" s="9"/>
      <x:c r="B62" s="9"/>
      <x:c r="C62" s="9"/>
      <x:c r="D62" s="9"/>
      <x:c r="E62" s="9"/>
      <x:c r="F62" s="9"/>
      <x:c r="G62" s="9"/>
      <x:c r="H62" s="9"/>
      <x:c r="I62" s="9"/>
      <x:c r="J62" s="9"/>
      <x:c r="K62" s="9"/>
      <x:c r="L62" s="9"/>
      <x:c r="M62" s="9"/>
      <x:c r="N62" s="12" t="str">
        <x:f>IF(A62="","",IF(COUNTIF($A$6:$A$205,A62)&gt;1,"记录ID重复",IF(COUNTIF('案件索引'!$A$6:$A$105,B62)=0,"案件ID未登记",IF(OR(C62="",G62="",H62="",I62="",K62=""),"补主体、代称、来源或标注人","格式已填；仍须人工复核"))))</x:f>
      </x:c>
    </x:row>
    <x:row r="63" ht="44" customHeight="1">
      <x:c r="A63" s="9"/>
      <x:c r="B63" s="9"/>
      <x:c r="C63" s="9"/>
      <x:c r="D63" s="9"/>
      <x:c r="E63" s="9"/>
      <x:c r="F63" s="9"/>
      <x:c r="G63" s="9"/>
      <x:c r="H63" s="9"/>
      <x:c r="I63" s="9"/>
      <x:c r="J63" s="9"/>
      <x:c r="K63" s="9"/>
      <x:c r="L63" s="9"/>
      <x:c r="M63" s="9"/>
      <x:c r="N63" s="12" t="str">
        <x:f>IF(A63="","",IF(COUNTIF($A$6:$A$205,A63)&gt;1,"记录ID重复",IF(COUNTIF('案件索引'!$A$6:$A$105,B63)=0,"案件ID未登记",IF(OR(C63="",G63="",H63="",I63="",K63=""),"补主体、代称、来源或标注人","格式已填；仍须人工复核"))))</x:f>
      </x:c>
    </x:row>
    <x:row r="64" ht="44" customHeight="1">
      <x:c r="A64" s="9"/>
      <x:c r="B64" s="9"/>
      <x:c r="C64" s="9"/>
      <x:c r="D64" s="9"/>
      <x:c r="E64" s="9"/>
      <x:c r="F64" s="9"/>
      <x:c r="G64" s="9"/>
      <x:c r="H64" s="9"/>
      <x:c r="I64" s="9"/>
      <x:c r="J64" s="9"/>
      <x:c r="K64" s="9"/>
      <x:c r="L64" s="9"/>
      <x:c r="M64" s="9"/>
      <x:c r="N64" s="12" t="str">
        <x:f>IF(A64="","",IF(COUNTIF($A$6:$A$205,A64)&gt;1,"记录ID重复",IF(COUNTIF('案件索引'!$A$6:$A$105,B64)=0,"案件ID未登记",IF(OR(C64="",G64="",H64="",I64="",K64=""),"补主体、代称、来源或标注人","格式已填；仍须人工复核"))))</x:f>
      </x:c>
    </x:row>
    <x:row r="65" ht="44" customHeight="1">
      <x:c r="A65" s="9"/>
      <x:c r="B65" s="9"/>
      <x:c r="C65" s="9"/>
      <x:c r="D65" s="9"/>
      <x:c r="E65" s="9"/>
      <x:c r="F65" s="9"/>
      <x:c r="G65" s="9"/>
      <x:c r="H65" s="9"/>
      <x:c r="I65" s="9"/>
      <x:c r="J65" s="9"/>
      <x:c r="K65" s="9"/>
      <x:c r="L65" s="9"/>
      <x:c r="M65" s="9"/>
      <x:c r="N65" s="12" t="str">
        <x:f>IF(A65="","",IF(COUNTIF($A$6:$A$205,A65)&gt;1,"记录ID重复",IF(COUNTIF('案件索引'!$A$6:$A$105,B65)=0,"案件ID未登记",IF(OR(C65="",G65="",H65="",I65="",K65=""),"补主体、代称、来源或标注人","格式已填；仍须人工复核"))))</x:f>
      </x:c>
    </x:row>
    <x:row r="66" ht="44" customHeight="1">
      <x:c r="A66" s="9"/>
      <x:c r="B66" s="9"/>
      <x:c r="C66" s="9"/>
      <x:c r="D66" s="9"/>
      <x:c r="E66" s="9"/>
      <x:c r="F66" s="9"/>
      <x:c r="G66" s="9"/>
      <x:c r="H66" s="9"/>
      <x:c r="I66" s="9"/>
      <x:c r="J66" s="9"/>
      <x:c r="K66" s="9"/>
      <x:c r="L66" s="9"/>
      <x:c r="M66" s="9"/>
      <x:c r="N66" s="12" t="str">
        <x:f>IF(A66="","",IF(COUNTIF($A$6:$A$205,A66)&gt;1,"记录ID重复",IF(COUNTIF('案件索引'!$A$6:$A$105,B66)=0,"案件ID未登记",IF(OR(C66="",G66="",H66="",I66="",K66=""),"补主体、代称、来源或标注人","格式已填；仍须人工复核"))))</x:f>
      </x:c>
    </x:row>
    <x:row r="67" ht="44" customHeight="1">
      <x:c r="A67" s="9"/>
      <x:c r="B67" s="9"/>
      <x:c r="C67" s="9"/>
      <x:c r="D67" s="9"/>
      <x:c r="E67" s="9"/>
      <x:c r="F67" s="9"/>
      <x:c r="G67" s="9"/>
      <x:c r="H67" s="9"/>
      <x:c r="I67" s="9"/>
      <x:c r="J67" s="9"/>
      <x:c r="K67" s="9"/>
      <x:c r="L67" s="9"/>
      <x:c r="M67" s="9"/>
      <x:c r="N67" s="12" t="str">
        <x:f>IF(A67="","",IF(COUNTIF($A$6:$A$205,A67)&gt;1,"记录ID重复",IF(COUNTIF('案件索引'!$A$6:$A$105,B67)=0,"案件ID未登记",IF(OR(C67="",G67="",H67="",I67="",K67=""),"补主体、代称、来源或标注人","格式已填；仍须人工复核"))))</x:f>
      </x:c>
    </x:row>
    <x:row r="68" ht="44" customHeight="1">
      <x:c r="A68" s="9"/>
      <x:c r="B68" s="9"/>
      <x:c r="C68" s="9"/>
      <x:c r="D68" s="9"/>
      <x:c r="E68" s="9"/>
      <x:c r="F68" s="9"/>
      <x:c r="G68" s="9"/>
      <x:c r="H68" s="9"/>
      <x:c r="I68" s="9"/>
      <x:c r="J68" s="9"/>
      <x:c r="K68" s="9"/>
      <x:c r="L68" s="9"/>
      <x:c r="M68" s="9"/>
      <x:c r="N68" s="12" t="str">
        <x:f>IF(A68="","",IF(COUNTIF($A$6:$A$205,A68)&gt;1,"记录ID重复",IF(COUNTIF('案件索引'!$A$6:$A$105,B68)=0,"案件ID未登记",IF(OR(C68="",G68="",H68="",I68="",K68=""),"补主体、代称、来源或标注人","格式已填；仍须人工复核"))))</x:f>
      </x:c>
    </x:row>
    <x:row r="69" ht="44" customHeight="1">
      <x:c r="A69" s="9"/>
      <x:c r="B69" s="9"/>
      <x:c r="C69" s="9"/>
      <x:c r="D69" s="9"/>
      <x:c r="E69" s="9"/>
      <x:c r="F69" s="9"/>
      <x:c r="G69" s="9"/>
      <x:c r="H69" s="9"/>
      <x:c r="I69" s="9"/>
      <x:c r="J69" s="9"/>
      <x:c r="K69" s="9"/>
      <x:c r="L69" s="9"/>
      <x:c r="M69" s="9"/>
      <x:c r="N69" s="12" t="str">
        <x:f>IF(A69="","",IF(COUNTIF($A$6:$A$205,A69)&gt;1,"记录ID重复",IF(COUNTIF('案件索引'!$A$6:$A$105,B69)=0,"案件ID未登记",IF(OR(C69="",G69="",H69="",I69="",K69=""),"补主体、代称、来源或标注人","格式已填；仍须人工复核"))))</x:f>
      </x:c>
    </x:row>
    <x:row r="70" ht="44" customHeight="1">
      <x:c r="A70" s="9"/>
      <x:c r="B70" s="9"/>
      <x:c r="C70" s="9"/>
      <x:c r="D70" s="9"/>
      <x:c r="E70" s="9"/>
      <x:c r="F70" s="9"/>
      <x:c r="G70" s="9"/>
      <x:c r="H70" s="9"/>
      <x:c r="I70" s="9"/>
      <x:c r="J70" s="9"/>
      <x:c r="K70" s="9"/>
      <x:c r="L70" s="9"/>
      <x:c r="M70" s="9"/>
      <x:c r="N70" s="12" t="str">
        <x:f>IF(A70="","",IF(COUNTIF($A$6:$A$205,A70)&gt;1,"记录ID重复",IF(COUNTIF('案件索引'!$A$6:$A$105,B70)=0,"案件ID未登记",IF(OR(C70="",G70="",H70="",I70="",K70=""),"补主体、代称、来源或标注人","格式已填；仍须人工复核"))))</x:f>
      </x:c>
    </x:row>
    <x:row r="71" ht="44" customHeight="1">
      <x:c r="A71" s="9"/>
      <x:c r="B71" s="9"/>
      <x:c r="C71" s="9"/>
      <x:c r="D71" s="9"/>
      <x:c r="E71" s="9"/>
      <x:c r="F71" s="9"/>
      <x:c r="G71" s="9"/>
      <x:c r="H71" s="9"/>
      <x:c r="I71" s="9"/>
      <x:c r="J71" s="9"/>
      <x:c r="K71" s="9"/>
      <x:c r="L71" s="9"/>
      <x:c r="M71" s="9"/>
      <x:c r="N71" s="12" t="str">
        <x:f>IF(A71="","",IF(COUNTIF($A$6:$A$205,A71)&gt;1,"记录ID重复",IF(COUNTIF('案件索引'!$A$6:$A$105,B71)=0,"案件ID未登记",IF(OR(C71="",G71="",H71="",I71="",K71=""),"补主体、代称、来源或标注人","格式已填；仍须人工复核"))))</x:f>
      </x:c>
    </x:row>
    <x:row r="72" ht="44" customHeight="1">
      <x:c r="A72" s="9"/>
      <x:c r="B72" s="9"/>
      <x:c r="C72" s="9"/>
      <x:c r="D72" s="9"/>
      <x:c r="E72" s="9"/>
      <x:c r="F72" s="9"/>
      <x:c r="G72" s="9"/>
      <x:c r="H72" s="9"/>
      <x:c r="I72" s="9"/>
      <x:c r="J72" s="9"/>
      <x:c r="K72" s="9"/>
      <x:c r="L72" s="9"/>
      <x:c r="M72" s="9"/>
      <x:c r="N72" s="12" t="str">
        <x:f>IF(A72="","",IF(COUNTIF($A$6:$A$205,A72)&gt;1,"记录ID重复",IF(COUNTIF('案件索引'!$A$6:$A$105,B72)=0,"案件ID未登记",IF(OR(C72="",G72="",H72="",I72="",K72=""),"补主体、代称、来源或标注人","格式已填；仍须人工复核"))))</x:f>
      </x:c>
    </x:row>
    <x:row r="73" ht="44" customHeight="1">
      <x:c r="A73" s="9"/>
      <x:c r="B73" s="9"/>
      <x:c r="C73" s="9"/>
      <x:c r="D73" s="9"/>
      <x:c r="E73" s="9"/>
      <x:c r="F73" s="9"/>
      <x:c r="G73" s="9"/>
      <x:c r="H73" s="9"/>
      <x:c r="I73" s="9"/>
      <x:c r="J73" s="9"/>
      <x:c r="K73" s="9"/>
      <x:c r="L73" s="9"/>
      <x:c r="M73" s="9"/>
      <x:c r="N73" s="12" t="str">
        <x:f>IF(A73="","",IF(COUNTIF($A$6:$A$205,A73)&gt;1,"记录ID重复",IF(COUNTIF('案件索引'!$A$6:$A$105,B73)=0,"案件ID未登记",IF(OR(C73="",G73="",H73="",I73="",K73=""),"补主体、代称、来源或标注人","格式已填；仍须人工复核"))))</x:f>
      </x:c>
    </x:row>
    <x:row r="74" ht="44" customHeight="1">
      <x:c r="A74" s="9"/>
      <x:c r="B74" s="9"/>
      <x:c r="C74" s="9"/>
      <x:c r="D74" s="9"/>
      <x:c r="E74" s="9"/>
      <x:c r="F74" s="9"/>
      <x:c r="G74" s="9"/>
      <x:c r="H74" s="9"/>
      <x:c r="I74" s="9"/>
      <x:c r="J74" s="9"/>
      <x:c r="K74" s="9"/>
      <x:c r="L74" s="9"/>
      <x:c r="M74" s="9"/>
      <x:c r="N74" s="12" t="str">
        <x:f>IF(A74="","",IF(COUNTIF($A$6:$A$205,A74)&gt;1,"记录ID重复",IF(COUNTIF('案件索引'!$A$6:$A$105,B74)=0,"案件ID未登记",IF(OR(C74="",G74="",H74="",I74="",K74=""),"补主体、代称、来源或标注人","格式已填；仍须人工复核"))))</x:f>
      </x:c>
    </x:row>
    <x:row r="75" ht="44" customHeight="1">
      <x:c r="A75" s="9"/>
      <x:c r="B75" s="9"/>
      <x:c r="C75" s="9"/>
      <x:c r="D75" s="9"/>
      <x:c r="E75" s="9"/>
      <x:c r="F75" s="9"/>
      <x:c r="G75" s="9"/>
      <x:c r="H75" s="9"/>
      <x:c r="I75" s="9"/>
      <x:c r="J75" s="9"/>
      <x:c r="K75" s="9"/>
      <x:c r="L75" s="9"/>
      <x:c r="M75" s="9"/>
      <x:c r="N75" s="12" t="str">
        <x:f>IF(A75="","",IF(COUNTIF($A$6:$A$205,A75)&gt;1,"记录ID重复",IF(COUNTIF('案件索引'!$A$6:$A$105,B75)=0,"案件ID未登记",IF(OR(C75="",G75="",H75="",I75="",K75=""),"补主体、代称、来源或标注人","格式已填；仍须人工复核"))))</x:f>
      </x:c>
    </x:row>
    <x:row r="76" ht="44" customHeight="1">
      <x:c r="A76" s="9"/>
      <x:c r="B76" s="9"/>
      <x:c r="C76" s="9"/>
      <x:c r="D76" s="9"/>
      <x:c r="E76" s="9"/>
      <x:c r="F76" s="9"/>
      <x:c r="G76" s="9"/>
      <x:c r="H76" s="9"/>
      <x:c r="I76" s="9"/>
      <x:c r="J76" s="9"/>
      <x:c r="K76" s="9"/>
      <x:c r="L76" s="9"/>
      <x:c r="M76" s="9"/>
      <x:c r="N76" s="12" t="str">
        <x:f>IF(A76="","",IF(COUNTIF($A$6:$A$205,A76)&gt;1,"记录ID重复",IF(COUNTIF('案件索引'!$A$6:$A$105,B76)=0,"案件ID未登记",IF(OR(C76="",G76="",H76="",I76="",K76=""),"补主体、代称、来源或标注人","格式已填；仍须人工复核"))))</x:f>
      </x:c>
    </x:row>
    <x:row r="77" ht="44" customHeight="1">
      <x:c r="A77" s="9"/>
      <x:c r="B77" s="9"/>
      <x:c r="C77" s="9"/>
      <x:c r="D77" s="9"/>
      <x:c r="E77" s="9"/>
      <x:c r="F77" s="9"/>
      <x:c r="G77" s="9"/>
      <x:c r="H77" s="9"/>
      <x:c r="I77" s="9"/>
      <x:c r="J77" s="9"/>
      <x:c r="K77" s="9"/>
      <x:c r="L77" s="9"/>
      <x:c r="M77" s="9"/>
      <x:c r="N77" s="12" t="str">
        <x:f>IF(A77="","",IF(COUNTIF($A$6:$A$205,A77)&gt;1,"记录ID重复",IF(COUNTIF('案件索引'!$A$6:$A$105,B77)=0,"案件ID未登记",IF(OR(C77="",G77="",H77="",I77="",K77=""),"补主体、代称、来源或标注人","格式已填；仍须人工复核"))))</x:f>
      </x:c>
    </x:row>
    <x:row r="78" ht="44" customHeight="1">
      <x:c r="A78" s="9"/>
      <x:c r="B78" s="9"/>
      <x:c r="C78" s="9"/>
      <x:c r="D78" s="9"/>
      <x:c r="E78" s="9"/>
      <x:c r="F78" s="9"/>
      <x:c r="G78" s="9"/>
      <x:c r="H78" s="9"/>
      <x:c r="I78" s="9"/>
      <x:c r="J78" s="9"/>
      <x:c r="K78" s="9"/>
      <x:c r="L78" s="9"/>
      <x:c r="M78" s="9"/>
      <x:c r="N78" s="12" t="str">
        <x:f>IF(A78="","",IF(COUNTIF($A$6:$A$205,A78)&gt;1,"记录ID重复",IF(COUNTIF('案件索引'!$A$6:$A$105,B78)=0,"案件ID未登记",IF(OR(C78="",G78="",H78="",I78="",K78=""),"补主体、代称、来源或标注人","格式已填；仍须人工复核"))))</x:f>
      </x:c>
    </x:row>
    <x:row r="79" ht="44" customHeight="1">
      <x:c r="A79" s="9"/>
      <x:c r="B79" s="9"/>
      <x:c r="C79" s="9"/>
      <x:c r="D79" s="9"/>
      <x:c r="E79" s="9"/>
      <x:c r="F79" s="9"/>
      <x:c r="G79" s="9"/>
      <x:c r="H79" s="9"/>
      <x:c r="I79" s="9"/>
      <x:c r="J79" s="9"/>
      <x:c r="K79" s="9"/>
      <x:c r="L79" s="9"/>
      <x:c r="M79" s="9"/>
      <x:c r="N79" s="12" t="str">
        <x:f>IF(A79="","",IF(COUNTIF($A$6:$A$205,A79)&gt;1,"记录ID重复",IF(COUNTIF('案件索引'!$A$6:$A$105,B79)=0,"案件ID未登记",IF(OR(C79="",G79="",H79="",I79="",K79=""),"补主体、代称、来源或标注人","格式已填；仍须人工复核"))))</x:f>
      </x:c>
    </x:row>
    <x:row r="80" ht="44" customHeight="1">
      <x:c r="A80" s="9"/>
      <x:c r="B80" s="9"/>
      <x:c r="C80" s="9"/>
      <x:c r="D80" s="9"/>
      <x:c r="E80" s="9"/>
      <x:c r="F80" s="9"/>
      <x:c r="G80" s="9"/>
      <x:c r="H80" s="9"/>
      <x:c r="I80" s="9"/>
      <x:c r="J80" s="9"/>
      <x:c r="K80" s="9"/>
      <x:c r="L80" s="9"/>
      <x:c r="M80" s="9"/>
      <x:c r="N80" s="12" t="str">
        <x:f>IF(A80="","",IF(COUNTIF($A$6:$A$205,A80)&gt;1,"记录ID重复",IF(COUNTIF('案件索引'!$A$6:$A$105,B80)=0,"案件ID未登记",IF(OR(C80="",G80="",H80="",I80="",K80=""),"补主体、代称、来源或标注人","格式已填；仍须人工复核"))))</x:f>
      </x:c>
    </x:row>
    <x:row r="81" ht="44" customHeight="1">
      <x:c r="A81" s="9"/>
      <x:c r="B81" s="9"/>
      <x:c r="C81" s="9"/>
      <x:c r="D81" s="9"/>
      <x:c r="E81" s="9"/>
      <x:c r="F81" s="9"/>
      <x:c r="G81" s="9"/>
      <x:c r="H81" s="9"/>
      <x:c r="I81" s="9"/>
      <x:c r="J81" s="9"/>
      <x:c r="K81" s="9"/>
      <x:c r="L81" s="9"/>
      <x:c r="M81" s="9"/>
      <x:c r="N81" s="12" t="str">
        <x:f>IF(A81="","",IF(COUNTIF($A$6:$A$205,A81)&gt;1,"记录ID重复",IF(COUNTIF('案件索引'!$A$6:$A$105,B81)=0,"案件ID未登记",IF(OR(C81="",G81="",H81="",I81="",K81=""),"补主体、代称、来源或标注人","格式已填；仍须人工复核"))))</x:f>
      </x:c>
    </x:row>
    <x:row r="82" ht="44" customHeight="1">
      <x:c r="A82" s="9"/>
      <x:c r="B82" s="9"/>
      <x:c r="C82" s="9"/>
      <x:c r="D82" s="9"/>
      <x:c r="E82" s="9"/>
      <x:c r="F82" s="9"/>
      <x:c r="G82" s="9"/>
      <x:c r="H82" s="9"/>
      <x:c r="I82" s="9"/>
      <x:c r="J82" s="9"/>
      <x:c r="K82" s="9"/>
      <x:c r="L82" s="9"/>
      <x:c r="M82" s="9"/>
      <x:c r="N82" s="12" t="str">
        <x:f>IF(A82="","",IF(COUNTIF($A$6:$A$205,A82)&gt;1,"记录ID重复",IF(COUNTIF('案件索引'!$A$6:$A$105,B82)=0,"案件ID未登记",IF(OR(C82="",G82="",H82="",I82="",K82=""),"补主体、代称、来源或标注人","格式已填；仍须人工复核"))))</x:f>
      </x:c>
    </x:row>
    <x:row r="83" ht="44" customHeight="1">
      <x:c r="A83" s="9"/>
      <x:c r="B83" s="9"/>
      <x:c r="C83" s="9"/>
      <x:c r="D83" s="9"/>
      <x:c r="E83" s="9"/>
      <x:c r="F83" s="9"/>
      <x:c r="G83" s="9"/>
      <x:c r="H83" s="9"/>
      <x:c r="I83" s="9"/>
      <x:c r="J83" s="9"/>
      <x:c r="K83" s="9"/>
      <x:c r="L83" s="9"/>
      <x:c r="M83" s="9"/>
      <x:c r="N83" s="12" t="str">
        <x:f>IF(A83="","",IF(COUNTIF($A$6:$A$205,A83)&gt;1,"记录ID重复",IF(COUNTIF('案件索引'!$A$6:$A$105,B83)=0,"案件ID未登记",IF(OR(C83="",G83="",H83="",I83="",K83=""),"补主体、代称、来源或标注人","格式已填；仍须人工复核"))))</x:f>
      </x:c>
    </x:row>
    <x:row r="84" ht="44" customHeight="1">
      <x:c r="A84" s="9"/>
      <x:c r="B84" s="9"/>
      <x:c r="C84" s="9"/>
      <x:c r="D84" s="9"/>
      <x:c r="E84" s="9"/>
      <x:c r="F84" s="9"/>
      <x:c r="G84" s="9"/>
      <x:c r="H84" s="9"/>
      <x:c r="I84" s="9"/>
      <x:c r="J84" s="9"/>
      <x:c r="K84" s="9"/>
      <x:c r="L84" s="9"/>
      <x:c r="M84" s="9"/>
      <x:c r="N84" s="12" t="str">
        <x:f>IF(A84="","",IF(COUNTIF($A$6:$A$205,A84)&gt;1,"记录ID重复",IF(COUNTIF('案件索引'!$A$6:$A$105,B84)=0,"案件ID未登记",IF(OR(C84="",G84="",H84="",I84="",K84=""),"补主体、代称、来源或标注人","格式已填；仍须人工复核"))))</x:f>
      </x:c>
    </x:row>
    <x:row r="85" ht="44" customHeight="1">
      <x:c r="A85" s="9"/>
      <x:c r="B85" s="9"/>
      <x:c r="C85" s="9"/>
      <x:c r="D85" s="9"/>
      <x:c r="E85" s="9"/>
      <x:c r="F85" s="9"/>
      <x:c r="G85" s="9"/>
      <x:c r="H85" s="9"/>
      <x:c r="I85" s="9"/>
      <x:c r="J85" s="9"/>
      <x:c r="K85" s="9"/>
      <x:c r="L85" s="9"/>
      <x:c r="M85" s="9"/>
      <x:c r="N85" s="12" t="str">
        <x:f>IF(A85="","",IF(COUNTIF($A$6:$A$205,A85)&gt;1,"记录ID重复",IF(COUNTIF('案件索引'!$A$6:$A$105,B85)=0,"案件ID未登记",IF(OR(C85="",G85="",H85="",I85="",K85=""),"补主体、代称、来源或标注人","格式已填；仍须人工复核"))))</x:f>
      </x:c>
    </x:row>
    <x:row r="86" ht="44" customHeight="1">
      <x:c r="A86" s="9"/>
      <x:c r="B86" s="9"/>
      <x:c r="C86" s="9"/>
      <x:c r="D86" s="9"/>
      <x:c r="E86" s="9"/>
      <x:c r="F86" s="9"/>
      <x:c r="G86" s="9"/>
      <x:c r="H86" s="9"/>
      <x:c r="I86" s="9"/>
      <x:c r="J86" s="9"/>
      <x:c r="K86" s="9"/>
      <x:c r="L86" s="9"/>
      <x:c r="M86" s="9"/>
      <x:c r="N86" s="12" t="str">
        <x:f>IF(A86="","",IF(COUNTIF($A$6:$A$205,A86)&gt;1,"记录ID重复",IF(COUNTIF('案件索引'!$A$6:$A$105,B86)=0,"案件ID未登记",IF(OR(C86="",G86="",H86="",I86="",K86=""),"补主体、代称、来源或标注人","格式已填；仍须人工复核"))))</x:f>
      </x:c>
    </x:row>
    <x:row r="87" ht="44" customHeight="1">
      <x:c r="A87" s="9"/>
      <x:c r="B87" s="9"/>
      <x:c r="C87" s="9"/>
      <x:c r="D87" s="9"/>
      <x:c r="E87" s="9"/>
      <x:c r="F87" s="9"/>
      <x:c r="G87" s="9"/>
      <x:c r="H87" s="9"/>
      <x:c r="I87" s="9"/>
      <x:c r="J87" s="9"/>
      <x:c r="K87" s="9"/>
      <x:c r="L87" s="9"/>
      <x:c r="M87" s="9"/>
      <x:c r="N87" s="12" t="str">
        <x:f>IF(A87="","",IF(COUNTIF($A$6:$A$205,A87)&gt;1,"记录ID重复",IF(COUNTIF('案件索引'!$A$6:$A$105,B87)=0,"案件ID未登记",IF(OR(C87="",G87="",H87="",I87="",K87=""),"补主体、代称、来源或标注人","格式已填；仍须人工复核"))))</x:f>
      </x:c>
    </x:row>
    <x:row r="88" ht="44" customHeight="1">
      <x:c r="A88" s="9"/>
      <x:c r="B88" s="9"/>
      <x:c r="C88" s="9"/>
      <x:c r="D88" s="9"/>
      <x:c r="E88" s="9"/>
      <x:c r="F88" s="9"/>
      <x:c r="G88" s="9"/>
      <x:c r="H88" s="9"/>
      <x:c r="I88" s="9"/>
      <x:c r="J88" s="9"/>
      <x:c r="K88" s="9"/>
      <x:c r="L88" s="9"/>
      <x:c r="M88" s="9"/>
      <x:c r="N88" s="12" t="str">
        <x:f>IF(A88="","",IF(COUNTIF($A$6:$A$205,A88)&gt;1,"记录ID重复",IF(COUNTIF('案件索引'!$A$6:$A$105,B88)=0,"案件ID未登记",IF(OR(C88="",G88="",H88="",I88="",K88=""),"补主体、代称、来源或标注人","格式已填；仍须人工复核"))))</x:f>
      </x:c>
    </x:row>
    <x:row r="89" ht="44" customHeight="1">
      <x:c r="A89" s="9"/>
      <x:c r="B89" s="9"/>
      <x:c r="C89" s="9"/>
      <x:c r="D89" s="9"/>
      <x:c r="E89" s="9"/>
      <x:c r="F89" s="9"/>
      <x:c r="G89" s="9"/>
      <x:c r="H89" s="9"/>
      <x:c r="I89" s="9"/>
      <x:c r="J89" s="9"/>
      <x:c r="K89" s="9"/>
      <x:c r="L89" s="9"/>
      <x:c r="M89" s="9"/>
      <x:c r="N89" s="12" t="str">
        <x:f>IF(A89="","",IF(COUNTIF($A$6:$A$205,A89)&gt;1,"记录ID重复",IF(COUNTIF('案件索引'!$A$6:$A$105,B89)=0,"案件ID未登记",IF(OR(C89="",G89="",H89="",I89="",K89=""),"补主体、代称、来源或标注人","格式已填；仍须人工复核"))))</x:f>
      </x:c>
    </x:row>
    <x:row r="90" ht="44" customHeight="1">
      <x:c r="A90" s="9"/>
      <x:c r="B90" s="9"/>
      <x:c r="C90" s="9"/>
      <x:c r="D90" s="9"/>
      <x:c r="E90" s="9"/>
      <x:c r="F90" s="9"/>
      <x:c r="G90" s="9"/>
      <x:c r="H90" s="9"/>
      <x:c r="I90" s="9"/>
      <x:c r="J90" s="9"/>
      <x:c r="K90" s="9"/>
      <x:c r="L90" s="9"/>
      <x:c r="M90" s="9"/>
      <x:c r="N90" s="12" t="str">
        <x:f>IF(A90="","",IF(COUNTIF($A$6:$A$205,A90)&gt;1,"记录ID重复",IF(COUNTIF('案件索引'!$A$6:$A$105,B90)=0,"案件ID未登记",IF(OR(C90="",G90="",H90="",I90="",K90=""),"补主体、代称、来源或标注人","格式已填；仍须人工复核"))))</x:f>
      </x:c>
    </x:row>
    <x:row r="91" ht="44" customHeight="1">
      <x:c r="A91" s="9"/>
      <x:c r="B91" s="9"/>
      <x:c r="C91" s="9"/>
      <x:c r="D91" s="9"/>
      <x:c r="E91" s="9"/>
      <x:c r="F91" s="9"/>
      <x:c r="G91" s="9"/>
      <x:c r="H91" s="9"/>
      <x:c r="I91" s="9"/>
      <x:c r="J91" s="9"/>
      <x:c r="K91" s="9"/>
      <x:c r="L91" s="9"/>
      <x:c r="M91" s="9"/>
      <x:c r="N91" s="12" t="str">
        <x:f>IF(A91="","",IF(COUNTIF($A$6:$A$205,A91)&gt;1,"记录ID重复",IF(COUNTIF('案件索引'!$A$6:$A$105,B91)=0,"案件ID未登记",IF(OR(C91="",G91="",H91="",I91="",K91=""),"补主体、代称、来源或标注人","格式已填；仍须人工复核"))))</x:f>
      </x:c>
    </x:row>
    <x:row r="92" ht="44" customHeight="1">
      <x:c r="A92" s="9"/>
      <x:c r="B92" s="9"/>
      <x:c r="C92" s="9"/>
      <x:c r="D92" s="9"/>
      <x:c r="E92" s="9"/>
      <x:c r="F92" s="9"/>
      <x:c r="G92" s="9"/>
      <x:c r="H92" s="9"/>
      <x:c r="I92" s="9"/>
      <x:c r="J92" s="9"/>
      <x:c r="K92" s="9"/>
      <x:c r="L92" s="9"/>
      <x:c r="M92" s="9"/>
      <x:c r="N92" s="12" t="str">
        <x:f>IF(A92="","",IF(COUNTIF($A$6:$A$205,A92)&gt;1,"记录ID重复",IF(COUNTIF('案件索引'!$A$6:$A$105,B92)=0,"案件ID未登记",IF(OR(C92="",G92="",H92="",I92="",K92=""),"补主体、代称、来源或标注人","格式已填；仍须人工复核"))))</x:f>
      </x:c>
    </x:row>
    <x:row r="93" ht="44" customHeight="1">
      <x:c r="A93" s="9"/>
      <x:c r="B93" s="9"/>
      <x:c r="C93" s="9"/>
      <x:c r="D93" s="9"/>
      <x:c r="E93" s="9"/>
      <x:c r="F93" s="9"/>
      <x:c r="G93" s="9"/>
      <x:c r="H93" s="9"/>
      <x:c r="I93" s="9"/>
      <x:c r="J93" s="9"/>
      <x:c r="K93" s="9"/>
      <x:c r="L93" s="9"/>
      <x:c r="M93" s="9"/>
      <x:c r="N93" s="12" t="str">
        <x:f>IF(A93="","",IF(COUNTIF($A$6:$A$205,A93)&gt;1,"记录ID重复",IF(COUNTIF('案件索引'!$A$6:$A$105,B93)=0,"案件ID未登记",IF(OR(C93="",G93="",H93="",I93="",K93=""),"补主体、代称、来源或标注人","格式已填；仍须人工复核"))))</x:f>
      </x:c>
    </x:row>
    <x:row r="94" ht="44" customHeight="1">
      <x:c r="A94" s="9"/>
      <x:c r="B94" s="9"/>
      <x:c r="C94" s="9"/>
      <x:c r="D94" s="9"/>
      <x:c r="E94" s="9"/>
      <x:c r="F94" s="9"/>
      <x:c r="G94" s="9"/>
      <x:c r="H94" s="9"/>
      <x:c r="I94" s="9"/>
      <x:c r="J94" s="9"/>
      <x:c r="K94" s="9"/>
      <x:c r="L94" s="9"/>
      <x:c r="M94" s="9"/>
      <x:c r="N94" s="12" t="str">
        <x:f>IF(A94="","",IF(COUNTIF($A$6:$A$205,A94)&gt;1,"记录ID重复",IF(COUNTIF('案件索引'!$A$6:$A$105,B94)=0,"案件ID未登记",IF(OR(C94="",G94="",H94="",I94="",K94=""),"补主体、代称、来源或标注人","格式已填；仍须人工复核"))))</x:f>
      </x:c>
    </x:row>
    <x:row r="95" ht="44" customHeight="1">
      <x:c r="A95" s="9"/>
      <x:c r="B95" s="9"/>
      <x:c r="C95" s="9"/>
      <x:c r="D95" s="9"/>
      <x:c r="E95" s="9"/>
      <x:c r="F95" s="9"/>
      <x:c r="G95" s="9"/>
      <x:c r="H95" s="9"/>
      <x:c r="I95" s="9"/>
      <x:c r="J95" s="9"/>
      <x:c r="K95" s="9"/>
      <x:c r="L95" s="9"/>
      <x:c r="M95" s="9"/>
      <x:c r="N95" s="12" t="str">
        <x:f>IF(A95="","",IF(COUNTIF($A$6:$A$205,A95)&gt;1,"记录ID重复",IF(COUNTIF('案件索引'!$A$6:$A$105,B95)=0,"案件ID未登记",IF(OR(C95="",G95="",H95="",I95="",K95=""),"补主体、代称、来源或标注人","格式已填；仍须人工复核"))))</x:f>
      </x:c>
    </x:row>
    <x:row r="96" ht="44" customHeight="1">
      <x:c r="A96" s="9"/>
      <x:c r="B96" s="9"/>
      <x:c r="C96" s="9"/>
      <x:c r="D96" s="9"/>
      <x:c r="E96" s="9"/>
      <x:c r="F96" s="9"/>
      <x:c r="G96" s="9"/>
      <x:c r="H96" s="9"/>
      <x:c r="I96" s="9"/>
      <x:c r="J96" s="9"/>
      <x:c r="K96" s="9"/>
      <x:c r="L96" s="9"/>
      <x:c r="M96" s="9"/>
      <x:c r="N96" s="12" t="str">
        <x:f>IF(A96="","",IF(COUNTIF($A$6:$A$205,A96)&gt;1,"记录ID重复",IF(COUNTIF('案件索引'!$A$6:$A$105,B96)=0,"案件ID未登记",IF(OR(C96="",G96="",H96="",I96="",K96=""),"补主体、代称、来源或标注人","格式已填；仍须人工复核"))))</x:f>
      </x:c>
    </x:row>
    <x:row r="97" ht="44" customHeight="1">
      <x:c r="A97" s="9"/>
      <x:c r="B97" s="9"/>
      <x:c r="C97" s="9"/>
      <x:c r="D97" s="9"/>
      <x:c r="E97" s="9"/>
      <x:c r="F97" s="9"/>
      <x:c r="G97" s="9"/>
      <x:c r="H97" s="9"/>
      <x:c r="I97" s="9"/>
      <x:c r="J97" s="9"/>
      <x:c r="K97" s="9"/>
      <x:c r="L97" s="9"/>
      <x:c r="M97" s="9"/>
      <x:c r="N97" s="12" t="str">
        <x:f>IF(A97="","",IF(COUNTIF($A$6:$A$205,A97)&gt;1,"记录ID重复",IF(COUNTIF('案件索引'!$A$6:$A$105,B97)=0,"案件ID未登记",IF(OR(C97="",G97="",H97="",I97="",K97=""),"补主体、代称、来源或标注人","格式已填；仍须人工复核"))))</x:f>
      </x:c>
    </x:row>
    <x:row r="98" ht="44" customHeight="1">
      <x:c r="A98" s="9"/>
      <x:c r="B98" s="9"/>
      <x:c r="C98" s="9"/>
      <x:c r="D98" s="9"/>
      <x:c r="E98" s="9"/>
      <x:c r="F98" s="9"/>
      <x:c r="G98" s="9"/>
      <x:c r="H98" s="9"/>
      <x:c r="I98" s="9"/>
      <x:c r="J98" s="9"/>
      <x:c r="K98" s="9"/>
      <x:c r="L98" s="9"/>
      <x:c r="M98" s="9"/>
      <x:c r="N98" s="12" t="str">
        <x:f>IF(A98="","",IF(COUNTIF($A$6:$A$205,A98)&gt;1,"记录ID重复",IF(COUNTIF('案件索引'!$A$6:$A$105,B98)=0,"案件ID未登记",IF(OR(C98="",G98="",H98="",I98="",K98=""),"补主体、代称、来源或标注人","格式已填；仍须人工复核"))))</x:f>
      </x:c>
    </x:row>
    <x:row r="99" ht="44" customHeight="1">
      <x:c r="A99" s="9"/>
      <x:c r="B99" s="9"/>
      <x:c r="C99" s="9"/>
      <x:c r="D99" s="9"/>
      <x:c r="E99" s="9"/>
      <x:c r="F99" s="9"/>
      <x:c r="G99" s="9"/>
      <x:c r="H99" s="9"/>
      <x:c r="I99" s="9"/>
      <x:c r="J99" s="9"/>
      <x:c r="K99" s="9"/>
      <x:c r="L99" s="9"/>
      <x:c r="M99" s="9"/>
      <x:c r="N99" s="12" t="str">
        <x:f>IF(A99="","",IF(COUNTIF($A$6:$A$205,A99)&gt;1,"记录ID重复",IF(COUNTIF('案件索引'!$A$6:$A$105,B99)=0,"案件ID未登记",IF(OR(C99="",G99="",H99="",I99="",K99=""),"补主体、代称、来源或标注人","格式已填；仍须人工复核"))))</x:f>
      </x:c>
    </x:row>
    <x:row r="100" ht="44" customHeight="1">
      <x:c r="A100" s="9"/>
      <x:c r="B100" s="9"/>
      <x:c r="C100" s="9"/>
      <x:c r="D100" s="9"/>
      <x:c r="E100" s="9"/>
      <x:c r="F100" s="9"/>
      <x:c r="G100" s="9"/>
      <x:c r="H100" s="9"/>
      <x:c r="I100" s="9"/>
      <x:c r="J100" s="9"/>
      <x:c r="K100" s="9"/>
      <x:c r="L100" s="9"/>
      <x:c r="M100" s="9"/>
      <x:c r="N100" s="12" t="str">
        <x:f>IF(A100="","",IF(COUNTIF($A$6:$A$205,A100)&gt;1,"记录ID重复",IF(COUNTIF('案件索引'!$A$6:$A$105,B100)=0,"案件ID未登记",IF(OR(C100="",G100="",H100="",I100="",K100=""),"补主体、代称、来源或标注人","格式已填；仍须人工复核"))))</x:f>
      </x:c>
    </x:row>
    <x:row r="101" ht="44" customHeight="1">
      <x:c r="A101" s="9"/>
      <x:c r="B101" s="9"/>
      <x:c r="C101" s="9"/>
      <x:c r="D101" s="9"/>
      <x:c r="E101" s="9"/>
      <x:c r="F101" s="9"/>
      <x:c r="G101" s="9"/>
      <x:c r="H101" s="9"/>
      <x:c r="I101" s="9"/>
      <x:c r="J101" s="9"/>
      <x:c r="K101" s="9"/>
      <x:c r="L101" s="9"/>
      <x:c r="M101" s="9"/>
      <x:c r="N101" s="12" t="str">
        <x:f>IF(A101="","",IF(COUNTIF($A$6:$A$205,A101)&gt;1,"记录ID重复",IF(COUNTIF('案件索引'!$A$6:$A$105,B101)=0,"案件ID未登记",IF(OR(C101="",G101="",H101="",I101="",K101=""),"补主体、代称、来源或标注人","格式已填；仍须人工复核"))))</x:f>
      </x:c>
    </x:row>
    <x:row r="102" ht="44" customHeight="1">
      <x:c r="A102" s="9"/>
      <x:c r="B102" s="9"/>
      <x:c r="C102" s="9"/>
      <x:c r="D102" s="9"/>
      <x:c r="E102" s="9"/>
      <x:c r="F102" s="9"/>
      <x:c r="G102" s="9"/>
      <x:c r="H102" s="9"/>
      <x:c r="I102" s="9"/>
      <x:c r="J102" s="9"/>
      <x:c r="K102" s="9"/>
      <x:c r="L102" s="9"/>
      <x:c r="M102" s="9"/>
      <x:c r="N102" s="12" t="str">
        <x:f>IF(A102="","",IF(COUNTIF($A$6:$A$205,A102)&gt;1,"记录ID重复",IF(COUNTIF('案件索引'!$A$6:$A$105,B102)=0,"案件ID未登记",IF(OR(C102="",G102="",H102="",I102="",K102=""),"补主体、代称、来源或标注人","格式已填；仍须人工复核"))))</x:f>
      </x:c>
    </x:row>
    <x:row r="103" ht="44" customHeight="1">
      <x:c r="A103" s="9"/>
      <x:c r="B103" s="9"/>
      <x:c r="C103" s="9"/>
      <x:c r="D103" s="9"/>
      <x:c r="E103" s="9"/>
      <x:c r="F103" s="9"/>
      <x:c r="G103" s="9"/>
      <x:c r="H103" s="9"/>
      <x:c r="I103" s="9"/>
      <x:c r="J103" s="9"/>
      <x:c r="K103" s="9"/>
      <x:c r="L103" s="9"/>
      <x:c r="M103" s="9"/>
      <x:c r="N103" s="12" t="str">
        <x:f>IF(A103="","",IF(COUNTIF($A$6:$A$205,A103)&gt;1,"记录ID重复",IF(COUNTIF('案件索引'!$A$6:$A$105,B103)=0,"案件ID未登记",IF(OR(C103="",G103="",H103="",I103="",K103=""),"补主体、代称、来源或标注人","格式已填；仍须人工复核"))))</x:f>
      </x:c>
    </x:row>
    <x:row r="104" ht="44" customHeight="1">
      <x:c r="A104" s="9"/>
      <x:c r="B104" s="9"/>
      <x:c r="C104" s="9"/>
      <x:c r="D104" s="9"/>
      <x:c r="E104" s="9"/>
      <x:c r="F104" s="9"/>
      <x:c r="G104" s="9"/>
      <x:c r="H104" s="9"/>
      <x:c r="I104" s="9"/>
      <x:c r="J104" s="9"/>
      <x:c r="K104" s="9"/>
      <x:c r="L104" s="9"/>
      <x:c r="M104" s="9"/>
      <x:c r="N104" s="12" t="str">
        <x:f>IF(A104="","",IF(COUNTIF($A$6:$A$205,A104)&gt;1,"记录ID重复",IF(COUNTIF('案件索引'!$A$6:$A$105,B104)=0,"案件ID未登记",IF(OR(C104="",G104="",H104="",I104="",K104=""),"补主体、代称、来源或标注人","格式已填；仍须人工复核"))))</x:f>
      </x:c>
    </x:row>
    <x:row r="105" ht="44" customHeight="1">
      <x:c r="A105" s="9"/>
      <x:c r="B105" s="9"/>
      <x:c r="C105" s="9"/>
      <x:c r="D105" s="9"/>
      <x:c r="E105" s="9"/>
      <x:c r="F105" s="9"/>
      <x:c r="G105" s="9"/>
      <x:c r="H105" s="9"/>
      <x:c r="I105" s="9"/>
      <x:c r="J105" s="9"/>
      <x:c r="K105" s="9"/>
      <x:c r="L105" s="9"/>
      <x:c r="M105" s="9"/>
      <x:c r="N105" s="12" t="str">
        <x:f>IF(A105="","",IF(COUNTIF($A$6:$A$205,A105)&gt;1,"记录ID重复",IF(COUNTIF('案件索引'!$A$6:$A$105,B105)=0,"案件ID未登记",IF(OR(C105="",G105="",H105="",I105="",K105=""),"补主体、代称、来源或标注人","格式已填；仍须人工复核"))))</x:f>
      </x:c>
    </x:row>
    <x:row r="106" ht="44" customHeight="1">
      <x:c r="A106" s="9"/>
      <x:c r="B106" s="9"/>
      <x:c r="C106" s="9"/>
      <x:c r="D106" s="9"/>
      <x:c r="E106" s="9"/>
      <x:c r="F106" s="9"/>
      <x:c r="G106" s="9"/>
      <x:c r="H106" s="9"/>
      <x:c r="I106" s="9"/>
      <x:c r="J106" s="9"/>
      <x:c r="K106" s="9"/>
      <x:c r="L106" s="9"/>
      <x:c r="M106" s="9"/>
      <x:c r="N106" s="12" t="str">
        <x:f>IF(A106="","",IF(COUNTIF($A$6:$A$205,A106)&gt;1,"记录ID重复",IF(COUNTIF('案件索引'!$A$6:$A$105,B106)=0,"案件ID未登记",IF(OR(C106="",G106="",H106="",I106="",K106=""),"补主体、代称、来源或标注人","格式已填；仍须人工复核"))))</x:f>
      </x:c>
    </x:row>
    <x:row r="107" ht="44" customHeight="1">
      <x:c r="A107" s="9"/>
      <x:c r="B107" s="9"/>
      <x:c r="C107" s="9"/>
      <x:c r="D107" s="9"/>
      <x:c r="E107" s="9"/>
      <x:c r="F107" s="9"/>
      <x:c r="G107" s="9"/>
      <x:c r="H107" s="9"/>
      <x:c r="I107" s="9"/>
      <x:c r="J107" s="9"/>
      <x:c r="K107" s="9"/>
      <x:c r="L107" s="9"/>
      <x:c r="M107" s="9"/>
      <x:c r="N107" s="12" t="str">
        <x:f>IF(A107="","",IF(COUNTIF($A$6:$A$205,A107)&gt;1,"记录ID重复",IF(COUNTIF('案件索引'!$A$6:$A$105,B107)=0,"案件ID未登记",IF(OR(C107="",G107="",H107="",I107="",K107=""),"补主体、代称、来源或标注人","格式已填；仍须人工复核"))))</x:f>
      </x:c>
    </x:row>
    <x:row r="108" ht="44" customHeight="1">
      <x:c r="A108" s="9"/>
      <x:c r="B108" s="9"/>
      <x:c r="C108" s="9"/>
      <x:c r="D108" s="9"/>
      <x:c r="E108" s="9"/>
      <x:c r="F108" s="9"/>
      <x:c r="G108" s="9"/>
      <x:c r="H108" s="9"/>
      <x:c r="I108" s="9"/>
      <x:c r="J108" s="9"/>
      <x:c r="K108" s="9"/>
      <x:c r="L108" s="9"/>
      <x:c r="M108" s="9"/>
      <x:c r="N108" s="12" t="str">
        <x:f>IF(A108="","",IF(COUNTIF($A$6:$A$205,A108)&gt;1,"记录ID重复",IF(COUNTIF('案件索引'!$A$6:$A$105,B108)=0,"案件ID未登记",IF(OR(C108="",G108="",H108="",I108="",K108=""),"补主体、代称、来源或标注人","格式已填；仍须人工复核"))))</x:f>
      </x:c>
    </x:row>
    <x:row r="109" ht="44" customHeight="1">
      <x:c r="A109" s="9"/>
      <x:c r="B109" s="9"/>
      <x:c r="C109" s="9"/>
      <x:c r="D109" s="9"/>
      <x:c r="E109" s="9"/>
      <x:c r="F109" s="9"/>
      <x:c r="G109" s="9"/>
      <x:c r="H109" s="9"/>
      <x:c r="I109" s="9"/>
      <x:c r="J109" s="9"/>
      <x:c r="K109" s="9"/>
      <x:c r="L109" s="9"/>
      <x:c r="M109" s="9"/>
      <x:c r="N109" s="12" t="str">
        <x:f>IF(A109="","",IF(COUNTIF($A$6:$A$205,A109)&gt;1,"记录ID重复",IF(COUNTIF('案件索引'!$A$6:$A$105,B109)=0,"案件ID未登记",IF(OR(C109="",G109="",H109="",I109="",K109=""),"补主体、代称、来源或标注人","格式已填；仍须人工复核"))))</x:f>
      </x:c>
    </x:row>
    <x:row r="110" ht="44" customHeight="1">
      <x:c r="A110" s="9"/>
      <x:c r="B110" s="9"/>
      <x:c r="C110" s="9"/>
      <x:c r="D110" s="9"/>
      <x:c r="E110" s="9"/>
      <x:c r="F110" s="9"/>
      <x:c r="G110" s="9"/>
      <x:c r="H110" s="9"/>
      <x:c r="I110" s="9"/>
      <x:c r="J110" s="9"/>
      <x:c r="K110" s="9"/>
      <x:c r="L110" s="9"/>
      <x:c r="M110" s="9"/>
      <x:c r="N110" s="12" t="str">
        <x:f>IF(A110="","",IF(COUNTIF($A$6:$A$205,A110)&gt;1,"记录ID重复",IF(COUNTIF('案件索引'!$A$6:$A$105,B110)=0,"案件ID未登记",IF(OR(C110="",G110="",H110="",I110="",K110=""),"补主体、代称、来源或标注人","格式已填；仍须人工复核"))))</x:f>
      </x:c>
    </x:row>
    <x:row r="111" ht="44" customHeight="1">
      <x:c r="A111" s="9"/>
      <x:c r="B111" s="9"/>
      <x:c r="C111" s="9"/>
      <x:c r="D111" s="9"/>
      <x:c r="E111" s="9"/>
      <x:c r="F111" s="9"/>
      <x:c r="G111" s="9"/>
      <x:c r="H111" s="9"/>
      <x:c r="I111" s="9"/>
      <x:c r="J111" s="9"/>
      <x:c r="K111" s="9"/>
      <x:c r="L111" s="9"/>
      <x:c r="M111" s="9"/>
      <x:c r="N111" s="12" t="str">
        <x:f>IF(A111="","",IF(COUNTIF($A$6:$A$205,A111)&gt;1,"记录ID重复",IF(COUNTIF('案件索引'!$A$6:$A$105,B111)=0,"案件ID未登记",IF(OR(C111="",G111="",H111="",I111="",K111=""),"补主体、代称、来源或标注人","格式已填；仍须人工复核"))))</x:f>
      </x:c>
    </x:row>
    <x:row r="112" ht="44" customHeight="1">
      <x:c r="A112" s="9"/>
      <x:c r="B112" s="9"/>
      <x:c r="C112" s="9"/>
      <x:c r="D112" s="9"/>
      <x:c r="E112" s="9"/>
      <x:c r="F112" s="9"/>
      <x:c r="G112" s="9"/>
      <x:c r="H112" s="9"/>
      <x:c r="I112" s="9"/>
      <x:c r="J112" s="9"/>
      <x:c r="K112" s="9"/>
      <x:c r="L112" s="9"/>
      <x:c r="M112" s="9"/>
      <x:c r="N112" s="12" t="str">
        <x:f>IF(A112="","",IF(COUNTIF($A$6:$A$205,A112)&gt;1,"记录ID重复",IF(COUNTIF('案件索引'!$A$6:$A$105,B112)=0,"案件ID未登记",IF(OR(C112="",G112="",H112="",I112="",K112=""),"补主体、代称、来源或标注人","格式已填；仍须人工复核"))))</x:f>
      </x:c>
    </x:row>
    <x:row r="113" ht="44" customHeight="1">
      <x:c r="A113" s="9"/>
      <x:c r="B113" s="9"/>
      <x:c r="C113" s="9"/>
      <x:c r="D113" s="9"/>
      <x:c r="E113" s="9"/>
      <x:c r="F113" s="9"/>
      <x:c r="G113" s="9"/>
      <x:c r="H113" s="9"/>
      <x:c r="I113" s="9"/>
      <x:c r="J113" s="9"/>
      <x:c r="K113" s="9"/>
      <x:c r="L113" s="9"/>
      <x:c r="M113" s="9"/>
      <x:c r="N113" s="12" t="str">
        <x:f>IF(A113="","",IF(COUNTIF($A$6:$A$205,A113)&gt;1,"记录ID重复",IF(COUNTIF('案件索引'!$A$6:$A$105,B113)=0,"案件ID未登记",IF(OR(C113="",G113="",H113="",I113="",K113=""),"补主体、代称、来源或标注人","格式已填；仍须人工复核"))))</x:f>
      </x:c>
    </x:row>
    <x:row r="114" ht="44" customHeight="1">
      <x:c r="A114" s="9"/>
      <x:c r="B114" s="9"/>
      <x:c r="C114" s="9"/>
      <x:c r="D114" s="9"/>
      <x:c r="E114" s="9"/>
      <x:c r="F114" s="9"/>
      <x:c r="G114" s="9"/>
      <x:c r="H114" s="9"/>
      <x:c r="I114" s="9"/>
      <x:c r="J114" s="9"/>
      <x:c r="K114" s="9"/>
      <x:c r="L114" s="9"/>
      <x:c r="M114" s="9"/>
      <x:c r="N114" s="12" t="str">
        <x:f>IF(A114="","",IF(COUNTIF($A$6:$A$205,A114)&gt;1,"记录ID重复",IF(COUNTIF('案件索引'!$A$6:$A$105,B114)=0,"案件ID未登记",IF(OR(C114="",G114="",H114="",I114="",K114=""),"补主体、代称、来源或标注人","格式已填；仍须人工复核"))))</x:f>
      </x:c>
    </x:row>
    <x:row r="115" ht="44" customHeight="1">
      <x:c r="A115" s="9"/>
      <x:c r="B115" s="9"/>
      <x:c r="C115" s="9"/>
      <x:c r="D115" s="9"/>
      <x:c r="E115" s="9"/>
      <x:c r="F115" s="9"/>
      <x:c r="G115" s="9"/>
      <x:c r="H115" s="9"/>
      <x:c r="I115" s="9"/>
      <x:c r="J115" s="9"/>
      <x:c r="K115" s="9"/>
      <x:c r="L115" s="9"/>
      <x:c r="M115" s="9"/>
      <x:c r="N115" s="12" t="str">
        <x:f>IF(A115="","",IF(COUNTIF($A$6:$A$205,A115)&gt;1,"记录ID重复",IF(COUNTIF('案件索引'!$A$6:$A$105,B115)=0,"案件ID未登记",IF(OR(C115="",G115="",H115="",I115="",K115=""),"补主体、代称、来源或标注人","格式已填；仍须人工复核"))))</x:f>
      </x:c>
    </x:row>
    <x:row r="116" ht="44" customHeight="1">
      <x:c r="A116" s="9"/>
      <x:c r="B116" s="9"/>
      <x:c r="C116" s="9"/>
      <x:c r="D116" s="9"/>
      <x:c r="E116" s="9"/>
      <x:c r="F116" s="9"/>
      <x:c r="G116" s="9"/>
      <x:c r="H116" s="9"/>
      <x:c r="I116" s="9"/>
      <x:c r="J116" s="9"/>
      <x:c r="K116" s="9"/>
      <x:c r="L116" s="9"/>
      <x:c r="M116" s="9"/>
      <x:c r="N116" s="12" t="str">
        <x:f>IF(A116="","",IF(COUNTIF($A$6:$A$205,A116)&gt;1,"记录ID重复",IF(COUNTIF('案件索引'!$A$6:$A$105,B116)=0,"案件ID未登记",IF(OR(C116="",G116="",H116="",I116="",K116=""),"补主体、代称、来源或标注人","格式已填；仍须人工复核"))))</x:f>
      </x:c>
    </x:row>
    <x:row r="117" ht="44" customHeight="1">
      <x:c r="A117" s="9"/>
      <x:c r="B117" s="9"/>
      <x:c r="C117" s="9"/>
      <x:c r="D117" s="9"/>
      <x:c r="E117" s="9"/>
      <x:c r="F117" s="9"/>
      <x:c r="G117" s="9"/>
      <x:c r="H117" s="9"/>
      <x:c r="I117" s="9"/>
      <x:c r="J117" s="9"/>
      <x:c r="K117" s="9"/>
      <x:c r="L117" s="9"/>
      <x:c r="M117" s="9"/>
      <x:c r="N117" s="12" t="str">
        <x:f>IF(A117="","",IF(COUNTIF($A$6:$A$205,A117)&gt;1,"记录ID重复",IF(COUNTIF('案件索引'!$A$6:$A$105,B117)=0,"案件ID未登记",IF(OR(C117="",G117="",H117="",I117="",K117=""),"补主体、代称、来源或标注人","格式已填；仍须人工复核"))))</x:f>
      </x:c>
    </x:row>
    <x:row r="118" ht="44" customHeight="1">
      <x:c r="A118" s="9"/>
      <x:c r="B118" s="9"/>
      <x:c r="C118" s="9"/>
      <x:c r="D118" s="9"/>
      <x:c r="E118" s="9"/>
      <x:c r="F118" s="9"/>
      <x:c r="G118" s="9"/>
      <x:c r="H118" s="9"/>
      <x:c r="I118" s="9"/>
      <x:c r="J118" s="9"/>
      <x:c r="K118" s="9"/>
      <x:c r="L118" s="9"/>
      <x:c r="M118" s="9"/>
      <x:c r="N118" s="12" t="str">
        <x:f>IF(A118="","",IF(COUNTIF($A$6:$A$205,A118)&gt;1,"记录ID重复",IF(COUNTIF('案件索引'!$A$6:$A$105,B118)=0,"案件ID未登记",IF(OR(C118="",G118="",H118="",I118="",K118=""),"补主体、代称、来源或标注人","格式已填；仍须人工复核"))))</x:f>
      </x:c>
    </x:row>
    <x:row r="119" ht="44" customHeight="1">
      <x:c r="A119" s="9"/>
      <x:c r="B119" s="9"/>
      <x:c r="C119" s="9"/>
      <x:c r="D119" s="9"/>
      <x:c r="E119" s="9"/>
      <x:c r="F119" s="9"/>
      <x:c r="G119" s="9"/>
      <x:c r="H119" s="9"/>
      <x:c r="I119" s="9"/>
      <x:c r="J119" s="9"/>
      <x:c r="K119" s="9"/>
      <x:c r="L119" s="9"/>
      <x:c r="M119" s="9"/>
      <x:c r="N119" s="12" t="str">
        <x:f>IF(A119="","",IF(COUNTIF($A$6:$A$205,A119)&gt;1,"记录ID重复",IF(COUNTIF('案件索引'!$A$6:$A$105,B119)=0,"案件ID未登记",IF(OR(C119="",G119="",H119="",I119="",K119=""),"补主体、代称、来源或标注人","格式已填；仍须人工复核"))))</x:f>
      </x:c>
    </x:row>
    <x:row r="120" ht="44" customHeight="1">
      <x:c r="A120" s="9"/>
      <x:c r="B120" s="9"/>
      <x:c r="C120" s="9"/>
      <x:c r="D120" s="9"/>
      <x:c r="E120" s="9"/>
      <x:c r="F120" s="9"/>
      <x:c r="G120" s="9"/>
      <x:c r="H120" s="9"/>
      <x:c r="I120" s="9"/>
      <x:c r="J120" s="9"/>
      <x:c r="K120" s="9"/>
      <x:c r="L120" s="9"/>
      <x:c r="M120" s="9"/>
      <x:c r="N120" s="12" t="str">
        <x:f>IF(A120="","",IF(COUNTIF($A$6:$A$205,A120)&gt;1,"记录ID重复",IF(COUNTIF('案件索引'!$A$6:$A$105,B120)=0,"案件ID未登记",IF(OR(C120="",G120="",H120="",I120="",K120=""),"补主体、代称、来源或标注人","格式已填；仍须人工复核"))))</x:f>
      </x:c>
    </x:row>
    <x:row r="121" ht="44" customHeight="1">
      <x:c r="A121" s="9"/>
      <x:c r="B121" s="9"/>
      <x:c r="C121" s="9"/>
      <x:c r="D121" s="9"/>
      <x:c r="E121" s="9"/>
      <x:c r="F121" s="9"/>
      <x:c r="G121" s="9"/>
      <x:c r="H121" s="9"/>
      <x:c r="I121" s="9"/>
      <x:c r="J121" s="9"/>
      <x:c r="K121" s="9"/>
      <x:c r="L121" s="9"/>
      <x:c r="M121" s="9"/>
      <x:c r="N121" s="12" t="str">
        <x:f>IF(A121="","",IF(COUNTIF($A$6:$A$205,A121)&gt;1,"记录ID重复",IF(COUNTIF('案件索引'!$A$6:$A$105,B121)=0,"案件ID未登记",IF(OR(C121="",G121="",H121="",I121="",K121=""),"补主体、代称、来源或标注人","格式已填；仍须人工复核"))))</x:f>
      </x:c>
    </x:row>
    <x:row r="122" ht="44" customHeight="1">
      <x:c r="A122" s="9"/>
      <x:c r="B122" s="9"/>
      <x:c r="C122" s="9"/>
      <x:c r="D122" s="9"/>
      <x:c r="E122" s="9"/>
      <x:c r="F122" s="9"/>
      <x:c r="G122" s="9"/>
      <x:c r="H122" s="9"/>
      <x:c r="I122" s="9"/>
      <x:c r="J122" s="9"/>
      <x:c r="K122" s="9"/>
      <x:c r="L122" s="9"/>
      <x:c r="M122" s="9"/>
      <x:c r="N122" s="12" t="str">
        <x:f>IF(A122="","",IF(COUNTIF($A$6:$A$205,A122)&gt;1,"记录ID重复",IF(COUNTIF('案件索引'!$A$6:$A$105,B122)=0,"案件ID未登记",IF(OR(C122="",G122="",H122="",I122="",K122=""),"补主体、代称、来源或标注人","格式已填；仍须人工复核"))))</x:f>
      </x:c>
    </x:row>
    <x:row r="123" ht="44" customHeight="1">
      <x:c r="A123" s="9"/>
      <x:c r="B123" s="9"/>
      <x:c r="C123" s="9"/>
      <x:c r="D123" s="9"/>
      <x:c r="E123" s="9"/>
      <x:c r="F123" s="9"/>
      <x:c r="G123" s="9"/>
      <x:c r="H123" s="9"/>
      <x:c r="I123" s="9"/>
      <x:c r="J123" s="9"/>
      <x:c r="K123" s="9"/>
      <x:c r="L123" s="9"/>
      <x:c r="M123" s="9"/>
      <x:c r="N123" s="12" t="str">
        <x:f>IF(A123="","",IF(COUNTIF($A$6:$A$205,A123)&gt;1,"记录ID重复",IF(COUNTIF('案件索引'!$A$6:$A$105,B123)=0,"案件ID未登记",IF(OR(C123="",G123="",H123="",I123="",K123=""),"补主体、代称、来源或标注人","格式已填；仍须人工复核"))))</x:f>
      </x:c>
    </x:row>
    <x:row r="124" ht="44" customHeight="1">
      <x:c r="A124" s="9"/>
      <x:c r="B124" s="9"/>
      <x:c r="C124" s="9"/>
      <x:c r="D124" s="9"/>
      <x:c r="E124" s="9"/>
      <x:c r="F124" s="9"/>
      <x:c r="G124" s="9"/>
      <x:c r="H124" s="9"/>
      <x:c r="I124" s="9"/>
      <x:c r="J124" s="9"/>
      <x:c r="K124" s="9"/>
      <x:c r="L124" s="9"/>
      <x:c r="M124" s="9"/>
      <x:c r="N124" s="12" t="str">
        <x:f>IF(A124="","",IF(COUNTIF($A$6:$A$205,A124)&gt;1,"记录ID重复",IF(COUNTIF('案件索引'!$A$6:$A$105,B124)=0,"案件ID未登记",IF(OR(C124="",G124="",H124="",I124="",K124=""),"补主体、代称、来源或标注人","格式已填；仍须人工复核"))))</x:f>
      </x:c>
    </x:row>
    <x:row r="125" ht="44" customHeight="1">
      <x:c r="A125" s="9"/>
      <x:c r="B125" s="9"/>
      <x:c r="C125" s="9"/>
      <x:c r="D125" s="9"/>
      <x:c r="E125" s="9"/>
      <x:c r="F125" s="9"/>
      <x:c r="G125" s="9"/>
      <x:c r="H125" s="9"/>
      <x:c r="I125" s="9"/>
      <x:c r="J125" s="9"/>
      <x:c r="K125" s="9"/>
      <x:c r="L125" s="9"/>
      <x:c r="M125" s="9"/>
      <x:c r="N125" s="12" t="str">
        <x:f>IF(A125="","",IF(COUNTIF($A$6:$A$205,A125)&gt;1,"记录ID重复",IF(COUNTIF('案件索引'!$A$6:$A$105,B125)=0,"案件ID未登记",IF(OR(C125="",G125="",H125="",I125="",K125=""),"补主体、代称、来源或标注人","格式已填；仍须人工复核"))))</x:f>
      </x:c>
    </x:row>
    <x:row r="126" ht="44" customHeight="1">
      <x:c r="A126" s="9"/>
      <x:c r="B126" s="9"/>
      <x:c r="C126" s="9"/>
      <x:c r="D126" s="9"/>
      <x:c r="E126" s="9"/>
      <x:c r="F126" s="9"/>
      <x:c r="G126" s="9"/>
      <x:c r="H126" s="9"/>
      <x:c r="I126" s="9"/>
      <x:c r="J126" s="9"/>
      <x:c r="K126" s="9"/>
      <x:c r="L126" s="9"/>
      <x:c r="M126" s="9"/>
      <x:c r="N126" s="12" t="str">
        <x:f>IF(A126="","",IF(COUNTIF($A$6:$A$205,A126)&gt;1,"记录ID重复",IF(COUNTIF('案件索引'!$A$6:$A$105,B126)=0,"案件ID未登记",IF(OR(C126="",G126="",H126="",I126="",K126=""),"补主体、代称、来源或标注人","格式已填；仍须人工复核"))))</x:f>
      </x:c>
    </x:row>
    <x:row r="127" ht="44" customHeight="1">
      <x:c r="A127" s="9"/>
      <x:c r="B127" s="9"/>
      <x:c r="C127" s="9"/>
      <x:c r="D127" s="9"/>
      <x:c r="E127" s="9"/>
      <x:c r="F127" s="9"/>
      <x:c r="G127" s="9"/>
      <x:c r="H127" s="9"/>
      <x:c r="I127" s="9"/>
      <x:c r="J127" s="9"/>
      <x:c r="K127" s="9"/>
      <x:c r="L127" s="9"/>
      <x:c r="M127" s="9"/>
      <x:c r="N127" s="12" t="str">
        <x:f>IF(A127="","",IF(COUNTIF($A$6:$A$205,A127)&gt;1,"记录ID重复",IF(COUNTIF('案件索引'!$A$6:$A$105,B127)=0,"案件ID未登记",IF(OR(C127="",G127="",H127="",I127="",K127=""),"补主体、代称、来源或标注人","格式已填；仍须人工复核"))))</x:f>
      </x:c>
    </x:row>
    <x:row r="128" ht="44" customHeight="1">
      <x:c r="A128" s="9"/>
      <x:c r="B128" s="9"/>
      <x:c r="C128" s="9"/>
      <x:c r="D128" s="9"/>
      <x:c r="E128" s="9"/>
      <x:c r="F128" s="9"/>
      <x:c r="G128" s="9"/>
      <x:c r="H128" s="9"/>
      <x:c r="I128" s="9"/>
      <x:c r="J128" s="9"/>
      <x:c r="K128" s="9"/>
      <x:c r="L128" s="9"/>
      <x:c r="M128" s="9"/>
      <x:c r="N128" s="12" t="str">
        <x:f>IF(A128="","",IF(COUNTIF($A$6:$A$205,A128)&gt;1,"记录ID重复",IF(COUNTIF('案件索引'!$A$6:$A$105,B128)=0,"案件ID未登记",IF(OR(C128="",G128="",H128="",I128="",K128=""),"补主体、代称、来源或标注人","格式已填；仍须人工复核"))))</x:f>
      </x:c>
    </x:row>
    <x:row r="129" ht="44" customHeight="1">
      <x:c r="A129" s="9"/>
      <x:c r="B129" s="9"/>
      <x:c r="C129" s="9"/>
      <x:c r="D129" s="9"/>
      <x:c r="E129" s="9"/>
      <x:c r="F129" s="9"/>
      <x:c r="G129" s="9"/>
      <x:c r="H129" s="9"/>
      <x:c r="I129" s="9"/>
      <x:c r="J129" s="9"/>
      <x:c r="K129" s="9"/>
      <x:c r="L129" s="9"/>
      <x:c r="M129" s="9"/>
      <x:c r="N129" s="12" t="str">
        <x:f>IF(A129="","",IF(COUNTIF($A$6:$A$205,A129)&gt;1,"记录ID重复",IF(COUNTIF('案件索引'!$A$6:$A$105,B129)=0,"案件ID未登记",IF(OR(C129="",G129="",H129="",I129="",K129=""),"补主体、代称、来源或标注人","格式已填；仍须人工复核"))))</x:f>
      </x:c>
    </x:row>
    <x:row r="130" ht="44" customHeight="1">
      <x:c r="A130" s="9"/>
      <x:c r="B130" s="9"/>
      <x:c r="C130" s="9"/>
      <x:c r="D130" s="9"/>
      <x:c r="E130" s="9"/>
      <x:c r="F130" s="9"/>
      <x:c r="G130" s="9"/>
      <x:c r="H130" s="9"/>
      <x:c r="I130" s="9"/>
      <x:c r="J130" s="9"/>
      <x:c r="K130" s="9"/>
      <x:c r="L130" s="9"/>
      <x:c r="M130" s="9"/>
      <x:c r="N130" s="12" t="str">
        <x:f>IF(A130="","",IF(COUNTIF($A$6:$A$205,A130)&gt;1,"记录ID重复",IF(COUNTIF('案件索引'!$A$6:$A$105,B130)=0,"案件ID未登记",IF(OR(C130="",G130="",H130="",I130="",K130=""),"补主体、代称、来源或标注人","格式已填；仍须人工复核"))))</x:f>
      </x:c>
    </x:row>
    <x:row r="131" ht="44" customHeight="1">
      <x:c r="A131" s="9"/>
      <x:c r="B131" s="9"/>
      <x:c r="C131" s="9"/>
      <x:c r="D131" s="9"/>
      <x:c r="E131" s="9"/>
      <x:c r="F131" s="9"/>
      <x:c r="G131" s="9"/>
      <x:c r="H131" s="9"/>
      <x:c r="I131" s="9"/>
      <x:c r="J131" s="9"/>
      <x:c r="K131" s="9"/>
      <x:c r="L131" s="9"/>
      <x:c r="M131" s="9"/>
      <x:c r="N131" s="12" t="str">
        <x:f>IF(A131="","",IF(COUNTIF($A$6:$A$205,A131)&gt;1,"记录ID重复",IF(COUNTIF('案件索引'!$A$6:$A$105,B131)=0,"案件ID未登记",IF(OR(C131="",G131="",H131="",I131="",K131=""),"补主体、代称、来源或标注人","格式已填；仍须人工复核"))))</x:f>
      </x:c>
    </x:row>
    <x:row r="132" ht="44" customHeight="1">
      <x:c r="A132" s="9"/>
      <x:c r="B132" s="9"/>
      <x:c r="C132" s="9"/>
      <x:c r="D132" s="9"/>
      <x:c r="E132" s="9"/>
      <x:c r="F132" s="9"/>
      <x:c r="G132" s="9"/>
      <x:c r="H132" s="9"/>
      <x:c r="I132" s="9"/>
      <x:c r="J132" s="9"/>
      <x:c r="K132" s="9"/>
      <x:c r="L132" s="9"/>
      <x:c r="M132" s="9"/>
      <x:c r="N132" s="12" t="str">
        <x:f>IF(A132="","",IF(COUNTIF($A$6:$A$205,A132)&gt;1,"记录ID重复",IF(COUNTIF('案件索引'!$A$6:$A$105,B132)=0,"案件ID未登记",IF(OR(C132="",G132="",H132="",I132="",K132=""),"补主体、代称、来源或标注人","格式已填；仍须人工复核"))))</x:f>
      </x:c>
    </x:row>
    <x:row r="133" ht="44" customHeight="1">
      <x:c r="A133" s="9"/>
      <x:c r="B133" s="9"/>
      <x:c r="C133" s="9"/>
      <x:c r="D133" s="9"/>
      <x:c r="E133" s="9"/>
      <x:c r="F133" s="9"/>
      <x:c r="G133" s="9"/>
      <x:c r="H133" s="9"/>
      <x:c r="I133" s="9"/>
      <x:c r="J133" s="9"/>
      <x:c r="K133" s="9"/>
      <x:c r="L133" s="9"/>
      <x:c r="M133" s="9"/>
      <x:c r="N133" s="12" t="str">
        <x:f>IF(A133="","",IF(COUNTIF($A$6:$A$205,A133)&gt;1,"记录ID重复",IF(COUNTIF('案件索引'!$A$6:$A$105,B133)=0,"案件ID未登记",IF(OR(C133="",G133="",H133="",I133="",K133=""),"补主体、代称、来源或标注人","格式已填；仍须人工复核"))))</x:f>
      </x:c>
    </x:row>
    <x:row r="134" ht="44" customHeight="1">
      <x:c r="A134" s="9"/>
      <x:c r="B134" s="9"/>
      <x:c r="C134" s="9"/>
      <x:c r="D134" s="9"/>
      <x:c r="E134" s="9"/>
      <x:c r="F134" s="9"/>
      <x:c r="G134" s="9"/>
      <x:c r="H134" s="9"/>
      <x:c r="I134" s="9"/>
      <x:c r="J134" s="9"/>
      <x:c r="K134" s="9"/>
      <x:c r="L134" s="9"/>
      <x:c r="M134" s="9"/>
      <x:c r="N134" s="12" t="str">
        <x:f>IF(A134="","",IF(COUNTIF($A$6:$A$205,A134)&gt;1,"记录ID重复",IF(COUNTIF('案件索引'!$A$6:$A$105,B134)=0,"案件ID未登记",IF(OR(C134="",G134="",H134="",I134="",K134=""),"补主体、代称、来源或标注人","格式已填；仍须人工复核"))))</x:f>
      </x:c>
    </x:row>
    <x:row r="135" ht="44" customHeight="1">
      <x:c r="A135" s="9"/>
      <x:c r="B135" s="9"/>
      <x:c r="C135" s="9"/>
      <x:c r="D135" s="9"/>
      <x:c r="E135" s="9"/>
      <x:c r="F135" s="9"/>
      <x:c r="G135" s="9"/>
      <x:c r="H135" s="9"/>
      <x:c r="I135" s="9"/>
      <x:c r="J135" s="9"/>
      <x:c r="K135" s="9"/>
      <x:c r="L135" s="9"/>
      <x:c r="M135" s="9"/>
      <x:c r="N135" s="12" t="str">
        <x:f>IF(A135="","",IF(COUNTIF($A$6:$A$205,A135)&gt;1,"记录ID重复",IF(COUNTIF('案件索引'!$A$6:$A$105,B135)=0,"案件ID未登记",IF(OR(C135="",G135="",H135="",I135="",K135=""),"补主体、代称、来源或标注人","格式已填；仍须人工复核"))))</x:f>
      </x:c>
    </x:row>
    <x:row r="136" ht="44" customHeight="1">
      <x:c r="A136" s="9"/>
      <x:c r="B136" s="9"/>
      <x:c r="C136" s="9"/>
      <x:c r="D136" s="9"/>
      <x:c r="E136" s="9"/>
      <x:c r="F136" s="9"/>
      <x:c r="G136" s="9"/>
      <x:c r="H136" s="9"/>
      <x:c r="I136" s="9"/>
      <x:c r="J136" s="9"/>
      <x:c r="K136" s="9"/>
      <x:c r="L136" s="9"/>
      <x:c r="M136" s="9"/>
      <x:c r="N136" s="12" t="str">
        <x:f>IF(A136="","",IF(COUNTIF($A$6:$A$205,A136)&gt;1,"记录ID重复",IF(COUNTIF('案件索引'!$A$6:$A$105,B136)=0,"案件ID未登记",IF(OR(C136="",G136="",H136="",I136="",K136=""),"补主体、代称、来源或标注人","格式已填；仍须人工复核"))))</x:f>
      </x:c>
    </x:row>
    <x:row r="137" ht="44" customHeight="1">
      <x:c r="A137" s="9"/>
      <x:c r="B137" s="9"/>
      <x:c r="C137" s="9"/>
      <x:c r="D137" s="9"/>
      <x:c r="E137" s="9"/>
      <x:c r="F137" s="9"/>
      <x:c r="G137" s="9"/>
      <x:c r="H137" s="9"/>
      <x:c r="I137" s="9"/>
      <x:c r="J137" s="9"/>
      <x:c r="K137" s="9"/>
      <x:c r="L137" s="9"/>
      <x:c r="M137" s="9"/>
      <x:c r="N137" s="12" t="str">
        <x:f>IF(A137="","",IF(COUNTIF($A$6:$A$205,A137)&gt;1,"记录ID重复",IF(COUNTIF('案件索引'!$A$6:$A$105,B137)=0,"案件ID未登记",IF(OR(C137="",G137="",H137="",I137="",K137=""),"补主体、代称、来源或标注人","格式已填；仍须人工复核"))))</x:f>
      </x:c>
    </x:row>
    <x:row r="138" ht="44" customHeight="1">
      <x:c r="A138" s="9"/>
      <x:c r="B138" s="9"/>
      <x:c r="C138" s="9"/>
      <x:c r="D138" s="9"/>
      <x:c r="E138" s="9"/>
      <x:c r="F138" s="9"/>
      <x:c r="G138" s="9"/>
      <x:c r="H138" s="9"/>
      <x:c r="I138" s="9"/>
      <x:c r="J138" s="9"/>
      <x:c r="K138" s="9"/>
      <x:c r="L138" s="9"/>
      <x:c r="M138" s="9"/>
      <x:c r="N138" s="12" t="str">
        <x:f>IF(A138="","",IF(COUNTIF($A$6:$A$205,A138)&gt;1,"记录ID重复",IF(COUNTIF('案件索引'!$A$6:$A$105,B138)=0,"案件ID未登记",IF(OR(C138="",G138="",H138="",I138="",K138=""),"补主体、代称、来源或标注人","格式已填；仍须人工复核"))))</x:f>
      </x:c>
    </x:row>
    <x:row r="139" ht="44" customHeight="1">
      <x:c r="A139" s="9"/>
      <x:c r="B139" s="9"/>
      <x:c r="C139" s="9"/>
      <x:c r="D139" s="9"/>
      <x:c r="E139" s="9"/>
      <x:c r="F139" s="9"/>
      <x:c r="G139" s="9"/>
      <x:c r="H139" s="9"/>
      <x:c r="I139" s="9"/>
      <x:c r="J139" s="9"/>
      <x:c r="K139" s="9"/>
      <x:c r="L139" s="9"/>
      <x:c r="M139" s="9"/>
      <x:c r="N139" s="12" t="str">
        <x:f>IF(A139="","",IF(COUNTIF($A$6:$A$205,A139)&gt;1,"记录ID重复",IF(COUNTIF('案件索引'!$A$6:$A$105,B139)=0,"案件ID未登记",IF(OR(C139="",G139="",H139="",I139="",K139=""),"补主体、代称、来源或标注人","格式已填；仍须人工复核"))))</x:f>
      </x:c>
    </x:row>
    <x:row r="140" ht="44" customHeight="1">
      <x:c r="A140" s="9"/>
      <x:c r="B140" s="9"/>
      <x:c r="C140" s="9"/>
      <x:c r="D140" s="9"/>
      <x:c r="E140" s="9"/>
      <x:c r="F140" s="9"/>
      <x:c r="G140" s="9"/>
      <x:c r="H140" s="9"/>
      <x:c r="I140" s="9"/>
      <x:c r="J140" s="9"/>
      <x:c r="K140" s="9"/>
      <x:c r="L140" s="9"/>
      <x:c r="M140" s="9"/>
      <x:c r="N140" s="12" t="str">
        <x:f>IF(A140="","",IF(COUNTIF($A$6:$A$205,A140)&gt;1,"记录ID重复",IF(COUNTIF('案件索引'!$A$6:$A$105,B140)=0,"案件ID未登记",IF(OR(C140="",G140="",H140="",I140="",K140=""),"补主体、代称、来源或标注人","格式已填；仍须人工复核"))))</x:f>
      </x:c>
    </x:row>
    <x:row r="141" ht="44" customHeight="1">
      <x:c r="A141" s="9"/>
      <x:c r="B141" s="9"/>
      <x:c r="C141" s="9"/>
      <x:c r="D141" s="9"/>
      <x:c r="E141" s="9"/>
      <x:c r="F141" s="9"/>
      <x:c r="G141" s="9"/>
      <x:c r="H141" s="9"/>
      <x:c r="I141" s="9"/>
      <x:c r="J141" s="9"/>
      <x:c r="K141" s="9"/>
      <x:c r="L141" s="9"/>
      <x:c r="M141" s="9"/>
      <x:c r="N141" s="12" t="str">
        <x:f>IF(A141="","",IF(COUNTIF($A$6:$A$205,A141)&gt;1,"记录ID重复",IF(COUNTIF('案件索引'!$A$6:$A$105,B141)=0,"案件ID未登记",IF(OR(C141="",G141="",H141="",I141="",K141=""),"补主体、代称、来源或标注人","格式已填；仍须人工复核"))))</x:f>
      </x:c>
    </x:row>
    <x:row r="142" ht="44" customHeight="1">
      <x:c r="A142" s="9"/>
      <x:c r="B142" s="9"/>
      <x:c r="C142" s="9"/>
      <x:c r="D142" s="9"/>
      <x:c r="E142" s="9"/>
      <x:c r="F142" s="9"/>
      <x:c r="G142" s="9"/>
      <x:c r="H142" s="9"/>
      <x:c r="I142" s="9"/>
      <x:c r="J142" s="9"/>
      <x:c r="K142" s="9"/>
      <x:c r="L142" s="9"/>
      <x:c r="M142" s="9"/>
      <x:c r="N142" s="12" t="str">
        <x:f>IF(A142="","",IF(COUNTIF($A$6:$A$205,A142)&gt;1,"记录ID重复",IF(COUNTIF('案件索引'!$A$6:$A$105,B142)=0,"案件ID未登记",IF(OR(C142="",G142="",H142="",I142="",K142=""),"补主体、代称、来源或标注人","格式已填；仍须人工复核"))))</x:f>
      </x:c>
    </x:row>
    <x:row r="143" ht="44" customHeight="1">
      <x:c r="A143" s="9"/>
      <x:c r="B143" s="9"/>
      <x:c r="C143" s="9"/>
      <x:c r="D143" s="9"/>
      <x:c r="E143" s="9"/>
      <x:c r="F143" s="9"/>
      <x:c r="G143" s="9"/>
      <x:c r="H143" s="9"/>
      <x:c r="I143" s="9"/>
      <x:c r="J143" s="9"/>
      <x:c r="K143" s="9"/>
      <x:c r="L143" s="9"/>
      <x:c r="M143" s="9"/>
      <x:c r="N143" s="12" t="str">
        <x:f>IF(A143="","",IF(COUNTIF($A$6:$A$205,A143)&gt;1,"记录ID重复",IF(COUNTIF('案件索引'!$A$6:$A$105,B143)=0,"案件ID未登记",IF(OR(C143="",G143="",H143="",I143="",K143=""),"补主体、代称、来源或标注人","格式已填；仍须人工复核"))))</x:f>
      </x:c>
    </x:row>
    <x:row r="144" ht="44" customHeight="1">
      <x:c r="A144" s="9"/>
      <x:c r="B144" s="9"/>
      <x:c r="C144" s="9"/>
      <x:c r="D144" s="9"/>
      <x:c r="E144" s="9"/>
      <x:c r="F144" s="9"/>
      <x:c r="G144" s="9"/>
      <x:c r="H144" s="9"/>
      <x:c r="I144" s="9"/>
      <x:c r="J144" s="9"/>
      <x:c r="K144" s="9"/>
      <x:c r="L144" s="9"/>
      <x:c r="M144" s="9"/>
      <x:c r="N144" s="12" t="str">
        <x:f>IF(A144="","",IF(COUNTIF($A$6:$A$205,A144)&gt;1,"记录ID重复",IF(COUNTIF('案件索引'!$A$6:$A$105,B144)=0,"案件ID未登记",IF(OR(C144="",G144="",H144="",I144="",K144=""),"补主体、代称、来源或标注人","格式已填；仍须人工复核"))))</x:f>
      </x:c>
    </x:row>
    <x:row r="145" ht="44" customHeight="1">
      <x:c r="A145" s="9"/>
      <x:c r="B145" s="9"/>
      <x:c r="C145" s="9"/>
      <x:c r="D145" s="9"/>
      <x:c r="E145" s="9"/>
      <x:c r="F145" s="9"/>
      <x:c r="G145" s="9"/>
      <x:c r="H145" s="9"/>
      <x:c r="I145" s="9"/>
      <x:c r="J145" s="9"/>
      <x:c r="K145" s="9"/>
      <x:c r="L145" s="9"/>
      <x:c r="M145" s="9"/>
      <x:c r="N145" s="12" t="str">
        <x:f>IF(A145="","",IF(COUNTIF($A$6:$A$205,A145)&gt;1,"记录ID重复",IF(COUNTIF('案件索引'!$A$6:$A$105,B145)=0,"案件ID未登记",IF(OR(C145="",G145="",H145="",I145="",K145=""),"补主体、代称、来源或标注人","格式已填；仍须人工复核"))))</x:f>
      </x:c>
    </x:row>
    <x:row r="146" ht="44" customHeight="1">
      <x:c r="A146" s="9"/>
      <x:c r="B146" s="9"/>
      <x:c r="C146" s="9"/>
      <x:c r="D146" s="9"/>
      <x:c r="E146" s="9"/>
      <x:c r="F146" s="9"/>
      <x:c r="G146" s="9"/>
      <x:c r="H146" s="9"/>
      <x:c r="I146" s="9"/>
      <x:c r="J146" s="9"/>
      <x:c r="K146" s="9"/>
      <x:c r="L146" s="9"/>
      <x:c r="M146" s="9"/>
      <x:c r="N146" s="12" t="str">
        <x:f>IF(A146="","",IF(COUNTIF($A$6:$A$205,A146)&gt;1,"记录ID重复",IF(COUNTIF('案件索引'!$A$6:$A$105,B146)=0,"案件ID未登记",IF(OR(C146="",G146="",H146="",I146="",K146=""),"补主体、代称、来源或标注人","格式已填；仍须人工复核"))))</x:f>
      </x:c>
    </x:row>
    <x:row r="147" ht="44" customHeight="1">
      <x:c r="A147" s="9"/>
      <x:c r="B147" s="9"/>
      <x:c r="C147" s="9"/>
      <x:c r="D147" s="9"/>
      <x:c r="E147" s="9"/>
      <x:c r="F147" s="9"/>
      <x:c r="G147" s="9"/>
      <x:c r="H147" s="9"/>
      <x:c r="I147" s="9"/>
      <x:c r="J147" s="9"/>
      <x:c r="K147" s="9"/>
      <x:c r="L147" s="9"/>
      <x:c r="M147" s="9"/>
      <x:c r="N147" s="12" t="str">
        <x:f>IF(A147="","",IF(COUNTIF($A$6:$A$205,A147)&gt;1,"记录ID重复",IF(COUNTIF('案件索引'!$A$6:$A$105,B147)=0,"案件ID未登记",IF(OR(C147="",G147="",H147="",I147="",K147=""),"补主体、代称、来源或标注人","格式已填；仍须人工复核"))))</x:f>
      </x:c>
    </x:row>
    <x:row r="148" ht="44" customHeight="1">
      <x:c r="A148" s="9"/>
      <x:c r="B148" s="9"/>
      <x:c r="C148" s="9"/>
      <x:c r="D148" s="9"/>
      <x:c r="E148" s="9"/>
      <x:c r="F148" s="9"/>
      <x:c r="G148" s="9"/>
      <x:c r="H148" s="9"/>
      <x:c r="I148" s="9"/>
      <x:c r="J148" s="9"/>
      <x:c r="K148" s="9"/>
      <x:c r="L148" s="9"/>
      <x:c r="M148" s="9"/>
      <x:c r="N148" s="12" t="str">
        <x:f>IF(A148="","",IF(COUNTIF($A$6:$A$205,A148)&gt;1,"记录ID重复",IF(COUNTIF('案件索引'!$A$6:$A$105,B148)=0,"案件ID未登记",IF(OR(C148="",G148="",H148="",I148="",K148=""),"补主体、代称、来源或标注人","格式已填；仍须人工复核"))))</x:f>
      </x:c>
    </x:row>
    <x:row r="149" ht="44" customHeight="1">
      <x:c r="A149" s="9"/>
      <x:c r="B149" s="9"/>
      <x:c r="C149" s="9"/>
      <x:c r="D149" s="9"/>
      <x:c r="E149" s="9"/>
      <x:c r="F149" s="9"/>
      <x:c r="G149" s="9"/>
      <x:c r="H149" s="9"/>
      <x:c r="I149" s="9"/>
      <x:c r="J149" s="9"/>
      <x:c r="K149" s="9"/>
      <x:c r="L149" s="9"/>
      <x:c r="M149" s="9"/>
      <x:c r="N149" s="12" t="str">
        <x:f>IF(A149="","",IF(COUNTIF($A$6:$A$205,A149)&gt;1,"记录ID重复",IF(COUNTIF('案件索引'!$A$6:$A$105,B149)=0,"案件ID未登记",IF(OR(C149="",G149="",H149="",I149="",K149=""),"补主体、代称、来源或标注人","格式已填；仍须人工复核"))))</x:f>
      </x:c>
    </x:row>
    <x:row r="150" ht="44" customHeight="1">
      <x:c r="A150" s="9"/>
      <x:c r="B150" s="9"/>
      <x:c r="C150" s="9"/>
      <x:c r="D150" s="9"/>
      <x:c r="E150" s="9"/>
      <x:c r="F150" s="9"/>
      <x:c r="G150" s="9"/>
      <x:c r="H150" s="9"/>
      <x:c r="I150" s="9"/>
      <x:c r="J150" s="9"/>
      <x:c r="K150" s="9"/>
      <x:c r="L150" s="9"/>
      <x:c r="M150" s="9"/>
      <x:c r="N150" s="12" t="str">
        <x:f>IF(A150="","",IF(COUNTIF($A$6:$A$205,A150)&gt;1,"记录ID重复",IF(COUNTIF('案件索引'!$A$6:$A$105,B150)=0,"案件ID未登记",IF(OR(C150="",G150="",H150="",I150="",K150=""),"补主体、代称、来源或标注人","格式已填；仍须人工复核"))))</x:f>
      </x:c>
    </x:row>
    <x:row r="151" ht="44" customHeight="1">
      <x:c r="A151" s="9"/>
      <x:c r="B151" s="9"/>
      <x:c r="C151" s="9"/>
      <x:c r="D151" s="9"/>
      <x:c r="E151" s="9"/>
      <x:c r="F151" s="9"/>
      <x:c r="G151" s="9"/>
      <x:c r="H151" s="9"/>
      <x:c r="I151" s="9"/>
      <x:c r="J151" s="9"/>
      <x:c r="K151" s="9"/>
      <x:c r="L151" s="9"/>
      <x:c r="M151" s="9"/>
      <x:c r="N151" s="12" t="str">
        <x:f>IF(A151="","",IF(COUNTIF($A$6:$A$205,A151)&gt;1,"记录ID重复",IF(COUNTIF('案件索引'!$A$6:$A$105,B151)=0,"案件ID未登记",IF(OR(C151="",G151="",H151="",I151="",K151=""),"补主体、代称、来源或标注人","格式已填；仍须人工复核"))))</x:f>
      </x:c>
    </x:row>
    <x:row r="152" ht="44" customHeight="1">
      <x:c r="A152" s="9"/>
      <x:c r="B152" s="9"/>
      <x:c r="C152" s="9"/>
      <x:c r="D152" s="9"/>
      <x:c r="E152" s="9"/>
      <x:c r="F152" s="9"/>
      <x:c r="G152" s="9"/>
      <x:c r="H152" s="9"/>
      <x:c r="I152" s="9"/>
      <x:c r="J152" s="9"/>
      <x:c r="K152" s="9"/>
      <x:c r="L152" s="9"/>
      <x:c r="M152" s="9"/>
      <x:c r="N152" s="12" t="str">
        <x:f>IF(A152="","",IF(COUNTIF($A$6:$A$205,A152)&gt;1,"记录ID重复",IF(COUNTIF('案件索引'!$A$6:$A$105,B152)=0,"案件ID未登记",IF(OR(C152="",G152="",H152="",I152="",K152=""),"补主体、代称、来源或标注人","格式已填；仍须人工复核"))))</x:f>
      </x:c>
    </x:row>
    <x:row r="153" ht="44" customHeight="1">
      <x:c r="A153" s="9"/>
      <x:c r="B153" s="9"/>
      <x:c r="C153" s="9"/>
      <x:c r="D153" s="9"/>
      <x:c r="E153" s="9"/>
      <x:c r="F153" s="9"/>
      <x:c r="G153" s="9"/>
      <x:c r="H153" s="9"/>
      <x:c r="I153" s="9"/>
      <x:c r="J153" s="9"/>
      <x:c r="K153" s="9"/>
      <x:c r="L153" s="9"/>
      <x:c r="M153" s="9"/>
      <x:c r="N153" s="12" t="str">
        <x:f>IF(A153="","",IF(COUNTIF($A$6:$A$205,A153)&gt;1,"记录ID重复",IF(COUNTIF('案件索引'!$A$6:$A$105,B153)=0,"案件ID未登记",IF(OR(C153="",G153="",H153="",I153="",K153=""),"补主体、代称、来源或标注人","格式已填；仍须人工复核"))))</x:f>
      </x:c>
    </x:row>
    <x:row r="154" ht="44" customHeight="1">
      <x:c r="A154" s="9"/>
      <x:c r="B154" s="9"/>
      <x:c r="C154" s="9"/>
      <x:c r="D154" s="9"/>
      <x:c r="E154" s="9"/>
      <x:c r="F154" s="9"/>
      <x:c r="G154" s="9"/>
      <x:c r="H154" s="9"/>
      <x:c r="I154" s="9"/>
      <x:c r="J154" s="9"/>
      <x:c r="K154" s="9"/>
      <x:c r="L154" s="9"/>
      <x:c r="M154" s="9"/>
      <x:c r="N154" s="12" t="str">
        <x:f>IF(A154="","",IF(COUNTIF($A$6:$A$205,A154)&gt;1,"记录ID重复",IF(COUNTIF('案件索引'!$A$6:$A$105,B154)=0,"案件ID未登记",IF(OR(C154="",G154="",H154="",I154="",K154=""),"补主体、代称、来源或标注人","格式已填；仍须人工复核"))))</x:f>
      </x:c>
    </x:row>
    <x:row r="155" ht="44" customHeight="1">
      <x:c r="A155" s="9"/>
      <x:c r="B155" s="9"/>
      <x:c r="C155" s="9"/>
      <x:c r="D155" s="9"/>
      <x:c r="E155" s="9"/>
      <x:c r="F155" s="9"/>
      <x:c r="G155" s="9"/>
      <x:c r="H155" s="9"/>
      <x:c r="I155" s="9"/>
      <x:c r="J155" s="9"/>
      <x:c r="K155" s="9"/>
      <x:c r="L155" s="9"/>
      <x:c r="M155" s="9"/>
      <x:c r="N155" s="12" t="str">
        <x:f>IF(A155="","",IF(COUNTIF($A$6:$A$205,A155)&gt;1,"记录ID重复",IF(COUNTIF('案件索引'!$A$6:$A$105,B155)=0,"案件ID未登记",IF(OR(C155="",G155="",H155="",I155="",K155=""),"补主体、代称、来源或标注人","格式已填；仍须人工复核"))))</x:f>
      </x:c>
    </x:row>
    <x:row r="156" ht="44" customHeight="1">
      <x:c r="A156" s="9"/>
      <x:c r="B156" s="9"/>
      <x:c r="C156" s="9"/>
      <x:c r="D156" s="9"/>
      <x:c r="E156" s="9"/>
      <x:c r="F156" s="9"/>
      <x:c r="G156" s="9"/>
      <x:c r="H156" s="9"/>
      <x:c r="I156" s="9"/>
      <x:c r="J156" s="9"/>
      <x:c r="K156" s="9"/>
      <x:c r="L156" s="9"/>
      <x:c r="M156" s="9"/>
      <x:c r="N156" s="12" t="str">
        <x:f>IF(A156="","",IF(COUNTIF($A$6:$A$205,A156)&gt;1,"记录ID重复",IF(COUNTIF('案件索引'!$A$6:$A$105,B156)=0,"案件ID未登记",IF(OR(C156="",G156="",H156="",I156="",K156=""),"补主体、代称、来源或标注人","格式已填；仍须人工复核"))))</x:f>
      </x:c>
    </x:row>
    <x:row r="157" ht="44" customHeight="1">
      <x:c r="A157" s="9"/>
      <x:c r="B157" s="9"/>
      <x:c r="C157" s="9"/>
      <x:c r="D157" s="9"/>
      <x:c r="E157" s="9"/>
      <x:c r="F157" s="9"/>
      <x:c r="G157" s="9"/>
      <x:c r="H157" s="9"/>
      <x:c r="I157" s="9"/>
      <x:c r="J157" s="9"/>
      <x:c r="K157" s="9"/>
      <x:c r="L157" s="9"/>
      <x:c r="M157" s="9"/>
      <x:c r="N157" s="12" t="str">
        <x:f>IF(A157="","",IF(COUNTIF($A$6:$A$205,A157)&gt;1,"记录ID重复",IF(COUNTIF('案件索引'!$A$6:$A$105,B157)=0,"案件ID未登记",IF(OR(C157="",G157="",H157="",I157="",K157=""),"补主体、代称、来源或标注人","格式已填；仍须人工复核"))))</x:f>
      </x:c>
    </x:row>
    <x:row r="158" ht="44" customHeight="1">
      <x:c r="A158" s="9"/>
      <x:c r="B158" s="9"/>
      <x:c r="C158" s="9"/>
      <x:c r="D158" s="9"/>
      <x:c r="E158" s="9"/>
      <x:c r="F158" s="9"/>
      <x:c r="G158" s="9"/>
      <x:c r="H158" s="9"/>
      <x:c r="I158" s="9"/>
      <x:c r="J158" s="9"/>
      <x:c r="K158" s="9"/>
      <x:c r="L158" s="9"/>
      <x:c r="M158" s="9"/>
      <x:c r="N158" s="12" t="str">
        <x:f>IF(A158="","",IF(COUNTIF($A$6:$A$205,A158)&gt;1,"记录ID重复",IF(COUNTIF('案件索引'!$A$6:$A$105,B158)=0,"案件ID未登记",IF(OR(C158="",G158="",H158="",I158="",K158=""),"补主体、代称、来源或标注人","格式已填；仍须人工复核"))))</x:f>
      </x:c>
    </x:row>
    <x:row r="159" ht="44" customHeight="1">
      <x:c r="A159" s="9"/>
      <x:c r="B159" s="9"/>
      <x:c r="C159" s="9"/>
      <x:c r="D159" s="9"/>
      <x:c r="E159" s="9"/>
      <x:c r="F159" s="9"/>
      <x:c r="G159" s="9"/>
      <x:c r="H159" s="9"/>
      <x:c r="I159" s="9"/>
      <x:c r="J159" s="9"/>
      <x:c r="K159" s="9"/>
      <x:c r="L159" s="9"/>
      <x:c r="M159" s="9"/>
      <x:c r="N159" s="12" t="str">
        <x:f>IF(A159="","",IF(COUNTIF($A$6:$A$205,A159)&gt;1,"记录ID重复",IF(COUNTIF('案件索引'!$A$6:$A$105,B159)=0,"案件ID未登记",IF(OR(C159="",G159="",H159="",I159="",K159=""),"补主体、代称、来源或标注人","格式已填；仍须人工复核"))))</x:f>
      </x:c>
    </x:row>
    <x:row r="160" ht="44" customHeight="1">
      <x:c r="A160" s="9"/>
      <x:c r="B160" s="9"/>
      <x:c r="C160" s="9"/>
      <x:c r="D160" s="9"/>
      <x:c r="E160" s="9"/>
      <x:c r="F160" s="9"/>
      <x:c r="G160" s="9"/>
      <x:c r="H160" s="9"/>
      <x:c r="I160" s="9"/>
      <x:c r="J160" s="9"/>
      <x:c r="K160" s="9"/>
      <x:c r="L160" s="9"/>
      <x:c r="M160" s="9"/>
      <x:c r="N160" s="12" t="str">
        <x:f>IF(A160="","",IF(COUNTIF($A$6:$A$205,A160)&gt;1,"记录ID重复",IF(COUNTIF('案件索引'!$A$6:$A$105,B160)=0,"案件ID未登记",IF(OR(C160="",G160="",H160="",I160="",K160=""),"补主体、代称、来源或标注人","格式已填；仍须人工复核"))))</x:f>
      </x:c>
    </x:row>
    <x:row r="161" ht="44" customHeight="1">
      <x:c r="A161" s="9"/>
      <x:c r="B161" s="9"/>
      <x:c r="C161" s="9"/>
      <x:c r="D161" s="9"/>
      <x:c r="E161" s="9"/>
      <x:c r="F161" s="9"/>
      <x:c r="G161" s="9"/>
      <x:c r="H161" s="9"/>
      <x:c r="I161" s="9"/>
      <x:c r="J161" s="9"/>
      <x:c r="K161" s="9"/>
      <x:c r="L161" s="9"/>
      <x:c r="M161" s="9"/>
      <x:c r="N161" s="12" t="str">
        <x:f>IF(A161="","",IF(COUNTIF($A$6:$A$205,A161)&gt;1,"记录ID重复",IF(COUNTIF('案件索引'!$A$6:$A$105,B161)=0,"案件ID未登记",IF(OR(C161="",G161="",H161="",I161="",K161=""),"补主体、代称、来源或标注人","格式已填；仍须人工复核"))))</x:f>
      </x:c>
    </x:row>
    <x:row r="162" ht="44" customHeight="1">
      <x:c r="A162" s="9"/>
      <x:c r="B162" s="9"/>
      <x:c r="C162" s="9"/>
      <x:c r="D162" s="9"/>
      <x:c r="E162" s="9"/>
      <x:c r="F162" s="9"/>
      <x:c r="G162" s="9"/>
      <x:c r="H162" s="9"/>
      <x:c r="I162" s="9"/>
      <x:c r="J162" s="9"/>
      <x:c r="K162" s="9"/>
      <x:c r="L162" s="9"/>
      <x:c r="M162" s="9"/>
      <x:c r="N162" s="12" t="str">
        <x:f>IF(A162="","",IF(COUNTIF($A$6:$A$205,A162)&gt;1,"记录ID重复",IF(COUNTIF('案件索引'!$A$6:$A$105,B162)=0,"案件ID未登记",IF(OR(C162="",G162="",H162="",I162="",K162=""),"补主体、代称、来源或标注人","格式已填；仍须人工复核"))))</x:f>
      </x:c>
    </x:row>
    <x:row r="163" ht="44" customHeight="1">
      <x:c r="A163" s="9"/>
      <x:c r="B163" s="9"/>
      <x:c r="C163" s="9"/>
      <x:c r="D163" s="9"/>
      <x:c r="E163" s="9"/>
      <x:c r="F163" s="9"/>
      <x:c r="G163" s="9"/>
      <x:c r="H163" s="9"/>
      <x:c r="I163" s="9"/>
      <x:c r="J163" s="9"/>
      <x:c r="K163" s="9"/>
      <x:c r="L163" s="9"/>
      <x:c r="M163" s="9"/>
      <x:c r="N163" s="12" t="str">
        <x:f>IF(A163="","",IF(COUNTIF($A$6:$A$205,A163)&gt;1,"记录ID重复",IF(COUNTIF('案件索引'!$A$6:$A$105,B163)=0,"案件ID未登记",IF(OR(C163="",G163="",H163="",I163="",K163=""),"补主体、代称、来源或标注人","格式已填；仍须人工复核"))))</x:f>
      </x:c>
    </x:row>
    <x:row r="164" ht="44" customHeight="1">
      <x:c r="A164" s="9"/>
      <x:c r="B164" s="9"/>
      <x:c r="C164" s="9"/>
      <x:c r="D164" s="9"/>
      <x:c r="E164" s="9"/>
      <x:c r="F164" s="9"/>
      <x:c r="G164" s="9"/>
      <x:c r="H164" s="9"/>
      <x:c r="I164" s="9"/>
      <x:c r="J164" s="9"/>
      <x:c r="K164" s="9"/>
      <x:c r="L164" s="9"/>
      <x:c r="M164" s="9"/>
      <x:c r="N164" s="12" t="str">
        <x:f>IF(A164="","",IF(COUNTIF($A$6:$A$205,A164)&gt;1,"记录ID重复",IF(COUNTIF('案件索引'!$A$6:$A$105,B164)=0,"案件ID未登记",IF(OR(C164="",G164="",H164="",I164="",K164=""),"补主体、代称、来源或标注人","格式已填；仍须人工复核"))))</x:f>
      </x:c>
    </x:row>
    <x:row r="165" ht="44" customHeight="1">
      <x:c r="A165" s="9"/>
      <x:c r="B165" s="9"/>
      <x:c r="C165" s="9"/>
      <x:c r="D165" s="9"/>
      <x:c r="E165" s="9"/>
      <x:c r="F165" s="9"/>
      <x:c r="G165" s="9"/>
      <x:c r="H165" s="9"/>
      <x:c r="I165" s="9"/>
      <x:c r="J165" s="9"/>
      <x:c r="K165" s="9"/>
      <x:c r="L165" s="9"/>
      <x:c r="M165" s="9"/>
      <x:c r="N165" s="12" t="str">
        <x:f>IF(A165="","",IF(COUNTIF($A$6:$A$205,A165)&gt;1,"记录ID重复",IF(COUNTIF('案件索引'!$A$6:$A$105,B165)=0,"案件ID未登记",IF(OR(C165="",G165="",H165="",I165="",K165=""),"补主体、代称、来源或标注人","格式已填；仍须人工复核"))))</x:f>
      </x:c>
    </x:row>
    <x:row r="166" ht="44" customHeight="1">
      <x:c r="A166" s="9"/>
      <x:c r="B166" s="9"/>
      <x:c r="C166" s="9"/>
      <x:c r="D166" s="9"/>
      <x:c r="E166" s="9"/>
      <x:c r="F166" s="9"/>
      <x:c r="G166" s="9"/>
      <x:c r="H166" s="9"/>
      <x:c r="I166" s="9"/>
      <x:c r="J166" s="9"/>
      <x:c r="K166" s="9"/>
      <x:c r="L166" s="9"/>
      <x:c r="M166" s="9"/>
      <x:c r="N166" s="12" t="str">
        <x:f>IF(A166="","",IF(COUNTIF($A$6:$A$205,A166)&gt;1,"记录ID重复",IF(COUNTIF('案件索引'!$A$6:$A$105,B166)=0,"案件ID未登记",IF(OR(C166="",G166="",H166="",I166="",K166=""),"补主体、代称、来源或标注人","格式已填；仍须人工复核"))))</x:f>
      </x:c>
    </x:row>
    <x:row r="167" ht="44" customHeight="1">
      <x:c r="A167" s="9"/>
      <x:c r="B167" s="9"/>
      <x:c r="C167" s="9"/>
      <x:c r="D167" s="9"/>
      <x:c r="E167" s="9"/>
      <x:c r="F167" s="9"/>
      <x:c r="G167" s="9"/>
      <x:c r="H167" s="9"/>
      <x:c r="I167" s="9"/>
      <x:c r="J167" s="9"/>
      <x:c r="K167" s="9"/>
      <x:c r="L167" s="9"/>
      <x:c r="M167" s="9"/>
      <x:c r="N167" s="12" t="str">
        <x:f>IF(A167="","",IF(COUNTIF($A$6:$A$205,A167)&gt;1,"记录ID重复",IF(COUNTIF('案件索引'!$A$6:$A$105,B167)=0,"案件ID未登记",IF(OR(C167="",G167="",H167="",I167="",K167=""),"补主体、代称、来源或标注人","格式已填；仍须人工复核"))))</x:f>
      </x:c>
    </x:row>
    <x:row r="168" ht="44" customHeight="1">
      <x:c r="A168" s="9"/>
      <x:c r="B168" s="9"/>
      <x:c r="C168" s="9"/>
      <x:c r="D168" s="9"/>
      <x:c r="E168" s="9"/>
      <x:c r="F168" s="9"/>
      <x:c r="G168" s="9"/>
      <x:c r="H168" s="9"/>
      <x:c r="I168" s="9"/>
      <x:c r="J168" s="9"/>
      <x:c r="K168" s="9"/>
      <x:c r="L168" s="9"/>
      <x:c r="M168" s="9"/>
      <x:c r="N168" s="12" t="str">
        <x:f>IF(A168="","",IF(COUNTIF($A$6:$A$205,A168)&gt;1,"记录ID重复",IF(COUNTIF('案件索引'!$A$6:$A$105,B168)=0,"案件ID未登记",IF(OR(C168="",G168="",H168="",I168="",K168=""),"补主体、代称、来源或标注人","格式已填；仍须人工复核"))))</x:f>
      </x:c>
    </x:row>
    <x:row r="169" ht="44" customHeight="1">
      <x:c r="A169" s="9"/>
      <x:c r="B169" s="9"/>
      <x:c r="C169" s="9"/>
      <x:c r="D169" s="9"/>
      <x:c r="E169" s="9"/>
      <x:c r="F169" s="9"/>
      <x:c r="G169" s="9"/>
      <x:c r="H169" s="9"/>
      <x:c r="I169" s="9"/>
      <x:c r="J169" s="9"/>
      <x:c r="K169" s="9"/>
      <x:c r="L169" s="9"/>
      <x:c r="M169" s="9"/>
      <x:c r="N169" s="12" t="str">
        <x:f>IF(A169="","",IF(COUNTIF($A$6:$A$205,A169)&gt;1,"记录ID重复",IF(COUNTIF('案件索引'!$A$6:$A$105,B169)=0,"案件ID未登记",IF(OR(C169="",G169="",H169="",I169="",K169=""),"补主体、代称、来源或标注人","格式已填；仍须人工复核"))))</x:f>
      </x:c>
    </x:row>
    <x:row r="170" ht="44" customHeight="1">
      <x:c r="A170" s="9"/>
      <x:c r="B170" s="9"/>
      <x:c r="C170" s="9"/>
      <x:c r="D170" s="9"/>
      <x:c r="E170" s="9"/>
      <x:c r="F170" s="9"/>
      <x:c r="G170" s="9"/>
      <x:c r="H170" s="9"/>
      <x:c r="I170" s="9"/>
      <x:c r="J170" s="9"/>
      <x:c r="K170" s="9"/>
      <x:c r="L170" s="9"/>
      <x:c r="M170" s="9"/>
      <x:c r="N170" s="12" t="str">
        <x:f>IF(A170="","",IF(COUNTIF($A$6:$A$205,A170)&gt;1,"记录ID重复",IF(COUNTIF('案件索引'!$A$6:$A$105,B170)=0,"案件ID未登记",IF(OR(C170="",G170="",H170="",I170="",K170=""),"补主体、代称、来源或标注人","格式已填；仍须人工复核"))))</x:f>
      </x:c>
    </x:row>
    <x:row r="171" ht="44" customHeight="1">
      <x:c r="A171" s="9"/>
      <x:c r="B171" s="9"/>
      <x:c r="C171" s="9"/>
      <x:c r="D171" s="9"/>
      <x:c r="E171" s="9"/>
      <x:c r="F171" s="9"/>
      <x:c r="G171" s="9"/>
      <x:c r="H171" s="9"/>
      <x:c r="I171" s="9"/>
      <x:c r="J171" s="9"/>
      <x:c r="K171" s="9"/>
      <x:c r="L171" s="9"/>
      <x:c r="M171" s="9"/>
      <x:c r="N171" s="12" t="str">
        <x:f>IF(A171="","",IF(COUNTIF($A$6:$A$205,A171)&gt;1,"记录ID重复",IF(COUNTIF('案件索引'!$A$6:$A$105,B171)=0,"案件ID未登记",IF(OR(C171="",G171="",H171="",I171="",K171=""),"补主体、代称、来源或标注人","格式已填；仍须人工复核"))))</x:f>
      </x:c>
    </x:row>
    <x:row r="172" ht="44" customHeight="1">
      <x:c r="A172" s="9"/>
      <x:c r="B172" s="9"/>
      <x:c r="C172" s="9"/>
      <x:c r="D172" s="9"/>
      <x:c r="E172" s="9"/>
      <x:c r="F172" s="9"/>
      <x:c r="G172" s="9"/>
      <x:c r="H172" s="9"/>
      <x:c r="I172" s="9"/>
      <x:c r="J172" s="9"/>
      <x:c r="K172" s="9"/>
      <x:c r="L172" s="9"/>
      <x:c r="M172" s="9"/>
      <x:c r="N172" s="12" t="str">
        <x:f>IF(A172="","",IF(COUNTIF($A$6:$A$205,A172)&gt;1,"记录ID重复",IF(COUNTIF('案件索引'!$A$6:$A$105,B172)=0,"案件ID未登记",IF(OR(C172="",G172="",H172="",I172="",K172=""),"补主体、代称、来源或标注人","格式已填；仍须人工复核"))))</x:f>
      </x:c>
    </x:row>
    <x:row r="173" ht="44" customHeight="1">
      <x:c r="A173" s="9"/>
      <x:c r="B173" s="9"/>
      <x:c r="C173" s="9"/>
      <x:c r="D173" s="9"/>
      <x:c r="E173" s="9"/>
      <x:c r="F173" s="9"/>
      <x:c r="G173" s="9"/>
      <x:c r="H173" s="9"/>
      <x:c r="I173" s="9"/>
      <x:c r="J173" s="9"/>
      <x:c r="K173" s="9"/>
      <x:c r="L173" s="9"/>
      <x:c r="M173" s="9"/>
      <x:c r="N173" s="12" t="str">
        <x:f>IF(A173="","",IF(COUNTIF($A$6:$A$205,A173)&gt;1,"记录ID重复",IF(COUNTIF('案件索引'!$A$6:$A$105,B173)=0,"案件ID未登记",IF(OR(C173="",G173="",H173="",I173="",K173=""),"补主体、代称、来源或标注人","格式已填；仍须人工复核"))))</x:f>
      </x:c>
    </x:row>
    <x:row r="174" ht="44" customHeight="1">
      <x:c r="A174" s="9"/>
      <x:c r="B174" s="9"/>
      <x:c r="C174" s="9"/>
      <x:c r="D174" s="9"/>
      <x:c r="E174" s="9"/>
      <x:c r="F174" s="9"/>
      <x:c r="G174" s="9"/>
      <x:c r="H174" s="9"/>
      <x:c r="I174" s="9"/>
      <x:c r="J174" s="9"/>
      <x:c r="K174" s="9"/>
      <x:c r="L174" s="9"/>
      <x:c r="M174" s="9"/>
      <x:c r="N174" s="12" t="str">
        <x:f>IF(A174="","",IF(COUNTIF($A$6:$A$205,A174)&gt;1,"记录ID重复",IF(COUNTIF('案件索引'!$A$6:$A$105,B174)=0,"案件ID未登记",IF(OR(C174="",G174="",H174="",I174="",K174=""),"补主体、代称、来源或标注人","格式已填；仍须人工复核"))))</x:f>
      </x:c>
    </x:row>
    <x:row r="175" ht="44" customHeight="1">
      <x:c r="A175" s="9"/>
      <x:c r="B175" s="9"/>
      <x:c r="C175" s="9"/>
      <x:c r="D175" s="9"/>
      <x:c r="E175" s="9"/>
      <x:c r="F175" s="9"/>
      <x:c r="G175" s="9"/>
      <x:c r="H175" s="9"/>
      <x:c r="I175" s="9"/>
      <x:c r="J175" s="9"/>
      <x:c r="K175" s="9"/>
      <x:c r="L175" s="9"/>
      <x:c r="M175" s="9"/>
      <x:c r="N175" s="12" t="str">
        <x:f>IF(A175="","",IF(COUNTIF($A$6:$A$205,A175)&gt;1,"记录ID重复",IF(COUNTIF('案件索引'!$A$6:$A$105,B175)=0,"案件ID未登记",IF(OR(C175="",G175="",H175="",I175="",K175=""),"补主体、代称、来源或标注人","格式已填；仍须人工复核"))))</x:f>
      </x:c>
    </x:row>
    <x:row r="176" ht="44" customHeight="1">
      <x:c r="A176" s="9"/>
      <x:c r="B176" s="9"/>
      <x:c r="C176" s="9"/>
      <x:c r="D176" s="9"/>
      <x:c r="E176" s="9"/>
      <x:c r="F176" s="9"/>
      <x:c r="G176" s="9"/>
      <x:c r="H176" s="9"/>
      <x:c r="I176" s="9"/>
      <x:c r="J176" s="9"/>
      <x:c r="K176" s="9"/>
      <x:c r="L176" s="9"/>
      <x:c r="M176" s="9"/>
      <x:c r="N176" s="12" t="str">
        <x:f>IF(A176="","",IF(COUNTIF($A$6:$A$205,A176)&gt;1,"记录ID重复",IF(COUNTIF('案件索引'!$A$6:$A$105,B176)=0,"案件ID未登记",IF(OR(C176="",G176="",H176="",I176="",K176=""),"补主体、代称、来源或标注人","格式已填；仍须人工复核"))))</x:f>
      </x:c>
    </x:row>
    <x:row r="177" ht="44" customHeight="1">
      <x:c r="A177" s="9"/>
      <x:c r="B177" s="9"/>
      <x:c r="C177" s="9"/>
      <x:c r="D177" s="9"/>
      <x:c r="E177" s="9"/>
      <x:c r="F177" s="9"/>
      <x:c r="G177" s="9"/>
      <x:c r="H177" s="9"/>
      <x:c r="I177" s="9"/>
      <x:c r="J177" s="9"/>
      <x:c r="K177" s="9"/>
      <x:c r="L177" s="9"/>
      <x:c r="M177" s="9"/>
      <x:c r="N177" s="12" t="str">
        <x:f>IF(A177="","",IF(COUNTIF($A$6:$A$205,A177)&gt;1,"记录ID重复",IF(COUNTIF('案件索引'!$A$6:$A$105,B177)=0,"案件ID未登记",IF(OR(C177="",G177="",H177="",I177="",K177=""),"补主体、代称、来源或标注人","格式已填；仍须人工复核"))))</x:f>
      </x:c>
    </x:row>
    <x:row r="178" ht="44" customHeight="1">
      <x:c r="A178" s="9"/>
      <x:c r="B178" s="9"/>
      <x:c r="C178" s="9"/>
      <x:c r="D178" s="9"/>
      <x:c r="E178" s="9"/>
      <x:c r="F178" s="9"/>
      <x:c r="G178" s="9"/>
      <x:c r="H178" s="9"/>
      <x:c r="I178" s="9"/>
      <x:c r="J178" s="9"/>
      <x:c r="K178" s="9"/>
      <x:c r="L178" s="9"/>
      <x:c r="M178" s="9"/>
      <x:c r="N178" s="12" t="str">
        <x:f>IF(A178="","",IF(COUNTIF($A$6:$A$205,A178)&gt;1,"记录ID重复",IF(COUNTIF('案件索引'!$A$6:$A$105,B178)=0,"案件ID未登记",IF(OR(C178="",G178="",H178="",I178="",K178=""),"补主体、代称、来源或标注人","格式已填；仍须人工复核"))))</x:f>
      </x:c>
    </x:row>
    <x:row r="179" ht="44" customHeight="1">
      <x:c r="A179" s="9"/>
      <x:c r="B179" s="9"/>
      <x:c r="C179" s="9"/>
      <x:c r="D179" s="9"/>
      <x:c r="E179" s="9"/>
      <x:c r="F179" s="9"/>
      <x:c r="G179" s="9"/>
      <x:c r="H179" s="9"/>
      <x:c r="I179" s="9"/>
      <x:c r="J179" s="9"/>
      <x:c r="K179" s="9"/>
      <x:c r="L179" s="9"/>
      <x:c r="M179" s="9"/>
      <x:c r="N179" s="12" t="str">
        <x:f>IF(A179="","",IF(COUNTIF($A$6:$A$205,A179)&gt;1,"记录ID重复",IF(COUNTIF('案件索引'!$A$6:$A$105,B179)=0,"案件ID未登记",IF(OR(C179="",G179="",H179="",I179="",K179=""),"补主体、代称、来源或标注人","格式已填；仍须人工复核"))))</x:f>
      </x:c>
    </x:row>
    <x:row r="180" ht="44" customHeight="1">
      <x:c r="A180" s="9"/>
      <x:c r="B180" s="9"/>
      <x:c r="C180" s="9"/>
      <x:c r="D180" s="9"/>
      <x:c r="E180" s="9"/>
      <x:c r="F180" s="9"/>
      <x:c r="G180" s="9"/>
      <x:c r="H180" s="9"/>
      <x:c r="I180" s="9"/>
      <x:c r="J180" s="9"/>
      <x:c r="K180" s="9"/>
      <x:c r="L180" s="9"/>
      <x:c r="M180" s="9"/>
      <x:c r="N180" s="12" t="str">
        <x:f>IF(A180="","",IF(COUNTIF($A$6:$A$205,A180)&gt;1,"记录ID重复",IF(COUNTIF('案件索引'!$A$6:$A$105,B180)=0,"案件ID未登记",IF(OR(C180="",G180="",H180="",I180="",K180=""),"补主体、代称、来源或标注人","格式已填；仍须人工复核"))))</x:f>
      </x:c>
    </x:row>
    <x:row r="181" ht="44" customHeight="1">
      <x:c r="A181" s="9"/>
      <x:c r="B181" s="9"/>
      <x:c r="C181" s="9"/>
      <x:c r="D181" s="9"/>
      <x:c r="E181" s="9"/>
      <x:c r="F181" s="9"/>
      <x:c r="G181" s="9"/>
      <x:c r="H181" s="9"/>
      <x:c r="I181" s="9"/>
      <x:c r="J181" s="9"/>
      <x:c r="K181" s="9"/>
      <x:c r="L181" s="9"/>
      <x:c r="M181" s="9"/>
      <x:c r="N181" s="12" t="str">
        <x:f>IF(A181="","",IF(COUNTIF($A$6:$A$205,A181)&gt;1,"记录ID重复",IF(COUNTIF('案件索引'!$A$6:$A$105,B181)=0,"案件ID未登记",IF(OR(C181="",G181="",H181="",I181="",K181=""),"补主体、代称、来源或标注人","格式已填；仍须人工复核"))))</x:f>
      </x:c>
    </x:row>
    <x:row r="182" ht="44" customHeight="1">
      <x:c r="A182" s="9"/>
      <x:c r="B182" s="9"/>
      <x:c r="C182" s="9"/>
      <x:c r="D182" s="9"/>
      <x:c r="E182" s="9"/>
      <x:c r="F182" s="9"/>
      <x:c r="G182" s="9"/>
      <x:c r="H182" s="9"/>
      <x:c r="I182" s="9"/>
      <x:c r="J182" s="9"/>
      <x:c r="K182" s="9"/>
      <x:c r="L182" s="9"/>
      <x:c r="M182" s="9"/>
      <x:c r="N182" s="12" t="str">
        <x:f>IF(A182="","",IF(COUNTIF($A$6:$A$205,A182)&gt;1,"记录ID重复",IF(COUNTIF('案件索引'!$A$6:$A$105,B182)=0,"案件ID未登记",IF(OR(C182="",G182="",H182="",I182="",K182=""),"补主体、代称、来源或标注人","格式已填；仍须人工复核"))))</x:f>
      </x:c>
    </x:row>
    <x:row r="183" ht="44" customHeight="1">
      <x:c r="A183" s="9"/>
      <x:c r="B183" s="9"/>
      <x:c r="C183" s="9"/>
      <x:c r="D183" s="9"/>
      <x:c r="E183" s="9"/>
      <x:c r="F183" s="9"/>
      <x:c r="G183" s="9"/>
      <x:c r="H183" s="9"/>
      <x:c r="I183" s="9"/>
      <x:c r="J183" s="9"/>
      <x:c r="K183" s="9"/>
      <x:c r="L183" s="9"/>
      <x:c r="M183" s="9"/>
      <x:c r="N183" s="12" t="str">
        <x:f>IF(A183="","",IF(COUNTIF($A$6:$A$205,A183)&gt;1,"记录ID重复",IF(COUNTIF('案件索引'!$A$6:$A$105,B183)=0,"案件ID未登记",IF(OR(C183="",G183="",H183="",I183="",K183=""),"补主体、代称、来源或标注人","格式已填；仍须人工复核"))))</x:f>
      </x:c>
    </x:row>
    <x:row r="184" ht="44" customHeight="1">
      <x:c r="A184" s="9"/>
      <x:c r="B184" s="9"/>
      <x:c r="C184" s="9"/>
      <x:c r="D184" s="9"/>
      <x:c r="E184" s="9"/>
      <x:c r="F184" s="9"/>
      <x:c r="G184" s="9"/>
      <x:c r="H184" s="9"/>
      <x:c r="I184" s="9"/>
      <x:c r="J184" s="9"/>
      <x:c r="K184" s="9"/>
      <x:c r="L184" s="9"/>
      <x:c r="M184" s="9"/>
      <x:c r="N184" s="12" t="str">
        <x:f>IF(A184="","",IF(COUNTIF($A$6:$A$205,A184)&gt;1,"记录ID重复",IF(COUNTIF('案件索引'!$A$6:$A$105,B184)=0,"案件ID未登记",IF(OR(C184="",G184="",H184="",I184="",K184=""),"补主体、代称、来源或标注人","格式已填；仍须人工复核"))))</x:f>
      </x:c>
    </x:row>
    <x:row r="185" ht="44" customHeight="1">
      <x:c r="A185" s="9"/>
      <x:c r="B185" s="9"/>
      <x:c r="C185" s="9"/>
      <x:c r="D185" s="9"/>
      <x:c r="E185" s="9"/>
      <x:c r="F185" s="9"/>
      <x:c r="G185" s="9"/>
      <x:c r="H185" s="9"/>
      <x:c r="I185" s="9"/>
      <x:c r="J185" s="9"/>
      <x:c r="K185" s="9"/>
      <x:c r="L185" s="9"/>
      <x:c r="M185" s="9"/>
      <x:c r="N185" s="12" t="str">
        <x:f>IF(A185="","",IF(COUNTIF($A$6:$A$205,A185)&gt;1,"记录ID重复",IF(COUNTIF('案件索引'!$A$6:$A$105,B185)=0,"案件ID未登记",IF(OR(C185="",G185="",H185="",I185="",K185=""),"补主体、代称、来源或标注人","格式已填；仍须人工复核"))))</x:f>
      </x:c>
    </x:row>
    <x:row r="186" ht="44" customHeight="1">
      <x:c r="A186" s="9"/>
      <x:c r="B186" s="9"/>
      <x:c r="C186" s="9"/>
      <x:c r="D186" s="9"/>
      <x:c r="E186" s="9"/>
      <x:c r="F186" s="9"/>
      <x:c r="G186" s="9"/>
      <x:c r="H186" s="9"/>
      <x:c r="I186" s="9"/>
      <x:c r="J186" s="9"/>
      <x:c r="K186" s="9"/>
      <x:c r="L186" s="9"/>
      <x:c r="M186" s="9"/>
      <x:c r="N186" s="12" t="str">
        <x:f>IF(A186="","",IF(COUNTIF($A$6:$A$205,A186)&gt;1,"记录ID重复",IF(COUNTIF('案件索引'!$A$6:$A$105,B186)=0,"案件ID未登记",IF(OR(C186="",G186="",H186="",I186="",K186=""),"补主体、代称、来源或标注人","格式已填；仍须人工复核"))))</x:f>
      </x:c>
    </x:row>
    <x:row r="187" ht="44" customHeight="1">
      <x:c r="A187" s="9"/>
      <x:c r="B187" s="9"/>
      <x:c r="C187" s="9"/>
      <x:c r="D187" s="9"/>
      <x:c r="E187" s="9"/>
      <x:c r="F187" s="9"/>
      <x:c r="G187" s="9"/>
      <x:c r="H187" s="9"/>
      <x:c r="I187" s="9"/>
      <x:c r="J187" s="9"/>
      <x:c r="K187" s="9"/>
      <x:c r="L187" s="9"/>
      <x:c r="M187" s="9"/>
      <x:c r="N187" s="12" t="str">
        <x:f>IF(A187="","",IF(COUNTIF($A$6:$A$205,A187)&gt;1,"记录ID重复",IF(COUNTIF('案件索引'!$A$6:$A$105,B187)=0,"案件ID未登记",IF(OR(C187="",G187="",H187="",I187="",K187=""),"补主体、代称、来源或标注人","格式已填；仍须人工复核"))))</x:f>
      </x:c>
    </x:row>
    <x:row r="188" ht="44" customHeight="1">
      <x:c r="A188" s="9"/>
      <x:c r="B188" s="9"/>
      <x:c r="C188" s="9"/>
      <x:c r="D188" s="9"/>
      <x:c r="E188" s="9"/>
      <x:c r="F188" s="9"/>
      <x:c r="G188" s="9"/>
      <x:c r="H188" s="9"/>
      <x:c r="I188" s="9"/>
      <x:c r="J188" s="9"/>
      <x:c r="K188" s="9"/>
      <x:c r="L188" s="9"/>
      <x:c r="M188" s="9"/>
      <x:c r="N188" s="12" t="str">
        <x:f>IF(A188="","",IF(COUNTIF($A$6:$A$205,A188)&gt;1,"记录ID重复",IF(COUNTIF('案件索引'!$A$6:$A$105,B188)=0,"案件ID未登记",IF(OR(C188="",G188="",H188="",I188="",K188=""),"补主体、代称、来源或标注人","格式已填；仍须人工复核"))))</x:f>
      </x:c>
    </x:row>
    <x:row r="189" ht="44" customHeight="1">
      <x:c r="A189" s="9"/>
      <x:c r="B189" s="9"/>
      <x:c r="C189" s="9"/>
      <x:c r="D189" s="9"/>
      <x:c r="E189" s="9"/>
      <x:c r="F189" s="9"/>
      <x:c r="G189" s="9"/>
      <x:c r="H189" s="9"/>
      <x:c r="I189" s="9"/>
      <x:c r="J189" s="9"/>
      <x:c r="K189" s="9"/>
      <x:c r="L189" s="9"/>
      <x:c r="M189" s="9"/>
      <x:c r="N189" s="12" t="str">
        <x:f>IF(A189="","",IF(COUNTIF($A$6:$A$205,A189)&gt;1,"记录ID重复",IF(COUNTIF('案件索引'!$A$6:$A$105,B189)=0,"案件ID未登记",IF(OR(C189="",G189="",H189="",I189="",K189=""),"补主体、代称、来源或标注人","格式已填；仍须人工复核"))))</x:f>
      </x:c>
    </x:row>
    <x:row r="190" ht="44" customHeight="1">
      <x:c r="A190" s="9"/>
      <x:c r="B190" s="9"/>
      <x:c r="C190" s="9"/>
      <x:c r="D190" s="9"/>
      <x:c r="E190" s="9"/>
      <x:c r="F190" s="9"/>
      <x:c r="G190" s="9"/>
      <x:c r="H190" s="9"/>
      <x:c r="I190" s="9"/>
      <x:c r="J190" s="9"/>
      <x:c r="K190" s="9"/>
      <x:c r="L190" s="9"/>
      <x:c r="M190" s="9"/>
      <x:c r="N190" s="12" t="str">
        <x:f>IF(A190="","",IF(COUNTIF($A$6:$A$205,A190)&gt;1,"记录ID重复",IF(COUNTIF('案件索引'!$A$6:$A$105,B190)=0,"案件ID未登记",IF(OR(C190="",G190="",H190="",I190="",K190=""),"补主体、代称、来源或标注人","格式已填；仍须人工复核"))))</x:f>
      </x:c>
    </x:row>
    <x:row r="191" ht="44" customHeight="1">
      <x:c r="A191" s="9"/>
      <x:c r="B191" s="9"/>
      <x:c r="C191" s="9"/>
      <x:c r="D191" s="9"/>
      <x:c r="E191" s="9"/>
      <x:c r="F191" s="9"/>
      <x:c r="G191" s="9"/>
      <x:c r="H191" s="9"/>
      <x:c r="I191" s="9"/>
      <x:c r="J191" s="9"/>
      <x:c r="K191" s="9"/>
      <x:c r="L191" s="9"/>
      <x:c r="M191" s="9"/>
      <x:c r="N191" s="12" t="str">
        <x:f>IF(A191="","",IF(COUNTIF($A$6:$A$205,A191)&gt;1,"记录ID重复",IF(COUNTIF('案件索引'!$A$6:$A$105,B191)=0,"案件ID未登记",IF(OR(C191="",G191="",H191="",I191="",K191=""),"补主体、代称、来源或标注人","格式已填；仍须人工复核"))))</x:f>
      </x:c>
    </x:row>
    <x:row r="192" ht="44" customHeight="1">
      <x:c r="A192" s="9"/>
      <x:c r="B192" s="9"/>
      <x:c r="C192" s="9"/>
      <x:c r="D192" s="9"/>
      <x:c r="E192" s="9"/>
      <x:c r="F192" s="9"/>
      <x:c r="G192" s="9"/>
      <x:c r="H192" s="9"/>
      <x:c r="I192" s="9"/>
      <x:c r="J192" s="9"/>
      <x:c r="K192" s="9"/>
      <x:c r="L192" s="9"/>
      <x:c r="M192" s="9"/>
      <x:c r="N192" s="12" t="str">
        <x:f>IF(A192="","",IF(COUNTIF($A$6:$A$205,A192)&gt;1,"记录ID重复",IF(COUNTIF('案件索引'!$A$6:$A$105,B192)=0,"案件ID未登记",IF(OR(C192="",G192="",H192="",I192="",K192=""),"补主体、代称、来源或标注人","格式已填；仍须人工复核"))))</x:f>
      </x:c>
    </x:row>
    <x:row r="193" ht="44" customHeight="1">
      <x:c r="A193" s="9"/>
      <x:c r="B193" s="9"/>
      <x:c r="C193" s="9"/>
      <x:c r="D193" s="9"/>
      <x:c r="E193" s="9"/>
      <x:c r="F193" s="9"/>
      <x:c r="G193" s="9"/>
      <x:c r="H193" s="9"/>
      <x:c r="I193" s="9"/>
      <x:c r="J193" s="9"/>
      <x:c r="K193" s="9"/>
      <x:c r="L193" s="9"/>
      <x:c r="M193" s="9"/>
      <x:c r="N193" s="12" t="str">
        <x:f>IF(A193="","",IF(COUNTIF($A$6:$A$205,A193)&gt;1,"记录ID重复",IF(COUNTIF('案件索引'!$A$6:$A$105,B193)=0,"案件ID未登记",IF(OR(C193="",G193="",H193="",I193="",K193=""),"补主体、代称、来源或标注人","格式已填；仍须人工复核"))))</x:f>
      </x:c>
    </x:row>
    <x:row r="194" ht="44" customHeight="1">
      <x:c r="A194" s="9"/>
      <x:c r="B194" s="9"/>
      <x:c r="C194" s="9"/>
      <x:c r="D194" s="9"/>
      <x:c r="E194" s="9"/>
      <x:c r="F194" s="9"/>
      <x:c r="G194" s="9"/>
      <x:c r="H194" s="9"/>
      <x:c r="I194" s="9"/>
      <x:c r="J194" s="9"/>
      <x:c r="K194" s="9"/>
      <x:c r="L194" s="9"/>
      <x:c r="M194" s="9"/>
      <x:c r="N194" s="12" t="str">
        <x:f>IF(A194="","",IF(COUNTIF($A$6:$A$205,A194)&gt;1,"记录ID重复",IF(COUNTIF('案件索引'!$A$6:$A$105,B194)=0,"案件ID未登记",IF(OR(C194="",G194="",H194="",I194="",K194=""),"补主体、代称、来源或标注人","格式已填；仍须人工复核"))))</x:f>
      </x:c>
    </x:row>
    <x:row r="195" ht="44" customHeight="1">
      <x:c r="A195" s="9"/>
      <x:c r="B195" s="9"/>
      <x:c r="C195" s="9"/>
      <x:c r="D195" s="9"/>
      <x:c r="E195" s="9"/>
      <x:c r="F195" s="9"/>
      <x:c r="G195" s="9"/>
      <x:c r="H195" s="9"/>
      <x:c r="I195" s="9"/>
      <x:c r="J195" s="9"/>
      <x:c r="K195" s="9"/>
      <x:c r="L195" s="9"/>
      <x:c r="M195" s="9"/>
      <x:c r="N195" s="12" t="str">
        <x:f>IF(A195="","",IF(COUNTIF($A$6:$A$205,A195)&gt;1,"记录ID重复",IF(COUNTIF('案件索引'!$A$6:$A$105,B195)=0,"案件ID未登记",IF(OR(C195="",G195="",H195="",I195="",K195=""),"补主体、代称、来源或标注人","格式已填；仍须人工复核"))))</x:f>
      </x:c>
    </x:row>
    <x:row r="196" ht="44" customHeight="1">
      <x:c r="A196" s="9"/>
      <x:c r="B196" s="9"/>
      <x:c r="C196" s="9"/>
      <x:c r="D196" s="9"/>
      <x:c r="E196" s="9"/>
      <x:c r="F196" s="9"/>
      <x:c r="G196" s="9"/>
      <x:c r="H196" s="9"/>
      <x:c r="I196" s="9"/>
      <x:c r="J196" s="9"/>
      <x:c r="K196" s="9"/>
      <x:c r="L196" s="9"/>
      <x:c r="M196" s="9"/>
      <x:c r="N196" s="12" t="str">
        <x:f>IF(A196="","",IF(COUNTIF($A$6:$A$205,A196)&gt;1,"记录ID重复",IF(COUNTIF('案件索引'!$A$6:$A$105,B196)=0,"案件ID未登记",IF(OR(C196="",G196="",H196="",I196="",K196=""),"补主体、代称、来源或标注人","格式已填；仍须人工复核"))))</x:f>
      </x:c>
    </x:row>
    <x:row r="197" ht="44" customHeight="1">
      <x:c r="A197" s="9"/>
      <x:c r="B197" s="9"/>
      <x:c r="C197" s="9"/>
      <x:c r="D197" s="9"/>
      <x:c r="E197" s="9"/>
      <x:c r="F197" s="9"/>
      <x:c r="G197" s="9"/>
      <x:c r="H197" s="9"/>
      <x:c r="I197" s="9"/>
      <x:c r="J197" s="9"/>
      <x:c r="K197" s="9"/>
      <x:c r="L197" s="9"/>
      <x:c r="M197" s="9"/>
      <x:c r="N197" s="12" t="str">
        <x:f>IF(A197="","",IF(COUNTIF($A$6:$A$205,A197)&gt;1,"记录ID重复",IF(COUNTIF('案件索引'!$A$6:$A$105,B197)=0,"案件ID未登记",IF(OR(C197="",G197="",H197="",I197="",K197=""),"补主体、代称、来源或标注人","格式已填；仍须人工复核"))))</x:f>
      </x:c>
    </x:row>
    <x:row r="198" ht="44" customHeight="1">
      <x:c r="A198" s="9"/>
      <x:c r="B198" s="9"/>
      <x:c r="C198" s="9"/>
      <x:c r="D198" s="9"/>
      <x:c r="E198" s="9"/>
      <x:c r="F198" s="9"/>
      <x:c r="G198" s="9"/>
      <x:c r="H198" s="9"/>
      <x:c r="I198" s="9"/>
      <x:c r="J198" s="9"/>
      <x:c r="K198" s="9"/>
      <x:c r="L198" s="9"/>
      <x:c r="M198" s="9"/>
      <x:c r="N198" s="12" t="str">
        <x:f>IF(A198="","",IF(COUNTIF($A$6:$A$205,A198)&gt;1,"记录ID重复",IF(COUNTIF('案件索引'!$A$6:$A$105,B198)=0,"案件ID未登记",IF(OR(C198="",G198="",H198="",I198="",K198=""),"补主体、代称、来源或标注人","格式已填；仍须人工复核"))))</x:f>
      </x:c>
    </x:row>
    <x:row r="199" ht="44" customHeight="1">
      <x:c r="A199" s="9"/>
      <x:c r="B199" s="9"/>
      <x:c r="C199" s="9"/>
      <x:c r="D199" s="9"/>
      <x:c r="E199" s="9"/>
      <x:c r="F199" s="9"/>
      <x:c r="G199" s="9"/>
      <x:c r="H199" s="9"/>
      <x:c r="I199" s="9"/>
      <x:c r="J199" s="9"/>
      <x:c r="K199" s="9"/>
      <x:c r="L199" s="9"/>
      <x:c r="M199" s="9"/>
      <x:c r="N199" s="12" t="str">
        <x:f>IF(A199="","",IF(COUNTIF($A$6:$A$205,A199)&gt;1,"记录ID重复",IF(COUNTIF('案件索引'!$A$6:$A$105,B199)=0,"案件ID未登记",IF(OR(C199="",G199="",H199="",I199="",K199=""),"补主体、代称、来源或标注人","格式已填；仍须人工复核"))))</x:f>
      </x:c>
    </x:row>
    <x:row r="200" ht="44" customHeight="1">
      <x:c r="A200" s="9"/>
      <x:c r="B200" s="9"/>
      <x:c r="C200" s="9"/>
      <x:c r="D200" s="9"/>
      <x:c r="E200" s="9"/>
      <x:c r="F200" s="9"/>
      <x:c r="G200" s="9"/>
      <x:c r="H200" s="9"/>
      <x:c r="I200" s="9"/>
      <x:c r="J200" s="9"/>
      <x:c r="K200" s="9"/>
      <x:c r="L200" s="9"/>
      <x:c r="M200" s="9"/>
      <x:c r="N200" s="12" t="str">
        <x:f>IF(A200="","",IF(COUNTIF($A$6:$A$205,A200)&gt;1,"记录ID重复",IF(COUNTIF('案件索引'!$A$6:$A$105,B200)=0,"案件ID未登记",IF(OR(C200="",G200="",H200="",I200="",K200=""),"补主体、代称、来源或标注人","格式已填；仍须人工复核"))))</x:f>
      </x:c>
    </x:row>
    <x:row r="201" ht="44" customHeight="1">
      <x:c r="A201" s="9"/>
      <x:c r="B201" s="9"/>
      <x:c r="C201" s="9"/>
      <x:c r="D201" s="9"/>
      <x:c r="E201" s="9"/>
      <x:c r="F201" s="9"/>
      <x:c r="G201" s="9"/>
      <x:c r="H201" s="9"/>
      <x:c r="I201" s="9"/>
      <x:c r="J201" s="9"/>
      <x:c r="K201" s="9"/>
      <x:c r="L201" s="9"/>
      <x:c r="M201" s="9"/>
      <x:c r="N201" s="12" t="str">
        <x:f>IF(A201="","",IF(COUNTIF($A$6:$A$205,A201)&gt;1,"记录ID重复",IF(COUNTIF('案件索引'!$A$6:$A$105,B201)=0,"案件ID未登记",IF(OR(C201="",G201="",H201="",I201="",K201=""),"补主体、代称、来源或标注人","格式已填；仍须人工复核"))))</x:f>
      </x:c>
    </x:row>
    <x:row r="202" ht="44" customHeight="1">
      <x:c r="A202" s="9"/>
      <x:c r="B202" s="9"/>
      <x:c r="C202" s="9"/>
      <x:c r="D202" s="9"/>
      <x:c r="E202" s="9"/>
      <x:c r="F202" s="9"/>
      <x:c r="G202" s="9"/>
      <x:c r="H202" s="9"/>
      <x:c r="I202" s="9"/>
      <x:c r="J202" s="9"/>
      <x:c r="K202" s="9"/>
      <x:c r="L202" s="9"/>
      <x:c r="M202" s="9"/>
      <x:c r="N202" s="12" t="str">
        <x:f>IF(A202="","",IF(COUNTIF($A$6:$A$205,A202)&gt;1,"记录ID重复",IF(COUNTIF('案件索引'!$A$6:$A$105,B202)=0,"案件ID未登记",IF(OR(C202="",G202="",H202="",I202="",K202=""),"补主体、代称、来源或标注人","格式已填；仍须人工复核"))))</x:f>
      </x:c>
    </x:row>
    <x:row r="203" ht="44" customHeight="1">
      <x:c r="A203" s="9"/>
      <x:c r="B203" s="9"/>
      <x:c r="C203" s="9"/>
      <x:c r="D203" s="9"/>
      <x:c r="E203" s="9"/>
      <x:c r="F203" s="9"/>
      <x:c r="G203" s="9"/>
      <x:c r="H203" s="9"/>
      <x:c r="I203" s="9"/>
      <x:c r="J203" s="9"/>
      <x:c r="K203" s="9"/>
      <x:c r="L203" s="9"/>
      <x:c r="M203" s="9"/>
      <x:c r="N203" s="12" t="str">
        <x:f>IF(A203="","",IF(COUNTIF($A$6:$A$205,A203)&gt;1,"记录ID重复",IF(COUNTIF('案件索引'!$A$6:$A$105,B203)=0,"案件ID未登记",IF(OR(C203="",G203="",H203="",I203="",K203=""),"补主体、代称、来源或标注人","格式已填；仍须人工复核"))))</x:f>
      </x:c>
    </x:row>
    <x:row r="204" ht="44" customHeight="1">
      <x:c r="A204" s="9"/>
      <x:c r="B204" s="9"/>
      <x:c r="C204" s="9"/>
      <x:c r="D204" s="9"/>
      <x:c r="E204" s="9"/>
      <x:c r="F204" s="9"/>
      <x:c r="G204" s="9"/>
      <x:c r="H204" s="9"/>
      <x:c r="I204" s="9"/>
      <x:c r="J204" s="9"/>
      <x:c r="K204" s="9"/>
      <x:c r="L204" s="9"/>
      <x:c r="M204" s="9"/>
      <x:c r="N204" s="12" t="str">
        <x:f>IF(A204="","",IF(COUNTIF($A$6:$A$205,A204)&gt;1,"记录ID重复",IF(COUNTIF('案件索引'!$A$6:$A$105,B204)=0,"案件ID未登记",IF(OR(C204="",G204="",H204="",I204="",K204=""),"补主体、代称、来源或标注人","格式已填；仍须人工复核"))))</x:f>
      </x:c>
    </x:row>
    <x:row r="205" ht="44" customHeight="1">
      <x:c r="A205" s="9"/>
      <x:c r="B205" s="9"/>
      <x:c r="C205" s="9"/>
      <x:c r="D205" s="9"/>
      <x:c r="E205" s="9"/>
      <x:c r="F205" s="9"/>
      <x:c r="G205" s="9"/>
      <x:c r="H205" s="9"/>
      <x:c r="I205" s="9"/>
      <x:c r="J205" s="9"/>
      <x:c r="K205" s="9"/>
      <x:c r="L205" s="9"/>
      <x:c r="M205" s="9"/>
      <x:c r="N205" s="12" t="str">
        <x:f>IF(A205="","",IF(COUNTIF($A$6:$A$205,A205)&gt;1,"记录ID重复",IF(COUNTIF('案件索引'!$A$6:$A$105,B205)=0,"案件ID未登记",IF(OR(C205="",G205="",H205="",I205="",K205=""),"补主体、代称、来源或标注人","格式已填；仍须人工复核"))))</x:f>
      </x:c>
    </x:row>
  </x:sheetData>
  <x:mergeCells>
    <x:mergeCell ref="A1:H1"/>
    <x:mergeCell ref="A2:L2"/>
    <x:mergeCell ref="A3:L3"/>
  </x:mergeCells>
  <x:conditionalFormatting sqref="N6:N205">
    <x:cfRule type="containsText" dxfId="0" priority="1" operator="containsText" text="须"/>
  </x:conditionalFormatting>
  <x:dataValidations count="3">
    <x:dataValidation type="list" sqref="B6:B205">
      <x:formula1>'案件索引'!$A$6:$A$15</x:formula1>
    </x:dataValidation>
    <x:dataValidation type="list" sqref="E6:E205">
      <x:formula1>'标注选项'!$B$20:$B$23</x:formula1>
    </x:dataValidation>
    <x:dataValidation type="list" sqref="M6:M205">
      <x:formula1>'标注选项'!$B$83:$B$87</x:formula1>
    </x:dataValidation>
  </x:dataValidations>
  <x:pageMargins left="0.7" right="0.7" top="0.75" bottom="0.75" header="0.3" footer="0.3"/>
  <x:legacyDrawing xmlns:r="http://schemas.openxmlformats.org/officeDocument/2006/relationships" r:id="R8d9184c28ced48ec"/>
  <x:tableParts count="1">
    <x:tablePart xmlns:r="http://schemas.openxmlformats.org/officeDocument/2006/relationships" r:id="R21a71554e1bb41c7"/>
  </x:tableParts>
</x:worksheet>
</file>

<file path=xl/worksheets/sheet5.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22" hidden="0" customWidth="1"/>
    <x:col min="4" max="4" width="22" hidden="0" customWidth="1"/>
    <x:col min="5" max="5" width="38" hidden="0" customWidth="1"/>
    <x:col min="6" max="6" width="58" hidden="0" customWidth="1"/>
    <x:col min="7" max="7" width="22" hidden="0" customWidth="1"/>
    <x:col min="8" max="8" width="22" hidden="0" customWidth="1"/>
    <x:col min="9" max="9" width="38" hidden="0" customWidth="1"/>
    <x:col min="10" max="10" width="38" hidden="0" customWidth="1"/>
    <x:col min="11" max="11" width="22" hidden="0" customWidth="1"/>
    <x:col min="12" max="12" width="38" hidden="0" customWidth="1"/>
    <x:col min="13" max="13" width="38" hidden="0" customWidth="1"/>
    <x:col min="14" max="14" width="38" hidden="0" customWidth="1"/>
    <x:col min="15" max="15" width="38" hidden="0" customWidth="1"/>
    <x:col min="16" max="16" width="22" hidden="0" customWidth="1"/>
    <x:col min="17" max="17" width="22" hidden="0" customWidth="1"/>
    <x:col min="18" max="18" width="22" hidden="0" customWidth="1"/>
    <x:col min="19" max="19" width="58" hidden="0" customWidth="1"/>
    <x:col min="20" max="20" width="38" hidden="0" customWidth="1"/>
    <x:col min="21" max="21" width="22" hidden="0" customWidth="1"/>
    <x:col min="22" max="22" width="22" hidden="0" customWidth="1"/>
    <x:col min="23" max="23" width="40" hidden="0" customWidth="1"/>
  </x:cols>
  <x:sheetData>
    <x:row r="1" ht="38" customHeight="1">
      <x:c r="A1" s="5" t="str">
        <x:v>事实标注</x:v>
      </x:c>
      <x:c r="B1" s="5"/>
      <x:c r="C1" s="5"/>
      <x:c r="D1" s="5"/>
      <x:c r="E1" s="5"/>
      <x:c r="F1" s="5"/>
      <x:c r="G1" s="5"/>
      <x:c r="H1" s="5"/>
      <x:c r="I1" s="3"/>
      <x:c r="J1" s="3"/>
      <x:c r="K1" s="3"/>
      <x:c r="L1" s="3"/>
      <x:c r="M1" s="3"/>
      <x:c r="N1" s="3"/>
      <x:c r="O1" s="3"/>
      <x:c r="P1" s="3"/>
      <x:c r="Q1" s="3"/>
      <x:c r="R1" s="3"/>
      <x:c r="S1" s="3"/>
      <x:c r="T1" s="3"/>
      <x:c r="U1" s="3"/>
      <x:c r="V1" s="3"/>
      <x:c r="W1" s="3"/>
    </x:row>
    <x:row r="2" ht="36" customHeight="1">
      <x:c r="A2" s="6" t="str">
        <x:v>一行一项可核对命题；各标注员独立记录。证据被提及与证据实际提供分别判断。</x:v>
      </x:c>
      <x:c r="B2" s="6"/>
      <x:c r="C2" s="6"/>
      <x:c r="D2" s="6"/>
      <x:c r="E2" s="6"/>
      <x:c r="F2" s="6"/>
      <x:c r="G2" s="6"/>
      <x:c r="H2" s="6"/>
      <x:c r="I2" s="6"/>
      <x:c r="J2" s="6"/>
      <x:c r="K2" s="6"/>
      <x:c r="L2" s="6"/>
      <x:c r="M2" s="6"/>
      <x:c r="N2" s="6"/>
      <x:c r="O2" s="6"/>
      <x:c r="P2" s="6"/>
      <x:c r="Q2" s="6"/>
      <x:c r="R2" s="6"/>
      <x:c r="S2" s="6"/>
      <x:c r="T2" s="6"/>
      <x:c r="U2" s="6"/>
      <x:c r="V2" s="6"/>
      <x:c r="W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c r="P3" s="7"/>
      <x:c r="Q3" s="7"/>
      <x:c r="R3" s="7"/>
      <x:c r="S3" s="7"/>
      <x:c r="T3" s="7"/>
      <x:c r="U3" s="7"/>
      <x:c r="V3" s="7"/>
      <x:c r="W3" s="7"/>
    </x:row>
    <x:row r="4" ht="44" customHeight="1">
      <x:c r="A4" s="3"/>
      <x:c r="B4" s="3"/>
      <x:c r="C4" s="3"/>
      <x:c r="D4" s="3"/>
      <x:c r="E4" s="3"/>
      <x:c r="F4" s="3"/>
      <x:c r="G4" s="3"/>
      <x:c r="H4" s="3"/>
      <x:c r="I4" s="3"/>
      <x:c r="J4" s="3"/>
      <x:c r="K4" s="3"/>
      <x:c r="L4" s="3"/>
      <x:c r="M4" s="3"/>
      <x:c r="N4" s="3"/>
      <x:c r="O4" s="3"/>
      <x:c r="P4" s="3"/>
      <x:c r="Q4" s="3"/>
      <x:c r="R4" s="3"/>
      <x:c r="S4" s="3"/>
      <x:c r="T4" s="3"/>
      <x:c r="U4" s="3"/>
      <x:c r="V4" s="3"/>
      <x:c r="W4" s="3"/>
    </x:row>
    <x:row r="5" ht="48" customHeight="1">
      <x:c r="A5" s="10" t="str">
        <x:v>标注记录ID</x:v>
      </x:c>
      <x:c r="B5" s="10" t="str">
        <x:v>案件ID</x:v>
      </x:c>
      <x:c r="C5" s="10" t="str">
        <x:v>事实组ID</x:v>
      </x:c>
      <x:c r="D5" s="10" t="str">
        <x:v>来源材料ID</x:v>
      </x:c>
      <x:c r="E5" s="10" t="str">
        <x:v>来源锚点</x:v>
      </x:c>
      <x:c r="F5" s="10" t="str">
        <x:v>原文片段</x:v>
      </x:c>
      <x:c r="G5" s="10" t="str">
        <x:v>事实类型</x:v>
      </x:c>
      <x:c r="H5" s="10" t="str">
        <x:v>主体ID</x:v>
      </x:c>
      <x:c r="I5" s="10" t="str">
        <x:v>事实命题</x:v>
      </x:c>
      <x:c r="J5" s="10" t="str">
        <x:v>陈述主体或裁判机构</x:v>
      </x:c>
      <x:c r="K5" s="10" t="str">
        <x:v>事实状态</x:v>
      </x:c>
      <x:c r="L5" s="10" t="str">
        <x:v>程序阶段</x:v>
      </x:c>
      <x:c r="M5" s="10" t="str">
        <x:v>时间原值及规范值</x:v>
      </x:c>
      <x:c r="N5" s="10" t="str">
        <x:v>金额币种及口径</x:v>
      </x:c>
      <x:c r="O5" s="10" t="str">
        <x:v>证据可得性</x:v>
      </x:c>
      <x:c r="P5" s="10" t="str">
        <x:v>关联证据或命题ID</x:v>
      </x:c>
      <x:c r="Q5" s="10" t="str">
        <x:v>争议或冲突ID</x:v>
      </x:c>
      <x:c r="R5" s="10" t="str">
        <x:v>任务必要性</x:v>
      </x:c>
      <x:c r="S5" s="10" t="str">
        <x:v>条件或判断理由</x:v>
      </x:c>
      <x:c r="T5" s="10" t="str">
        <x:v>标注人</x:v>
      </x:c>
      <x:c r="U5" s="10" t="str">
        <x:v>批次</x:v>
      </x:c>
      <x:c r="V5" s="10" t="str">
        <x:v>复核状态</x:v>
      </x:c>
      <x:c r="W5" s="10" t="str">
        <x:v>质检提示</x:v>
      </x:c>
    </x:row>
    <x:row r="6" ht="44" customHeight="1">
      <x:c r="A6" s="9"/>
      <x:c r="B6" s="9"/>
      <x:c r="C6" s="9"/>
      <x:c r="D6" s="9"/>
      <x:c r="E6" s="9"/>
      <x:c r="F6" s="9"/>
      <x:c r="G6" s="9"/>
      <x:c r="H6" s="9"/>
      <x:c r="I6" s="9"/>
      <x:c r="J6" s="9"/>
      <x:c r="K6" s="9"/>
      <x:c r="L6" s="9"/>
      <x:c r="M6" s="9"/>
      <x:c r="N6" s="9"/>
      <x:c r="O6" s="9"/>
      <x:c r="P6" s="9"/>
      <x:c r="Q6" s="9"/>
      <x:c r="R6" s="9"/>
      <x:c r="S6" s="9"/>
      <x:c r="T6" s="9"/>
      <x:c r="U6" s="9"/>
      <x:c r="V6" s="9"/>
      <x:c r="W6" s="12" t="str">
        <x:f>IF(A6="","",IF(COUNTIF($A$6:$A$505,A6)&gt;1,"记录ID重复",IF(COUNTIF('案件索引'!$A$6:$A$105,B6)=0,"案件ID未登记",IF(OR(C6="",D6="",E6="",F6="",I6="",J6="",K6="",O6="",R6="",T6=""),"补命题、来源、立场、可得性或标注人",IF(AND(R6="条件必要",S6=""),"条件必要须写条件","格式已填；仍须人工复核")))))</x:f>
      </x:c>
    </x:row>
    <x:row r="7" ht="44" customHeight="1">
      <x:c r="A7" s="9"/>
      <x:c r="B7" s="9"/>
      <x:c r="C7" s="9"/>
      <x:c r="D7" s="9"/>
      <x:c r="E7" s="9"/>
      <x:c r="F7" s="9"/>
      <x:c r="G7" s="9"/>
      <x:c r="H7" s="9"/>
      <x:c r="I7" s="9"/>
      <x:c r="J7" s="9"/>
      <x:c r="K7" s="9"/>
      <x:c r="L7" s="9"/>
      <x:c r="M7" s="9"/>
      <x:c r="N7" s="9"/>
      <x:c r="O7" s="9"/>
      <x:c r="P7" s="9"/>
      <x:c r="Q7" s="9"/>
      <x:c r="R7" s="9"/>
      <x:c r="S7" s="9"/>
      <x:c r="T7" s="9"/>
      <x:c r="U7" s="9"/>
      <x:c r="V7" s="9"/>
      <x:c r="W7" s="12" t="str">
        <x:f>IF(A7="","",IF(COUNTIF($A$6:$A$505,A7)&gt;1,"记录ID重复",IF(COUNTIF('案件索引'!$A$6:$A$105,B7)=0,"案件ID未登记",IF(OR(C7="",D7="",E7="",F7="",I7="",J7="",K7="",O7="",R7="",T7=""),"补命题、来源、立场、可得性或标注人",IF(AND(R7="条件必要",S7=""),"条件必要须写条件","格式已填；仍须人工复核")))))</x:f>
      </x:c>
    </x:row>
    <x:row r="8" ht="44" customHeight="1">
      <x:c r="A8" s="9"/>
      <x:c r="B8" s="9"/>
      <x:c r="C8" s="9"/>
      <x:c r="D8" s="9"/>
      <x:c r="E8" s="9"/>
      <x:c r="F8" s="9"/>
      <x:c r="G8" s="9"/>
      <x:c r="H8" s="9"/>
      <x:c r="I8" s="9"/>
      <x:c r="J8" s="9"/>
      <x:c r="K8" s="9"/>
      <x:c r="L8" s="9"/>
      <x:c r="M8" s="9"/>
      <x:c r="N8" s="9"/>
      <x:c r="O8" s="9"/>
      <x:c r="P8" s="9"/>
      <x:c r="Q8" s="9"/>
      <x:c r="R8" s="9"/>
      <x:c r="S8" s="9"/>
      <x:c r="T8" s="9"/>
      <x:c r="U8" s="9"/>
      <x:c r="V8" s="9"/>
      <x:c r="W8" s="12" t="str">
        <x:f>IF(A8="","",IF(COUNTIF($A$6:$A$505,A8)&gt;1,"记录ID重复",IF(COUNTIF('案件索引'!$A$6:$A$105,B8)=0,"案件ID未登记",IF(OR(C8="",D8="",E8="",F8="",I8="",J8="",K8="",O8="",R8="",T8=""),"补命题、来源、立场、可得性或标注人",IF(AND(R8="条件必要",S8=""),"条件必要须写条件","格式已填；仍须人工复核")))))</x:f>
      </x:c>
    </x:row>
    <x:row r="9" ht="44" customHeight="1">
      <x:c r="A9" s="9"/>
      <x:c r="B9" s="9"/>
      <x:c r="C9" s="9"/>
      <x:c r="D9" s="9"/>
      <x:c r="E9" s="9"/>
      <x:c r="F9" s="9"/>
      <x:c r="G9" s="9"/>
      <x:c r="H9" s="9"/>
      <x:c r="I9" s="9"/>
      <x:c r="J9" s="9"/>
      <x:c r="K9" s="9"/>
      <x:c r="L9" s="9"/>
      <x:c r="M9" s="9"/>
      <x:c r="N9" s="9"/>
      <x:c r="O9" s="9"/>
      <x:c r="P9" s="9"/>
      <x:c r="Q9" s="9"/>
      <x:c r="R9" s="9"/>
      <x:c r="S9" s="9"/>
      <x:c r="T9" s="9"/>
      <x:c r="U9" s="9"/>
      <x:c r="V9" s="9"/>
      <x:c r="W9" s="12" t="str">
        <x:f>IF(A9="","",IF(COUNTIF($A$6:$A$505,A9)&gt;1,"记录ID重复",IF(COUNTIF('案件索引'!$A$6:$A$105,B9)=0,"案件ID未登记",IF(OR(C9="",D9="",E9="",F9="",I9="",J9="",K9="",O9="",R9="",T9=""),"补命题、来源、立场、可得性或标注人",IF(AND(R9="条件必要",S9=""),"条件必要须写条件","格式已填；仍须人工复核")))))</x:f>
      </x:c>
    </x:row>
    <x:row r="10" ht="44" customHeight="1">
      <x:c r="A10" s="9"/>
      <x:c r="B10" s="9"/>
      <x:c r="C10" s="9"/>
      <x:c r="D10" s="9"/>
      <x:c r="E10" s="9"/>
      <x:c r="F10" s="9"/>
      <x:c r="G10" s="9"/>
      <x:c r="H10" s="9"/>
      <x:c r="I10" s="9"/>
      <x:c r="J10" s="9"/>
      <x:c r="K10" s="9"/>
      <x:c r="L10" s="9"/>
      <x:c r="M10" s="9"/>
      <x:c r="N10" s="9"/>
      <x:c r="O10" s="9"/>
      <x:c r="P10" s="9"/>
      <x:c r="Q10" s="9"/>
      <x:c r="R10" s="9"/>
      <x:c r="S10" s="9"/>
      <x:c r="T10" s="9"/>
      <x:c r="U10" s="9"/>
      <x:c r="V10" s="9"/>
      <x:c r="W10" s="12" t="str">
        <x:f>IF(A10="","",IF(COUNTIF($A$6:$A$505,A10)&gt;1,"记录ID重复",IF(COUNTIF('案件索引'!$A$6:$A$105,B10)=0,"案件ID未登记",IF(OR(C10="",D10="",E10="",F10="",I10="",J10="",K10="",O10="",R10="",T10=""),"补命题、来源、立场、可得性或标注人",IF(AND(R10="条件必要",S10=""),"条件必要须写条件","格式已填；仍须人工复核")))))</x:f>
      </x:c>
    </x:row>
    <x:row r="11" ht="44" customHeight="1">
      <x:c r="A11" s="9"/>
      <x:c r="B11" s="9"/>
      <x:c r="C11" s="9"/>
      <x:c r="D11" s="9"/>
      <x:c r="E11" s="9"/>
      <x:c r="F11" s="9"/>
      <x:c r="G11" s="9"/>
      <x:c r="H11" s="9"/>
      <x:c r="I11" s="9"/>
      <x:c r="J11" s="9"/>
      <x:c r="K11" s="9"/>
      <x:c r="L11" s="9"/>
      <x:c r="M11" s="9"/>
      <x:c r="N11" s="9"/>
      <x:c r="O11" s="9"/>
      <x:c r="P11" s="9"/>
      <x:c r="Q11" s="9"/>
      <x:c r="R11" s="9"/>
      <x:c r="S11" s="9"/>
      <x:c r="T11" s="9"/>
      <x:c r="U11" s="9"/>
      <x:c r="V11" s="9"/>
      <x:c r="W11" s="12" t="str">
        <x:f>IF(A11="","",IF(COUNTIF($A$6:$A$505,A11)&gt;1,"记录ID重复",IF(COUNTIF('案件索引'!$A$6:$A$105,B11)=0,"案件ID未登记",IF(OR(C11="",D11="",E11="",F11="",I11="",J11="",K11="",O11="",R11="",T11=""),"补命题、来源、立场、可得性或标注人",IF(AND(R11="条件必要",S11=""),"条件必要须写条件","格式已填；仍须人工复核")))))</x:f>
      </x:c>
    </x:row>
    <x:row r="12" ht="44" customHeight="1">
      <x:c r="A12" s="9"/>
      <x:c r="B12" s="9"/>
      <x:c r="C12" s="9"/>
      <x:c r="D12" s="9"/>
      <x:c r="E12" s="9"/>
      <x:c r="F12" s="9"/>
      <x:c r="G12" s="9"/>
      <x:c r="H12" s="9"/>
      <x:c r="I12" s="9"/>
      <x:c r="J12" s="9"/>
      <x:c r="K12" s="9"/>
      <x:c r="L12" s="9"/>
      <x:c r="M12" s="9"/>
      <x:c r="N12" s="9"/>
      <x:c r="O12" s="9"/>
      <x:c r="P12" s="9"/>
      <x:c r="Q12" s="9"/>
      <x:c r="R12" s="9"/>
      <x:c r="S12" s="9"/>
      <x:c r="T12" s="9"/>
      <x:c r="U12" s="9"/>
      <x:c r="V12" s="9"/>
      <x:c r="W12" s="12" t="str">
        <x:f>IF(A12="","",IF(COUNTIF($A$6:$A$505,A12)&gt;1,"记录ID重复",IF(COUNTIF('案件索引'!$A$6:$A$105,B12)=0,"案件ID未登记",IF(OR(C12="",D12="",E12="",F12="",I12="",J12="",K12="",O12="",R12="",T12=""),"补命题、来源、立场、可得性或标注人",IF(AND(R12="条件必要",S12=""),"条件必要须写条件","格式已填；仍须人工复核")))))</x:f>
      </x:c>
    </x:row>
    <x:row r="13" ht="44" customHeight="1">
      <x:c r="A13" s="9"/>
      <x:c r="B13" s="9"/>
      <x:c r="C13" s="9"/>
      <x:c r="D13" s="9"/>
      <x:c r="E13" s="9"/>
      <x:c r="F13" s="9"/>
      <x:c r="G13" s="9"/>
      <x:c r="H13" s="9"/>
      <x:c r="I13" s="9"/>
      <x:c r="J13" s="9"/>
      <x:c r="K13" s="9"/>
      <x:c r="L13" s="9"/>
      <x:c r="M13" s="9"/>
      <x:c r="N13" s="9"/>
      <x:c r="O13" s="9"/>
      <x:c r="P13" s="9"/>
      <x:c r="Q13" s="9"/>
      <x:c r="R13" s="9"/>
      <x:c r="S13" s="9"/>
      <x:c r="T13" s="9"/>
      <x:c r="U13" s="9"/>
      <x:c r="V13" s="9"/>
      <x:c r="W13" s="12" t="str">
        <x:f>IF(A13="","",IF(COUNTIF($A$6:$A$505,A13)&gt;1,"记录ID重复",IF(COUNTIF('案件索引'!$A$6:$A$105,B13)=0,"案件ID未登记",IF(OR(C13="",D13="",E13="",F13="",I13="",J13="",K13="",O13="",R13="",T13=""),"补命题、来源、立场、可得性或标注人",IF(AND(R13="条件必要",S13=""),"条件必要须写条件","格式已填；仍须人工复核")))))</x:f>
      </x:c>
    </x:row>
    <x:row r="14" ht="44" customHeight="1">
      <x:c r="A14" s="9"/>
      <x:c r="B14" s="9"/>
      <x:c r="C14" s="9"/>
      <x:c r="D14" s="9"/>
      <x:c r="E14" s="9"/>
      <x:c r="F14" s="9"/>
      <x:c r="G14" s="9"/>
      <x:c r="H14" s="9"/>
      <x:c r="I14" s="9"/>
      <x:c r="J14" s="9"/>
      <x:c r="K14" s="9"/>
      <x:c r="L14" s="9"/>
      <x:c r="M14" s="9"/>
      <x:c r="N14" s="9"/>
      <x:c r="O14" s="9"/>
      <x:c r="P14" s="9"/>
      <x:c r="Q14" s="9"/>
      <x:c r="R14" s="9"/>
      <x:c r="S14" s="9"/>
      <x:c r="T14" s="9"/>
      <x:c r="U14" s="9"/>
      <x:c r="V14" s="9"/>
      <x:c r="W14" s="12" t="str">
        <x:f>IF(A14="","",IF(COUNTIF($A$6:$A$505,A14)&gt;1,"记录ID重复",IF(COUNTIF('案件索引'!$A$6:$A$105,B14)=0,"案件ID未登记",IF(OR(C14="",D14="",E14="",F14="",I14="",J14="",K14="",O14="",R14="",T14=""),"补命题、来源、立场、可得性或标注人",IF(AND(R14="条件必要",S14=""),"条件必要须写条件","格式已填；仍须人工复核")))))</x:f>
      </x:c>
    </x:row>
    <x:row r="15" ht="44" customHeight="1">
      <x:c r="A15" s="9"/>
      <x:c r="B15" s="9"/>
      <x:c r="C15" s="9"/>
      <x:c r="D15" s="9"/>
      <x:c r="E15" s="9"/>
      <x:c r="F15" s="9"/>
      <x:c r="G15" s="9"/>
      <x:c r="H15" s="9"/>
      <x:c r="I15" s="9"/>
      <x:c r="J15" s="9"/>
      <x:c r="K15" s="9"/>
      <x:c r="L15" s="9"/>
      <x:c r="M15" s="9"/>
      <x:c r="N15" s="9"/>
      <x:c r="O15" s="9"/>
      <x:c r="P15" s="9"/>
      <x:c r="Q15" s="9"/>
      <x:c r="R15" s="9"/>
      <x:c r="S15" s="9"/>
      <x:c r="T15" s="9"/>
      <x:c r="U15" s="9"/>
      <x:c r="V15" s="9"/>
      <x:c r="W15" s="12" t="str">
        <x:f>IF(A15="","",IF(COUNTIF($A$6:$A$505,A15)&gt;1,"记录ID重复",IF(COUNTIF('案件索引'!$A$6:$A$105,B15)=0,"案件ID未登记",IF(OR(C15="",D15="",E15="",F15="",I15="",J15="",K15="",O15="",R15="",T15=""),"补命题、来源、立场、可得性或标注人",IF(AND(R15="条件必要",S15=""),"条件必要须写条件","格式已填；仍须人工复核")))))</x:f>
      </x:c>
    </x:row>
    <x:row r="16" ht="44" customHeight="1">
      <x:c r="A16" s="9"/>
      <x:c r="B16" s="9"/>
      <x:c r="C16" s="9"/>
      <x:c r="D16" s="9"/>
      <x:c r="E16" s="9"/>
      <x:c r="F16" s="9"/>
      <x:c r="G16" s="9"/>
      <x:c r="H16" s="9"/>
      <x:c r="I16" s="9"/>
      <x:c r="J16" s="9"/>
      <x:c r="K16" s="9"/>
      <x:c r="L16" s="9"/>
      <x:c r="M16" s="9"/>
      <x:c r="N16" s="9"/>
      <x:c r="O16" s="9"/>
      <x:c r="P16" s="9"/>
      <x:c r="Q16" s="9"/>
      <x:c r="R16" s="9"/>
      <x:c r="S16" s="9"/>
      <x:c r="T16" s="9"/>
      <x:c r="U16" s="9"/>
      <x:c r="V16" s="9"/>
      <x:c r="W16" s="12" t="str">
        <x:f>IF(A16="","",IF(COUNTIF($A$6:$A$505,A16)&gt;1,"记录ID重复",IF(COUNTIF('案件索引'!$A$6:$A$105,B16)=0,"案件ID未登记",IF(OR(C16="",D16="",E16="",F16="",I16="",J16="",K16="",O16="",R16="",T16=""),"补命题、来源、立场、可得性或标注人",IF(AND(R16="条件必要",S16=""),"条件必要须写条件","格式已填；仍须人工复核")))))</x:f>
      </x:c>
    </x:row>
    <x:row r="17" ht="44" customHeight="1">
      <x:c r="A17" s="9"/>
      <x:c r="B17" s="9"/>
      <x:c r="C17" s="9"/>
      <x:c r="D17" s="9"/>
      <x:c r="E17" s="9"/>
      <x:c r="F17" s="9"/>
      <x:c r="G17" s="9"/>
      <x:c r="H17" s="9"/>
      <x:c r="I17" s="9"/>
      <x:c r="J17" s="9"/>
      <x:c r="K17" s="9"/>
      <x:c r="L17" s="9"/>
      <x:c r="M17" s="9"/>
      <x:c r="N17" s="9"/>
      <x:c r="O17" s="9"/>
      <x:c r="P17" s="9"/>
      <x:c r="Q17" s="9"/>
      <x:c r="R17" s="9"/>
      <x:c r="S17" s="9"/>
      <x:c r="T17" s="9"/>
      <x:c r="U17" s="9"/>
      <x:c r="V17" s="9"/>
      <x:c r="W17" s="12" t="str">
        <x:f>IF(A17="","",IF(COUNTIF($A$6:$A$505,A17)&gt;1,"记录ID重复",IF(COUNTIF('案件索引'!$A$6:$A$105,B17)=0,"案件ID未登记",IF(OR(C17="",D17="",E17="",F17="",I17="",J17="",K17="",O17="",R17="",T17=""),"补命题、来源、立场、可得性或标注人",IF(AND(R17="条件必要",S17=""),"条件必要须写条件","格式已填；仍须人工复核")))))</x:f>
      </x:c>
    </x:row>
    <x:row r="18" ht="44" customHeight="1">
      <x:c r="A18" s="9"/>
      <x:c r="B18" s="9"/>
      <x:c r="C18" s="9"/>
      <x:c r="D18" s="9"/>
      <x:c r="E18" s="9"/>
      <x:c r="F18" s="9"/>
      <x:c r="G18" s="9"/>
      <x:c r="H18" s="9"/>
      <x:c r="I18" s="9"/>
      <x:c r="J18" s="9"/>
      <x:c r="K18" s="9"/>
      <x:c r="L18" s="9"/>
      <x:c r="M18" s="9"/>
      <x:c r="N18" s="9"/>
      <x:c r="O18" s="9"/>
      <x:c r="P18" s="9"/>
      <x:c r="Q18" s="9"/>
      <x:c r="R18" s="9"/>
      <x:c r="S18" s="9"/>
      <x:c r="T18" s="9"/>
      <x:c r="U18" s="9"/>
      <x:c r="V18" s="9"/>
      <x:c r="W18" s="12" t="str">
        <x:f>IF(A18="","",IF(COUNTIF($A$6:$A$505,A18)&gt;1,"记录ID重复",IF(COUNTIF('案件索引'!$A$6:$A$105,B18)=0,"案件ID未登记",IF(OR(C18="",D18="",E18="",F18="",I18="",J18="",K18="",O18="",R18="",T18=""),"补命题、来源、立场、可得性或标注人",IF(AND(R18="条件必要",S18=""),"条件必要须写条件","格式已填；仍须人工复核")))))</x:f>
      </x:c>
    </x:row>
    <x:row r="19" ht="44" customHeight="1">
      <x:c r="A19" s="9"/>
      <x:c r="B19" s="9"/>
      <x:c r="C19" s="9"/>
      <x:c r="D19" s="9"/>
      <x:c r="E19" s="9"/>
      <x:c r="F19" s="9"/>
      <x:c r="G19" s="9"/>
      <x:c r="H19" s="9"/>
      <x:c r="I19" s="9"/>
      <x:c r="J19" s="9"/>
      <x:c r="K19" s="9"/>
      <x:c r="L19" s="9"/>
      <x:c r="M19" s="9"/>
      <x:c r="N19" s="9"/>
      <x:c r="O19" s="9"/>
      <x:c r="P19" s="9"/>
      <x:c r="Q19" s="9"/>
      <x:c r="R19" s="9"/>
      <x:c r="S19" s="9"/>
      <x:c r="T19" s="9"/>
      <x:c r="U19" s="9"/>
      <x:c r="V19" s="9"/>
      <x:c r="W19" s="12" t="str">
        <x:f>IF(A19="","",IF(COUNTIF($A$6:$A$505,A19)&gt;1,"记录ID重复",IF(COUNTIF('案件索引'!$A$6:$A$105,B19)=0,"案件ID未登记",IF(OR(C19="",D19="",E19="",F19="",I19="",J19="",K19="",O19="",R19="",T19=""),"补命题、来源、立场、可得性或标注人",IF(AND(R19="条件必要",S19=""),"条件必要须写条件","格式已填；仍须人工复核")))))</x:f>
      </x:c>
    </x:row>
    <x:row r="20" ht="44" customHeight="1">
      <x:c r="A20" s="9"/>
      <x:c r="B20" s="9"/>
      <x:c r="C20" s="9"/>
      <x:c r="D20" s="9"/>
      <x:c r="E20" s="9"/>
      <x:c r="F20" s="9"/>
      <x:c r="G20" s="9"/>
      <x:c r="H20" s="9"/>
      <x:c r="I20" s="9"/>
      <x:c r="J20" s="9"/>
      <x:c r="K20" s="9"/>
      <x:c r="L20" s="9"/>
      <x:c r="M20" s="9"/>
      <x:c r="N20" s="9"/>
      <x:c r="O20" s="9"/>
      <x:c r="P20" s="9"/>
      <x:c r="Q20" s="9"/>
      <x:c r="R20" s="9"/>
      <x:c r="S20" s="9"/>
      <x:c r="T20" s="9"/>
      <x:c r="U20" s="9"/>
      <x:c r="V20" s="9"/>
      <x:c r="W20" s="12" t="str">
        <x:f>IF(A20="","",IF(COUNTIF($A$6:$A$505,A20)&gt;1,"记录ID重复",IF(COUNTIF('案件索引'!$A$6:$A$105,B20)=0,"案件ID未登记",IF(OR(C20="",D20="",E20="",F20="",I20="",J20="",K20="",O20="",R20="",T20=""),"补命题、来源、立场、可得性或标注人",IF(AND(R20="条件必要",S20=""),"条件必要须写条件","格式已填；仍须人工复核")))))</x:f>
      </x:c>
    </x:row>
    <x:row r="21" ht="44" customHeight="1">
      <x:c r="A21" s="9"/>
      <x:c r="B21" s="9"/>
      <x:c r="C21" s="9"/>
      <x:c r="D21" s="9"/>
      <x:c r="E21" s="9"/>
      <x:c r="F21" s="9"/>
      <x:c r="G21" s="9"/>
      <x:c r="H21" s="9"/>
      <x:c r="I21" s="9"/>
      <x:c r="J21" s="9"/>
      <x:c r="K21" s="9"/>
      <x:c r="L21" s="9"/>
      <x:c r="M21" s="9"/>
      <x:c r="N21" s="9"/>
      <x:c r="O21" s="9"/>
      <x:c r="P21" s="9"/>
      <x:c r="Q21" s="9"/>
      <x:c r="R21" s="9"/>
      <x:c r="S21" s="9"/>
      <x:c r="T21" s="9"/>
      <x:c r="U21" s="9"/>
      <x:c r="V21" s="9"/>
      <x:c r="W21" s="12" t="str">
        <x:f>IF(A21="","",IF(COUNTIF($A$6:$A$505,A21)&gt;1,"记录ID重复",IF(COUNTIF('案件索引'!$A$6:$A$105,B21)=0,"案件ID未登记",IF(OR(C21="",D21="",E21="",F21="",I21="",J21="",K21="",O21="",R21="",T21=""),"补命题、来源、立场、可得性或标注人",IF(AND(R21="条件必要",S21=""),"条件必要须写条件","格式已填；仍须人工复核")))))</x:f>
      </x:c>
    </x:row>
    <x:row r="22" ht="44" customHeight="1">
      <x:c r="A22" s="9"/>
      <x:c r="B22" s="9"/>
      <x:c r="C22" s="9"/>
      <x:c r="D22" s="9"/>
      <x:c r="E22" s="9"/>
      <x:c r="F22" s="9"/>
      <x:c r="G22" s="9"/>
      <x:c r="H22" s="9"/>
      <x:c r="I22" s="9"/>
      <x:c r="J22" s="9"/>
      <x:c r="K22" s="9"/>
      <x:c r="L22" s="9"/>
      <x:c r="M22" s="9"/>
      <x:c r="N22" s="9"/>
      <x:c r="O22" s="9"/>
      <x:c r="P22" s="9"/>
      <x:c r="Q22" s="9"/>
      <x:c r="R22" s="9"/>
      <x:c r="S22" s="9"/>
      <x:c r="T22" s="9"/>
      <x:c r="U22" s="9"/>
      <x:c r="V22" s="9"/>
      <x:c r="W22" s="12" t="str">
        <x:f>IF(A22="","",IF(COUNTIF($A$6:$A$505,A22)&gt;1,"记录ID重复",IF(COUNTIF('案件索引'!$A$6:$A$105,B22)=0,"案件ID未登记",IF(OR(C22="",D22="",E22="",F22="",I22="",J22="",K22="",O22="",R22="",T22=""),"补命题、来源、立场、可得性或标注人",IF(AND(R22="条件必要",S22=""),"条件必要须写条件","格式已填；仍须人工复核")))))</x:f>
      </x:c>
    </x:row>
    <x:row r="23" ht="44" customHeight="1">
      <x:c r="A23" s="9"/>
      <x:c r="B23" s="9"/>
      <x:c r="C23" s="9"/>
      <x:c r="D23" s="9"/>
      <x:c r="E23" s="9"/>
      <x:c r="F23" s="9"/>
      <x:c r="G23" s="9"/>
      <x:c r="H23" s="9"/>
      <x:c r="I23" s="9"/>
      <x:c r="J23" s="9"/>
      <x:c r="K23" s="9"/>
      <x:c r="L23" s="9"/>
      <x:c r="M23" s="9"/>
      <x:c r="N23" s="9"/>
      <x:c r="O23" s="9"/>
      <x:c r="P23" s="9"/>
      <x:c r="Q23" s="9"/>
      <x:c r="R23" s="9"/>
      <x:c r="S23" s="9"/>
      <x:c r="T23" s="9"/>
      <x:c r="U23" s="9"/>
      <x:c r="V23" s="9"/>
      <x:c r="W23" s="12" t="str">
        <x:f>IF(A23="","",IF(COUNTIF($A$6:$A$505,A23)&gt;1,"记录ID重复",IF(COUNTIF('案件索引'!$A$6:$A$105,B23)=0,"案件ID未登记",IF(OR(C23="",D23="",E23="",F23="",I23="",J23="",K23="",O23="",R23="",T23=""),"补命题、来源、立场、可得性或标注人",IF(AND(R23="条件必要",S23=""),"条件必要须写条件","格式已填；仍须人工复核")))))</x:f>
      </x:c>
    </x:row>
    <x:row r="24" ht="44" customHeight="1">
      <x:c r="A24" s="9"/>
      <x:c r="B24" s="9"/>
      <x:c r="C24" s="9"/>
      <x:c r="D24" s="9"/>
      <x:c r="E24" s="9"/>
      <x:c r="F24" s="9"/>
      <x:c r="G24" s="9"/>
      <x:c r="H24" s="9"/>
      <x:c r="I24" s="9"/>
      <x:c r="J24" s="9"/>
      <x:c r="K24" s="9"/>
      <x:c r="L24" s="9"/>
      <x:c r="M24" s="9"/>
      <x:c r="N24" s="9"/>
      <x:c r="O24" s="9"/>
      <x:c r="P24" s="9"/>
      <x:c r="Q24" s="9"/>
      <x:c r="R24" s="9"/>
      <x:c r="S24" s="9"/>
      <x:c r="T24" s="9"/>
      <x:c r="U24" s="9"/>
      <x:c r="V24" s="9"/>
      <x:c r="W24" s="12" t="str">
        <x:f>IF(A24="","",IF(COUNTIF($A$6:$A$505,A24)&gt;1,"记录ID重复",IF(COUNTIF('案件索引'!$A$6:$A$105,B24)=0,"案件ID未登记",IF(OR(C24="",D24="",E24="",F24="",I24="",J24="",K24="",O24="",R24="",T24=""),"补命题、来源、立场、可得性或标注人",IF(AND(R24="条件必要",S24=""),"条件必要须写条件","格式已填；仍须人工复核")))))</x:f>
      </x:c>
    </x:row>
    <x:row r="25" ht="44" customHeight="1">
      <x:c r="A25" s="9"/>
      <x:c r="B25" s="9"/>
      <x:c r="C25" s="9"/>
      <x:c r="D25" s="9"/>
      <x:c r="E25" s="9"/>
      <x:c r="F25" s="9"/>
      <x:c r="G25" s="9"/>
      <x:c r="H25" s="9"/>
      <x:c r="I25" s="9"/>
      <x:c r="J25" s="9"/>
      <x:c r="K25" s="9"/>
      <x:c r="L25" s="9"/>
      <x:c r="M25" s="9"/>
      <x:c r="N25" s="9"/>
      <x:c r="O25" s="9"/>
      <x:c r="P25" s="9"/>
      <x:c r="Q25" s="9"/>
      <x:c r="R25" s="9"/>
      <x:c r="S25" s="9"/>
      <x:c r="T25" s="9"/>
      <x:c r="U25" s="9"/>
      <x:c r="V25" s="9"/>
      <x:c r="W25" s="12" t="str">
        <x:f>IF(A25="","",IF(COUNTIF($A$6:$A$505,A25)&gt;1,"记录ID重复",IF(COUNTIF('案件索引'!$A$6:$A$105,B25)=0,"案件ID未登记",IF(OR(C25="",D25="",E25="",F25="",I25="",J25="",K25="",O25="",R25="",T25=""),"补命题、来源、立场、可得性或标注人",IF(AND(R25="条件必要",S25=""),"条件必要须写条件","格式已填；仍须人工复核")))))</x:f>
      </x:c>
    </x:row>
    <x:row r="26" ht="44" customHeight="1">
      <x:c r="A26" s="9"/>
      <x:c r="B26" s="9"/>
      <x:c r="C26" s="9"/>
      <x:c r="D26" s="9"/>
      <x:c r="E26" s="9"/>
      <x:c r="F26" s="9"/>
      <x:c r="G26" s="9"/>
      <x:c r="H26" s="9"/>
      <x:c r="I26" s="9"/>
      <x:c r="J26" s="9"/>
      <x:c r="K26" s="9"/>
      <x:c r="L26" s="9"/>
      <x:c r="M26" s="9"/>
      <x:c r="N26" s="9"/>
      <x:c r="O26" s="9"/>
      <x:c r="P26" s="9"/>
      <x:c r="Q26" s="9"/>
      <x:c r="R26" s="9"/>
      <x:c r="S26" s="9"/>
      <x:c r="T26" s="9"/>
      <x:c r="U26" s="9"/>
      <x:c r="V26" s="9"/>
      <x:c r="W26" s="12" t="str">
        <x:f>IF(A26="","",IF(COUNTIF($A$6:$A$505,A26)&gt;1,"记录ID重复",IF(COUNTIF('案件索引'!$A$6:$A$105,B26)=0,"案件ID未登记",IF(OR(C26="",D26="",E26="",F26="",I26="",J26="",K26="",O26="",R26="",T26=""),"补命题、来源、立场、可得性或标注人",IF(AND(R26="条件必要",S26=""),"条件必要须写条件","格式已填；仍须人工复核")))))</x:f>
      </x:c>
    </x:row>
    <x:row r="27" ht="44" customHeight="1">
      <x:c r="A27" s="9"/>
      <x:c r="B27" s="9"/>
      <x:c r="C27" s="9"/>
      <x:c r="D27" s="9"/>
      <x:c r="E27" s="9"/>
      <x:c r="F27" s="9"/>
      <x:c r="G27" s="9"/>
      <x:c r="H27" s="9"/>
      <x:c r="I27" s="9"/>
      <x:c r="J27" s="9"/>
      <x:c r="K27" s="9"/>
      <x:c r="L27" s="9"/>
      <x:c r="M27" s="9"/>
      <x:c r="N27" s="9"/>
      <x:c r="O27" s="9"/>
      <x:c r="P27" s="9"/>
      <x:c r="Q27" s="9"/>
      <x:c r="R27" s="9"/>
      <x:c r="S27" s="9"/>
      <x:c r="T27" s="9"/>
      <x:c r="U27" s="9"/>
      <x:c r="V27" s="9"/>
      <x:c r="W27" s="12" t="str">
        <x:f>IF(A27="","",IF(COUNTIF($A$6:$A$505,A27)&gt;1,"记录ID重复",IF(COUNTIF('案件索引'!$A$6:$A$105,B27)=0,"案件ID未登记",IF(OR(C27="",D27="",E27="",F27="",I27="",J27="",K27="",O27="",R27="",T27=""),"补命题、来源、立场、可得性或标注人",IF(AND(R27="条件必要",S27=""),"条件必要须写条件","格式已填；仍须人工复核")))))</x:f>
      </x:c>
    </x:row>
    <x:row r="28" ht="44" customHeight="1">
      <x:c r="A28" s="9"/>
      <x:c r="B28" s="9"/>
      <x:c r="C28" s="9"/>
      <x:c r="D28" s="9"/>
      <x:c r="E28" s="9"/>
      <x:c r="F28" s="9"/>
      <x:c r="G28" s="9"/>
      <x:c r="H28" s="9"/>
      <x:c r="I28" s="9"/>
      <x:c r="J28" s="9"/>
      <x:c r="K28" s="9"/>
      <x:c r="L28" s="9"/>
      <x:c r="M28" s="9"/>
      <x:c r="N28" s="9"/>
      <x:c r="O28" s="9"/>
      <x:c r="P28" s="9"/>
      <x:c r="Q28" s="9"/>
      <x:c r="R28" s="9"/>
      <x:c r="S28" s="9"/>
      <x:c r="T28" s="9"/>
      <x:c r="U28" s="9"/>
      <x:c r="V28" s="9"/>
      <x:c r="W28" s="12" t="str">
        <x:f>IF(A28="","",IF(COUNTIF($A$6:$A$505,A28)&gt;1,"记录ID重复",IF(COUNTIF('案件索引'!$A$6:$A$105,B28)=0,"案件ID未登记",IF(OR(C28="",D28="",E28="",F28="",I28="",J28="",K28="",O28="",R28="",T28=""),"补命题、来源、立场、可得性或标注人",IF(AND(R28="条件必要",S28=""),"条件必要须写条件","格式已填；仍须人工复核")))))</x:f>
      </x:c>
    </x:row>
    <x:row r="29" ht="44" customHeight="1">
      <x:c r="A29" s="9"/>
      <x:c r="B29" s="9"/>
      <x:c r="C29" s="9"/>
      <x:c r="D29" s="9"/>
      <x:c r="E29" s="9"/>
      <x:c r="F29" s="9"/>
      <x:c r="G29" s="9"/>
      <x:c r="H29" s="9"/>
      <x:c r="I29" s="9"/>
      <x:c r="J29" s="9"/>
      <x:c r="K29" s="9"/>
      <x:c r="L29" s="9"/>
      <x:c r="M29" s="9"/>
      <x:c r="N29" s="9"/>
      <x:c r="O29" s="9"/>
      <x:c r="P29" s="9"/>
      <x:c r="Q29" s="9"/>
      <x:c r="R29" s="9"/>
      <x:c r="S29" s="9"/>
      <x:c r="T29" s="9"/>
      <x:c r="U29" s="9"/>
      <x:c r="V29" s="9"/>
      <x:c r="W29" s="12" t="str">
        <x:f>IF(A29="","",IF(COUNTIF($A$6:$A$505,A29)&gt;1,"记录ID重复",IF(COUNTIF('案件索引'!$A$6:$A$105,B29)=0,"案件ID未登记",IF(OR(C29="",D29="",E29="",F29="",I29="",J29="",K29="",O29="",R29="",T29=""),"补命题、来源、立场、可得性或标注人",IF(AND(R29="条件必要",S29=""),"条件必要须写条件","格式已填；仍须人工复核")))))</x:f>
      </x:c>
    </x:row>
    <x:row r="30" ht="44" customHeight="1">
      <x:c r="A30" s="9"/>
      <x:c r="B30" s="9"/>
      <x:c r="C30" s="9"/>
      <x:c r="D30" s="9"/>
      <x:c r="E30" s="9"/>
      <x:c r="F30" s="9"/>
      <x:c r="G30" s="9"/>
      <x:c r="H30" s="9"/>
      <x:c r="I30" s="9"/>
      <x:c r="J30" s="9"/>
      <x:c r="K30" s="9"/>
      <x:c r="L30" s="9"/>
      <x:c r="M30" s="9"/>
      <x:c r="N30" s="9"/>
      <x:c r="O30" s="9"/>
      <x:c r="P30" s="9"/>
      <x:c r="Q30" s="9"/>
      <x:c r="R30" s="9"/>
      <x:c r="S30" s="9"/>
      <x:c r="T30" s="9"/>
      <x:c r="U30" s="9"/>
      <x:c r="V30" s="9"/>
      <x:c r="W30" s="12" t="str">
        <x:f>IF(A30="","",IF(COUNTIF($A$6:$A$505,A30)&gt;1,"记录ID重复",IF(COUNTIF('案件索引'!$A$6:$A$105,B30)=0,"案件ID未登记",IF(OR(C30="",D30="",E30="",F30="",I30="",J30="",K30="",O30="",R30="",T30=""),"补命题、来源、立场、可得性或标注人",IF(AND(R30="条件必要",S30=""),"条件必要须写条件","格式已填；仍须人工复核")))))</x:f>
      </x:c>
    </x:row>
    <x:row r="31" ht="44" customHeight="1">
      <x:c r="A31" s="9"/>
      <x:c r="B31" s="9"/>
      <x:c r="C31" s="9"/>
      <x:c r="D31" s="9"/>
      <x:c r="E31" s="9"/>
      <x:c r="F31" s="9"/>
      <x:c r="G31" s="9"/>
      <x:c r="H31" s="9"/>
      <x:c r="I31" s="9"/>
      <x:c r="J31" s="9"/>
      <x:c r="K31" s="9"/>
      <x:c r="L31" s="9"/>
      <x:c r="M31" s="9"/>
      <x:c r="N31" s="9"/>
      <x:c r="O31" s="9"/>
      <x:c r="P31" s="9"/>
      <x:c r="Q31" s="9"/>
      <x:c r="R31" s="9"/>
      <x:c r="S31" s="9"/>
      <x:c r="T31" s="9"/>
      <x:c r="U31" s="9"/>
      <x:c r="V31" s="9"/>
      <x:c r="W31" s="12" t="str">
        <x:f>IF(A31="","",IF(COUNTIF($A$6:$A$505,A31)&gt;1,"记录ID重复",IF(COUNTIF('案件索引'!$A$6:$A$105,B31)=0,"案件ID未登记",IF(OR(C31="",D31="",E31="",F31="",I31="",J31="",K31="",O31="",R31="",T31=""),"补命题、来源、立场、可得性或标注人",IF(AND(R31="条件必要",S31=""),"条件必要须写条件","格式已填；仍须人工复核")))))</x:f>
      </x:c>
    </x:row>
    <x:row r="32" ht="44" customHeight="1">
      <x:c r="A32" s="9"/>
      <x:c r="B32" s="9"/>
      <x:c r="C32" s="9"/>
      <x:c r="D32" s="9"/>
      <x:c r="E32" s="9"/>
      <x:c r="F32" s="9"/>
      <x:c r="G32" s="9"/>
      <x:c r="H32" s="9"/>
      <x:c r="I32" s="9"/>
      <x:c r="J32" s="9"/>
      <x:c r="K32" s="9"/>
      <x:c r="L32" s="9"/>
      <x:c r="M32" s="9"/>
      <x:c r="N32" s="9"/>
      <x:c r="O32" s="9"/>
      <x:c r="P32" s="9"/>
      <x:c r="Q32" s="9"/>
      <x:c r="R32" s="9"/>
      <x:c r="S32" s="9"/>
      <x:c r="T32" s="9"/>
      <x:c r="U32" s="9"/>
      <x:c r="V32" s="9"/>
      <x:c r="W32" s="12" t="str">
        <x:f>IF(A32="","",IF(COUNTIF($A$6:$A$505,A32)&gt;1,"记录ID重复",IF(COUNTIF('案件索引'!$A$6:$A$105,B32)=0,"案件ID未登记",IF(OR(C32="",D32="",E32="",F32="",I32="",J32="",K32="",O32="",R32="",T32=""),"补命题、来源、立场、可得性或标注人",IF(AND(R32="条件必要",S32=""),"条件必要须写条件","格式已填；仍须人工复核")))))</x:f>
      </x:c>
    </x:row>
    <x:row r="33" ht="44" customHeight="1">
      <x:c r="A33" s="9"/>
      <x:c r="B33" s="9"/>
      <x:c r="C33" s="9"/>
      <x:c r="D33" s="9"/>
      <x:c r="E33" s="9"/>
      <x:c r="F33" s="9"/>
      <x:c r="G33" s="9"/>
      <x:c r="H33" s="9"/>
      <x:c r="I33" s="9"/>
      <x:c r="J33" s="9"/>
      <x:c r="K33" s="9"/>
      <x:c r="L33" s="9"/>
      <x:c r="M33" s="9"/>
      <x:c r="N33" s="9"/>
      <x:c r="O33" s="9"/>
      <x:c r="P33" s="9"/>
      <x:c r="Q33" s="9"/>
      <x:c r="R33" s="9"/>
      <x:c r="S33" s="9"/>
      <x:c r="T33" s="9"/>
      <x:c r="U33" s="9"/>
      <x:c r="V33" s="9"/>
      <x:c r="W33" s="12" t="str">
        <x:f>IF(A33="","",IF(COUNTIF($A$6:$A$505,A33)&gt;1,"记录ID重复",IF(COUNTIF('案件索引'!$A$6:$A$105,B33)=0,"案件ID未登记",IF(OR(C33="",D33="",E33="",F33="",I33="",J33="",K33="",O33="",R33="",T33=""),"补命题、来源、立场、可得性或标注人",IF(AND(R33="条件必要",S33=""),"条件必要须写条件","格式已填；仍须人工复核")))))</x:f>
      </x:c>
    </x:row>
    <x:row r="34" ht="44" customHeight="1">
      <x:c r="A34" s="9"/>
      <x:c r="B34" s="9"/>
      <x:c r="C34" s="9"/>
      <x:c r="D34" s="9"/>
      <x:c r="E34" s="9"/>
      <x:c r="F34" s="9"/>
      <x:c r="G34" s="9"/>
      <x:c r="H34" s="9"/>
      <x:c r="I34" s="9"/>
      <x:c r="J34" s="9"/>
      <x:c r="K34" s="9"/>
      <x:c r="L34" s="9"/>
      <x:c r="M34" s="9"/>
      <x:c r="N34" s="9"/>
      <x:c r="O34" s="9"/>
      <x:c r="P34" s="9"/>
      <x:c r="Q34" s="9"/>
      <x:c r="R34" s="9"/>
      <x:c r="S34" s="9"/>
      <x:c r="T34" s="9"/>
      <x:c r="U34" s="9"/>
      <x:c r="V34" s="9"/>
      <x:c r="W34" s="12" t="str">
        <x:f>IF(A34="","",IF(COUNTIF($A$6:$A$505,A34)&gt;1,"记录ID重复",IF(COUNTIF('案件索引'!$A$6:$A$105,B34)=0,"案件ID未登记",IF(OR(C34="",D34="",E34="",F34="",I34="",J34="",K34="",O34="",R34="",T34=""),"补命题、来源、立场、可得性或标注人",IF(AND(R34="条件必要",S34=""),"条件必要须写条件","格式已填；仍须人工复核")))))</x:f>
      </x:c>
    </x:row>
    <x:row r="35" ht="44" customHeight="1">
      <x:c r="A35" s="9"/>
      <x:c r="B35" s="9"/>
      <x:c r="C35" s="9"/>
      <x:c r="D35" s="9"/>
      <x:c r="E35" s="9"/>
      <x:c r="F35" s="9"/>
      <x:c r="G35" s="9"/>
      <x:c r="H35" s="9"/>
      <x:c r="I35" s="9"/>
      <x:c r="J35" s="9"/>
      <x:c r="K35" s="9"/>
      <x:c r="L35" s="9"/>
      <x:c r="M35" s="9"/>
      <x:c r="N35" s="9"/>
      <x:c r="O35" s="9"/>
      <x:c r="P35" s="9"/>
      <x:c r="Q35" s="9"/>
      <x:c r="R35" s="9"/>
      <x:c r="S35" s="9"/>
      <x:c r="T35" s="9"/>
      <x:c r="U35" s="9"/>
      <x:c r="V35" s="9"/>
      <x:c r="W35" s="12" t="str">
        <x:f>IF(A35="","",IF(COUNTIF($A$6:$A$505,A35)&gt;1,"记录ID重复",IF(COUNTIF('案件索引'!$A$6:$A$105,B35)=0,"案件ID未登记",IF(OR(C35="",D35="",E35="",F35="",I35="",J35="",K35="",O35="",R35="",T35=""),"补命题、来源、立场、可得性或标注人",IF(AND(R35="条件必要",S35=""),"条件必要须写条件","格式已填；仍须人工复核")))))</x:f>
      </x:c>
    </x:row>
    <x:row r="36" ht="44" customHeight="1">
      <x:c r="A36" s="9"/>
      <x:c r="B36" s="9"/>
      <x:c r="C36" s="9"/>
      <x:c r="D36" s="9"/>
      <x:c r="E36" s="9"/>
      <x:c r="F36" s="9"/>
      <x:c r="G36" s="9"/>
      <x:c r="H36" s="9"/>
      <x:c r="I36" s="9"/>
      <x:c r="J36" s="9"/>
      <x:c r="K36" s="9"/>
      <x:c r="L36" s="9"/>
      <x:c r="M36" s="9"/>
      <x:c r="N36" s="9"/>
      <x:c r="O36" s="9"/>
      <x:c r="P36" s="9"/>
      <x:c r="Q36" s="9"/>
      <x:c r="R36" s="9"/>
      <x:c r="S36" s="9"/>
      <x:c r="T36" s="9"/>
      <x:c r="U36" s="9"/>
      <x:c r="V36" s="9"/>
      <x:c r="W36" s="12" t="str">
        <x:f>IF(A36="","",IF(COUNTIF($A$6:$A$505,A36)&gt;1,"记录ID重复",IF(COUNTIF('案件索引'!$A$6:$A$105,B36)=0,"案件ID未登记",IF(OR(C36="",D36="",E36="",F36="",I36="",J36="",K36="",O36="",R36="",T36=""),"补命题、来源、立场、可得性或标注人",IF(AND(R36="条件必要",S36=""),"条件必要须写条件","格式已填；仍须人工复核")))))</x:f>
      </x:c>
    </x:row>
    <x:row r="37" ht="44" customHeight="1">
      <x:c r="A37" s="9"/>
      <x:c r="B37" s="9"/>
      <x:c r="C37" s="9"/>
      <x:c r="D37" s="9"/>
      <x:c r="E37" s="9"/>
      <x:c r="F37" s="9"/>
      <x:c r="G37" s="9"/>
      <x:c r="H37" s="9"/>
      <x:c r="I37" s="9"/>
      <x:c r="J37" s="9"/>
      <x:c r="K37" s="9"/>
      <x:c r="L37" s="9"/>
      <x:c r="M37" s="9"/>
      <x:c r="N37" s="9"/>
      <x:c r="O37" s="9"/>
      <x:c r="P37" s="9"/>
      <x:c r="Q37" s="9"/>
      <x:c r="R37" s="9"/>
      <x:c r="S37" s="9"/>
      <x:c r="T37" s="9"/>
      <x:c r="U37" s="9"/>
      <x:c r="V37" s="9"/>
      <x:c r="W37" s="12" t="str">
        <x:f>IF(A37="","",IF(COUNTIF($A$6:$A$505,A37)&gt;1,"记录ID重复",IF(COUNTIF('案件索引'!$A$6:$A$105,B37)=0,"案件ID未登记",IF(OR(C37="",D37="",E37="",F37="",I37="",J37="",K37="",O37="",R37="",T37=""),"补命题、来源、立场、可得性或标注人",IF(AND(R37="条件必要",S37=""),"条件必要须写条件","格式已填；仍须人工复核")))))</x:f>
      </x:c>
    </x:row>
    <x:row r="38" ht="44" customHeight="1">
      <x:c r="A38" s="9"/>
      <x:c r="B38" s="9"/>
      <x:c r="C38" s="9"/>
      <x:c r="D38" s="9"/>
      <x:c r="E38" s="9"/>
      <x:c r="F38" s="9"/>
      <x:c r="G38" s="9"/>
      <x:c r="H38" s="9"/>
      <x:c r="I38" s="9"/>
      <x:c r="J38" s="9"/>
      <x:c r="K38" s="9"/>
      <x:c r="L38" s="9"/>
      <x:c r="M38" s="9"/>
      <x:c r="N38" s="9"/>
      <x:c r="O38" s="9"/>
      <x:c r="P38" s="9"/>
      <x:c r="Q38" s="9"/>
      <x:c r="R38" s="9"/>
      <x:c r="S38" s="9"/>
      <x:c r="T38" s="9"/>
      <x:c r="U38" s="9"/>
      <x:c r="V38" s="9"/>
      <x:c r="W38" s="12" t="str">
        <x:f>IF(A38="","",IF(COUNTIF($A$6:$A$505,A38)&gt;1,"记录ID重复",IF(COUNTIF('案件索引'!$A$6:$A$105,B38)=0,"案件ID未登记",IF(OR(C38="",D38="",E38="",F38="",I38="",J38="",K38="",O38="",R38="",T38=""),"补命题、来源、立场、可得性或标注人",IF(AND(R38="条件必要",S38=""),"条件必要须写条件","格式已填；仍须人工复核")))))</x:f>
      </x:c>
    </x:row>
    <x:row r="39" ht="44" customHeight="1">
      <x:c r="A39" s="9"/>
      <x:c r="B39" s="9"/>
      <x:c r="C39" s="9"/>
      <x:c r="D39" s="9"/>
      <x:c r="E39" s="9"/>
      <x:c r="F39" s="9"/>
      <x:c r="G39" s="9"/>
      <x:c r="H39" s="9"/>
      <x:c r="I39" s="9"/>
      <x:c r="J39" s="9"/>
      <x:c r="K39" s="9"/>
      <x:c r="L39" s="9"/>
      <x:c r="M39" s="9"/>
      <x:c r="N39" s="9"/>
      <x:c r="O39" s="9"/>
      <x:c r="P39" s="9"/>
      <x:c r="Q39" s="9"/>
      <x:c r="R39" s="9"/>
      <x:c r="S39" s="9"/>
      <x:c r="T39" s="9"/>
      <x:c r="U39" s="9"/>
      <x:c r="V39" s="9"/>
      <x:c r="W39" s="12" t="str">
        <x:f>IF(A39="","",IF(COUNTIF($A$6:$A$505,A39)&gt;1,"记录ID重复",IF(COUNTIF('案件索引'!$A$6:$A$105,B39)=0,"案件ID未登记",IF(OR(C39="",D39="",E39="",F39="",I39="",J39="",K39="",O39="",R39="",T39=""),"补命题、来源、立场、可得性或标注人",IF(AND(R39="条件必要",S39=""),"条件必要须写条件","格式已填；仍须人工复核")))))</x:f>
      </x:c>
    </x:row>
    <x:row r="40" ht="44" customHeight="1">
      <x:c r="A40" s="9"/>
      <x:c r="B40" s="9"/>
      <x:c r="C40" s="9"/>
      <x:c r="D40" s="9"/>
      <x:c r="E40" s="9"/>
      <x:c r="F40" s="9"/>
      <x:c r="G40" s="9"/>
      <x:c r="H40" s="9"/>
      <x:c r="I40" s="9"/>
      <x:c r="J40" s="9"/>
      <x:c r="K40" s="9"/>
      <x:c r="L40" s="9"/>
      <x:c r="M40" s="9"/>
      <x:c r="N40" s="9"/>
      <x:c r="O40" s="9"/>
      <x:c r="P40" s="9"/>
      <x:c r="Q40" s="9"/>
      <x:c r="R40" s="9"/>
      <x:c r="S40" s="9"/>
      <x:c r="T40" s="9"/>
      <x:c r="U40" s="9"/>
      <x:c r="V40" s="9"/>
      <x:c r="W40" s="12" t="str">
        <x:f>IF(A40="","",IF(COUNTIF($A$6:$A$505,A40)&gt;1,"记录ID重复",IF(COUNTIF('案件索引'!$A$6:$A$105,B40)=0,"案件ID未登记",IF(OR(C40="",D40="",E40="",F40="",I40="",J40="",K40="",O40="",R40="",T40=""),"补命题、来源、立场、可得性或标注人",IF(AND(R40="条件必要",S40=""),"条件必要须写条件","格式已填；仍须人工复核")))))</x:f>
      </x:c>
    </x:row>
    <x:row r="41" ht="44" customHeight="1">
      <x:c r="A41" s="9"/>
      <x:c r="B41" s="9"/>
      <x:c r="C41" s="9"/>
      <x:c r="D41" s="9"/>
      <x:c r="E41" s="9"/>
      <x:c r="F41" s="9"/>
      <x:c r="G41" s="9"/>
      <x:c r="H41" s="9"/>
      <x:c r="I41" s="9"/>
      <x:c r="J41" s="9"/>
      <x:c r="K41" s="9"/>
      <x:c r="L41" s="9"/>
      <x:c r="M41" s="9"/>
      <x:c r="N41" s="9"/>
      <x:c r="O41" s="9"/>
      <x:c r="P41" s="9"/>
      <x:c r="Q41" s="9"/>
      <x:c r="R41" s="9"/>
      <x:c r="S41" s="9"/>
      <x:c r="T41" s="9"/>
      <x:c r="U41" s="9"/>
      <x:c r="V41" s="9"/>
      <x:c r="W41" s="12" t="str">
        <x:f>IF(A41="","",IF(COUNTIF($A$6:$A$505,A41)&gt;1,"记录ID重复",IF(COUNTIF('案件索引'!$A$6:$A$105,B41)=0,"案件ID未登记",IF(OR(C41="",D41="",E41="",F41="",I41="",J41="",K41="",O41="",R41="",T41=""),"补命题、来源、立场、可得性或标注人",IF(AND(R41="条件必要",S41=""),"条件必要须写条件","格式已填；仍须人工复核")))))</x:f>
      </x:c>
    </x:row>
    <x:row r="42" ht="44" customHeight="1">
      <x:c r="A42" s="9"/>
      <x:c r="B42" s="9"/>
      <x:c r="C42" s="9"/>
      <x:c r="D42" s="9"/>
      <x:c r="E42" s="9"/>
      <x:c r="F42" s="9"/>
      <x:c r="G42" s="9"/>
      <x:c r="H42" s="9"/>
      <x:c r="I42" s="9"/>
      <x:c r="J42" s="9"/>
      <x:c r="K42" s="9"/>
      <x:c r="L42" s="9"/>
      <x:c r="M42" s="9"/>
      <x:c r="N42" s="9"/>
      <x:c r="O42" s="9"/>
      <x:c r="P42" s="9"/>
      <x:c r="Q42" s="9"/>
      <x:c r="R42" s="9"/>
      <x:c r="S42" s="9"/>
      <x:c r="T42" s="9"/>
      <x:c r="U42" s="9"/>
      <x:c r="V42" s="9"/>
      <x:c r="W42" s="12" t="str">
        <x:f>IF(A42="","",IF(COUNTIF($A$6:$A$505,A42)&gt;1,"记录ID重复",IF(COUNTIF('案件索引'!$A$6:$A$105,B42)=0,"案件ID未登记",IF(OR(C42="",D42="",E42="",F42="",I42="",J42="",K42="",O42="",R42="",T42=""),"补命题、来源、立场、可得性或标注人",IF(AND(R42="条件必要",S42=""),"条件必要须写条件","格式已填；仍须人工复核")))))</x:f>
      </x:c>
    </x:row>
    <x:row r="43" ht="44" customHeight="1">
      <x:c r="A43" s="9"/>
      <x:c r="B43" s="9"/>
      <x:c r="C43" s="9"/>
      <x:c r="D43" s="9"/>
      <x:c r="E43" s="9"/>
      <x:c r="F43" s="9"/>
      <x:c r="G43" s="9"/>
      <x:c r="H43" s="9"/>
      <x:c r="I43" s="9"/>
      <x:c r="J43" s="9"/>
      <x:c r="K43" s="9"/>
      <x:c r="L43" s="9"/>
      <x:c r="M43" s="9"/>
      <x:c r="N43" s="9"/>
      <x:c r="O43" s="9"/>
      <x:c r="P43" s="9"/>
      <x:c r="Q43" s="9"/>
      <x:c r="R43" s="9"/>
      <x:c r="S43" s="9"/>
      <x:c r="T43" s="9"/>
      <x:c r="U43" s="9"/>
      <x:c r="V43" s="9"/>
      <x:c r="W43" s="12" t="str">
        <x:f>IF(A43="","",IF(COUNTIF($A$6:$A$505,A43)&gt;1,"记录ID重复",IF(COUNTIF('案件索引'!$A$6:$A$105,B43)=0,"案件ID未登记",IF(OR(C43="",D43="",E43="",F43="",I43="",J43="",K43="",O43="",R43="",T43=""),"补命题、来源、立场、可得性或标注人",IF(AND(R43="条件必要",S43=""),"条件必要须写条件","格式已填；仍须人工复核")))))</x:f>
      </x:c>
    </x:row>
    <x:row r="44" ht="44" customHeight="1">
      <x:c r="A44" s="9"/>
      <x:c r="B44" s="9"/>
      <x:c r="C44" s="9"/>
      <x:c r="D44" s="9"/>
      <x:c r="E44" s="9"/>
      <x:c r="F44" s="9"/>
      <x:c r="G44" s="9"/>
      <x:c r="H44" s="9"/>
      <x:c r="I44" s="9"/>
      <x:c r="J44" s="9"/>
      <x:c r="K44" s="9"/>
      <x:c r="L44" s="9"/>
      <x:c r="M44" s="9"/>
      <x:c r="N44" s="9"/>
      <x:c r="O44" s="9"/>
      <x:c r="P44" s="9"/>
      <x:c r="Q44" s="9"/>
      <x:c r="R44" s="9"/>
      <x:c r="S44" s="9"/>
      <x:c r="T44" s="9"/>
      <x:c r="U44" s="9"/>
      <x:c r="V44" s="9"/>
      <x:c r="W44" s="12" t="str">
        <x:f>IF(A44="","",IF(COUNTIF($A$6:$A$505,A44)&gt;1,"记录ID重复",IF(COUNTIF('案件索引'!$A$6:$A$105,B44)=0,"案件ID未登记",IF(OR(C44="",D44="",E44="",F44="",I44="",J44="",K44="",O44="",R44="",T44=""),"补命题、来源、立场、可得性或标注人",IF(AND(R44="条件必要",S44=""),"条件必要须写条件","格式已填；仍须人工复核")))))</x:f>
      </x:c>
    </x:row>
    <x:row r="45" ht="44" customHeight="1">
      <x:c r="A45" s="9"/>
      <x:c r="B45" s="9"/>
      <x:c r="C45" s="9"/>
      <x:c r="D45" s="9"/>
      <x:c r="E45" s="9"/>
      <x:c r="F45" s="9"/>
      <x:c r="G45" s="9"/>
      <x:c r="H45" s="9"/>
      <x:c r="I45" s="9"/>
      <x:c r="J45" s="9"/>
      <x:c r="K45" s="9"/>
      <x:c r="L45" s="9"/>
      <x:c r="M45" s="9"/>
      <x:c r="N45" s="9"/>
      <x:c r="O45" s="9"/>
      <x:c r="P45" s="9"/>
      <x:c r="Q45" s="9"/>
      <x:c r="R45" s="9"/>
      <x:c r="S45" s="9"/>
      <x:c r="T45" s="9"/>
      <x:c r="U45" s="9"/>
      <x:c r="V45" s="9"/>
      <x:c r="W45" s="12" t="str">
        <x:f>IF(A45="","",IF(COUNTIF($A$6:$A$505,A45)&gt;1,"记录ID重复",IF(COUNTIF('案件索引'!$A$6:$A$105,B45)=0,"案件ID未登记",IF(OR(C45="",D45="",E45="",F45="",I45="",J45="",K45="",O45="",R45="",T45=""),"补命题、来源、立场、可得性或标注人",IF(AND(R45="条件必要",S45=""),"条件必要须写条件","格式已填；仍须人工复核")))))</x:f>
      </x:c>
    </x:row>
    <x:row r="46" ht="44" customHeight="1">
      <x:c r="A46" s="9"/>
      <x:c r="B46" s="9"/>
      <x:c r="C46" s="9"/>
      <x:c r="D46" s="9"/>
      <x:c r="E46" s="9"/>
      <x:c r="F46" s="9"/>
      <x:c r="G46" s="9"/>
      <x:c r="H46" s="9"/>
      <x:c r="I46" s="9"/>
      <x:c r="J46" s="9"/>
      <x:c r="K46" s="9"/>
      <x:c r="L46" s="9"/>
      <x:c r="M46" s="9"/>
      <x:c r="N46" s="9"/>
      <x:c r="O46" s="9"/>
      <x:c r="P46" s="9"/>
      <x:c r="Q46" s="9"/>
      <x:c r="R46" s="9"/>
      <x:c r="S46" s="9"/>
      <x:c r="T46" s="9"/>
      <x:c r="U46" s="9"/>
      <x:c r="V46" s="9"/>
      <x:c r="W46" s="12" t="str">
        <x:f>IF(A46="","",IF(COUNTIF($A$6:$A$505,A46)&gt;1,"记录ID重复",IF(COUNTIF('案件索引'!$A$6:$A$105,B46)=0,"案件ID未登记",IF(OR(C46="",D46="",E46="",F46="",I46="",J46="",K46="",O46="",R46="",T46=""),"补命题、来源、立场、可得性或标注人",IF(AND(R46="条件必要",S46=""),"条件必要须写条件","格式已填；仍须人工复核")))))</x:f>
      </x:c>
    </x:row>
    <x:row r="47" ht="44" customHeight="1">
      <x:c r="A47" s="9"/>
      <x:c r="B47" s="9"/>
      <x:c r="C47" s="9"/>
      <x:c r="D47" s="9"/>
      <x:c r="E47" s="9"/>
      <x:c r="F47" s="9"/>
      <x:c r="G47" s="9"/>
      <x:c r="H47" s="9"/>
      <x:c r="I47" s="9"/>
      <x:c r="J47" s="9"/>
      <x:c r="K47" s="9"/>
      <x:c r="L47" s="9"/>
      <x:c r="M47" s="9"/>
      <x:c r="N47" s="9"/>
      <x:c r="O47" s="9"/>
      <x:c r="P47" s="9"/>
      <x:c r="Q47" s="9"/>
      <x:c r="R47" s="9"/>
      <x:c r="S47" s="9"/>
      <x:c r="T47" s="9"/>
      <x:c r="U47" s="9"/>
      <x:c r="V47" s="9"/>
      <x:c r="W47" s="12" t="str">
        <x:f>IF(A47="","",IF(COUNTIF($A$6:$A$505,A47)&gt;1,"记录ID重复",IF(COUNTIF('案件索引'!$A$6:$A$105,B47)=0,"案件ID未登记",IF(OR(C47="",D47="",E47="",F47="",I47="",J47="",K47="",O47="",R47="",T47=""),"补命题、来源、立场、可得性或标注人",IF(AND(R47="条件必要",S47=""),"条件必要须写条件","格式已填；仍须人工复核")))))</x:f>
      </x:c>
    </x:row>
    <x:row r="48" ht="44" customHeight="1">
      <x:c r="A48" s="9"/>
      <x:c r="B48" s="9"/>
      <x:c r="C48" s="9"/>
      <x:c r="D48" s="9"/>
      <x:c r="E48" s="9"/>
      <x:c r="F48" s="9"/>
      <x:c r="G48" s="9"/>
      <x:c r="H48" s="9"/>
      <x:c r="I48" s="9"/>
      <x:c r="J48" s="9"/>
      <x:c r="K48" s="9"/>
      <x:c r="L48" s="9"/>
      <x:c r="M48" s="9"/>
      <x:c r="N48" s="9"/>
      <x:c r="O48" s="9"/>
      <x:c r="P48" s="9"/>
      <x:c r="Q48" s="9"/>
      <x:c r="R48" s="9"/>
      <x:c r="S48" s="9"/>
      <x:c r="T48" s="9"/>
      <x:c r="U48" s="9"/>
      <x:c r="V48" s="9"/>
      <x:c r="W48" s="12" t="str">
        <x:f>IF(A48="","",IF(COUNTIF($A$6:$A$505,A48)&gt;1,"记录ID重复",IF(COUNTIF('案件索引'!$A$6:$A$105,B48)=0,"案件ID未登记",IF(OR(C48="",D48="",E48="",F48="",I48="",J48="",K48="",O48="",R48="",T48=""),"补命题、来源、立场、可得性或标注人",IF(AND(R48="条件必要",S48=""),"条件必要须写条件","格式已填；仍须人工复核")))))</x:f>
      </x:c>
    </x:row>
    <x:row r="49" ht="44" customHeight="1">
      <x:c r="A49" s="9"/>
      <x:c r="B49" s="9"/>
      <x:c r="C49" s="9"/>
      <x:c r="D49" s="9"/>
      <x:c r="E49" s="9"/>
      <x:c r="F49" s="9"/>
      <x:c r="G49" s="9"/>
      <x:c r="H49" s="9"/>
      <x:c r="I49" s="9"/>
      <x:c r="J49" s="9"/>
      <x:c r="K49" s="9"/>
      <x:c r="L49" s="9"/>
      <x:c r="M49" s="9"/>
      <x:c r="N49" s="9"/>
      <x:c r="O49" s="9"/>
      <x:c r="P49" s="9"/>
      <x:c r="Q49" s="9"/>
      <x:c r="R49" s="9"/>
      <x:c r="S49" s="9"/>
      <x:c r="T49" s="9"/>
      <x:c r="U49" s="9"/>
      <x:c r="V49" s="9"/>
      <x:c r="W49" s="12" t="str">
        <x:f>IF(A49="","",IF(COUNTIF($A$6:$A$505,A49)&gt;1,"记录ID重复",IF(COUNTIF('案件索引'!$A$6:$A$105,B49)=0,"案件ID未登记",IF(OR(C49="",D49="",E49="",F49="",I49="",J49="",K49="",O49="",R49="",T49=""),"补命题、来源、立场、可得性或标注人",IF(AND(R49="条件必要",S49=""),"条件必要须写条件","格式已填；仍须人工复核")))))</x:f>
      </x:c>
    </x:row>
    <x:row r="50" ht="44" customHeight="1">
      <x:c r="A50" s="9"/>
      <x:c r="B50" s="9"/>
      <x:c r="C50" s="9"/>
      <x:c r="D50" s="9"/>
      <x:c r="E50" s="9"/>
      <x:c r="F50" s="9"/>
      <x:c r="G50" s="9"/>
      <x:c r="H50" s="9"/>
      <x:c r="I50" s="9"/>
      <x:c r="J50" s="9"/>
      <x:c r="K50" s="9"/>
      <x:c r="L50" s="9"/>
      <x:c r="M50" s="9"/>
      <x:c r="N50" s="9"/>
      <x:c r="O50" s="9"/>
      <x:c r="P50" s="9"/>
      <x:c r="Q50" s="9"/>
      <x:c r="R50" s="9"/>
      <x:c r="S50" s="9"/>
      <x:c r="T50" s="9"/>
      <x:c r="U50" s="9"/>
      <x:c r="V50" s="9"/>
      <x:c r="W50" s="12" t="str">
        <x:f>IF(A50="","",IF(COUNTIF($A$6:$A$505,A50)&gt;1,"记录ID重复",IF(COUNTIF('案件索引'!$A$6:$A$105,B50)=0,"案件ID未登记",IF(OR(C50="",D50="",E50="",F50="",I50="",J50="",K50="",O50="",R50="",T50=""),"补命题、来源、立场、可得性或标注人",IF(AND(R50="条件必要",S50=""),"条件必要须写条件","格式已填；仍须人工复核")))))</x:f>
      </x:c>
    </x:row>
    <x:row r="51" ht="44" customHeight="1">
      <x:c r="A51" s="9"/>
      <x:c r="B51" s="9"/>
      <x:c r="C51" s="9"/>
      <x:c r="D51" s="9"/>
      <x:c r="E51" s="9"/>
      <x:c r="F51" s="9"/>
      <x:c r="G51" s="9"/>
      <x:c r="H51" s="9"/>
      <x:c r="I51" s="9"/>
      <x:c r="J51" s="9"/>
      <x:c r="K51" s="9"/>
      <x:c r="L51" s="9"/>
      <x:c r="M51" s="9"/>
      <x:c r="N51" s="9"/>
      <x:c r="O51" s="9"/>
      <x:c r="P51" s="9"/>
      <x:c r="Q51" s="9"/>
      <x:c r="R51" s="9"/>
      <x:c r="S51" s="9"/>
      <x:c r="T51" s="9"/>
      <x:c r="U51" s="9"/>
      <x:c r="V51" s="9"/>
      <x:c r="W51" s="12" t="str">
        <x:f>IF(A51="","",IF(COUNTIF($A$6:$A$505,A51)&gt;1,"记录ID重复",IF(COUNTIF('案件索引'!$A$6:$A$105,B51)=0,"案件ID未登记",IF(OR(C51="",D51="",E51="",F51="",I51="",J51="",K51="",O51="",R51="",T51=""),"补命题、来源、立场、可得性或标注人",IF(AND(R51="条件必要",S51=""),"条件必要须写条件","格式已填；仍须人工复核")))))</x:f>
      </x:c>
    </x:row>
    <x:row r="52" ht="44" customHeight="1">
      <x:c r="A52" s="9"/>
      <x:c r="B52" s="9"/>
      <x:c r="C52" s="9"/>
      <x:c r="D52" s="9"/>
      <x:c r="E52" s="9"/>
      <x:c r="F52" s="9"/>
      <x:c r="G52" s="9"/>
      <x:c r="H52" s="9"/>
      <x:c r="I52" s="9"/>
      <x:c r="J52" s="9"/>
      <x:c r="K52" s="9"/>
      <x:c r="L52" s="9"/>
      <x:c r="M52" s="9"/>
      <x:c r="N52" s="9"/>
      <x:c r="O52" s="9"/>
      <x:c r="P52" s="9"/>
      <x:c r="Q52" s="9"/>
      <x:c r="R52" s="9"/>
      <x:c r="S52" s="9"/>
      <x:c r="T52" s="9"/>
      <x:c r="U52" s="9"/>
      <x:c r="V52" s="9"/>
      <x:c r="W52" s="12" t="str">
        <x:f>IF(A52="","",IF(COUNTIF($A$6:$A$505,A52)&gt;1,"记录ID重复",IF(COUNTIF('案件索引'!$A$6:$A$105,B52)=0,"案件ID未登记",IF(OR(C52="",D52="",E52="",F52="",I52="",J52="",K52="",O52="",R52="",T52=""),"补命题、来源、立场、可得性或标注人",IF(AND(R52="条件必要",S52=""),"条件必要须写条件","格式已填；仍须人工复核")))))</x:f>
      </x:c>
    </x:row>
    <x:row r="53" ht="44" customHeight="1">
      <x:c r="A53" s="9"/>
      <x:c r="B53" s="9"/>
      <x:c r="C53" s="9"/>
      <x:c r="D53" s="9"/>
      <x:c r="E53" s="9"/>
      <x:c r="F53" s="9"/>
      <x:c r="G53" s="9"/>
      <x:c r="H53" s="9"/>
      <x:c r="I53" s="9"/>
      <x:c r="J53" s="9"/>
      <x:c r="K53" s="9"/>
      <x:c r="L53" s="9"/>
      <x:c r="M53" s="9"/>
      <x:c r="N53" s="9"/>
      <x:c r="O53" s="9"/>
      <x:c r="P53" s="9"/>
      <x:c r="Q53" s="9"/>
      <x:c r="R53" s="9"/>
      <x:c r="S53" s="9"/>
      <x:c r="T53" s="9"/>
      <x:c r="U53" s="9"/>
      <x:c r="V53" s="9"/>
      <x:c r="W53" s="12" t="str">
        <x:f>IF(A53="","",IF(COUNTIF($A$6:$A$505,A53)&gt;1,"记录ID重复",IF(COUNTIF('案件索引'!$A$6:$A$105,B53)=0,"案件ID未登记",IF(OR(C53="",D53="",E53="",F53="",I53="",J53="",K53="",O53="",R53="",T53=""),"补命题、来源、立场、可得性或标注人",IF(AND(R53="条件必要",S53=""),"条件必要须写条件","格式已填；仍须人工复核")))))</x:f>
      </x:c>
    </x:row>
    <x:row r="54" ht="44" customHeight="1">
      <x:c r="A54" s="9"/>
      <x:c r="B54" s="9"/>
      <x:c r="C54" s="9"/>
      <x:c r="D54" s="9"/>
      <x:c r="E54" s="9"/>
      <x:c r="F54" s="9"/>
      <x:c r="G54" s="9"/>
      <x:c r="H54" s="9"/>
      <x:c r="I54" s="9"/>
      <x:c r="J54" s="9"/>
      <x:c r="K54" s="9"/>
      <x:c r="L54" s="9"/>
      <x:c r="M54" s="9"/>
      <x:c r="N54" s="9"/>
      <x:c r="O54" s="9"/>
      <x:c r="P54" s="9"/>
      <x:c r="Q54" s="9"/>
      <x:c r="R54" s="9"/>
      <x:c r="S54" s="9"/>
      <x:c r="T54" s="9"/>
      <x:c r="U54" s="9"/>
      <x:c r="V54" s="9"/>
      <x:c r="W54" s="12" t="str">
        <x:f>IF(A54="","",IF(COUNTIF($A$6:$A$505,A54)&gt;1,"记录ID重复",IF(COUNTIF('案件索引'!$A$6:$A$105,B54)=0,"案件ID未登记",IF(OR(C54="",D54="",E54="",F54="",I54="",J54="",K54="",O54="",R54="",T54=""),"补命题、来源、立场、可得性或标注人",IF(AND(R54="条件必要",S54=""),"条件必要须写条件","格式已填；仍须人工复核")))))</x:f>
      </x:c>
    </x:row>
    <x:row r="55" ht="44" customHeight="1">
      <x:c r="A55" s="9"/>
      <x:c r="B55" s="9"/>
      <x:c r="C55" s="9"/>
      <x:c r="D55" s="9"/>
      <x:c r="E55" s="9"/>
      <x:c r="F55" s="9"/>
      <x:c r="G55" s="9"/>
      <x:c r="H55" s="9"/>
      <x:c r="I55" s="9"/>
      <x:c r="J55" s="9"/>
      <x:c r="K55" s="9"/>
      <x:c r="L55" s="9"/>
      <x:c r="M55" s="9"/>
      <x:c r="N55" s="9"/>
      <x:c r="O55" s="9"/>
      <x:c r="P55" s="9"/>
      <x:c r="Q55" s="9"/>
      <x:c r="R55" s="9"/>
      <x:c r="S55" s="9"/>
      <x:c r="T55" s="9"/>
      <x:c r="U55" s="9"/>
      <x:c r="V55" s="9"/>
      <x:c r="W55" s="12" t="str">
        <x:f>IF(A55="","",IF(COUNTIF($A$6:$A$505,A55)&gt;1,"记录ID重复",IF(COUNTIF('案件索引'!$A$6:$A$105,B55)=0,"案件ID未登记",IF(OR(C55="",D55="",E55="",F55="",I55="",J55="",K55="",O55="",R55="",T55=""),"补命题、来源、立场、可得性或标注人",IF(AND(R55="条件必要",S55=""),"条件必要须写条件","格式已填；仍须人工复核")))))</x:f>
      </x:c>
    </x:row>
    <x:row r="56" ht="44" customHeight="1">
      <x:c r="A56" s="9"/>
      <x:c r="B56" s="9"/>
      <x:c r="C56" s="9"/>
      <x:c r="D56" s="9"/>
      <x:c r="E56" s="9"/>
      <x:c r="F56" s="9"/>
      <x:c r="G56" s="9"/>
      <x:c r="H56" s="9"/>
      <x:c r="I56" s="9"/>
      <x:c r="J56" s="9"/>
      <x:c r="K56" s="9"/>
      <x:c r="L56" s="9"/>
      <x:c r="M56" s="9"/>
      <x:c r="N56" s="9"/>
      <x:c r="O56" s="9"/>
      <x:c r="P56" s="9"/>
      <x:c r="Q56" s="9"/>
      <x:c r="R56" s="9"/>
      <x:c r="S56" s="9"/>
      <x:c r="T56" s="9"/>
      <x:c r="U56" s="9"/>
      <x:c r="V56" s="9"/>
      <x:c r="W56" s="12" t="str">
        <x:f>IF(A56="","",IF(COUNTIF($A$6:$A$505,A56)&gt;1,"记录ID重复",IF(COUNTIF('案件索引'!$A$6:$A$105,B56)=0,"案件ID未登记",IF(OR(C56="",D56="",E56="",F56="",I56="",J56="",K56="",O56="",R56="",T56=""),"补命题、来源、立场、可得性或标注人",IF(AND(R56="条件必要",S56=""),"条件必要须写条件","格式已填；仍须人工复核")))))</x:f>
      </x:c>
    </x:row>
    <x:row r="57" ht="44" customHeight="1">
      <x:c r="A57" s="9"/>
      <x:c r="B57" s="9"/>
      <x:c r="C57" s="9"/>
      <x:c r="D57" s="9"/>
      <x:c r="E57" s="9"/>
      <x:c r="F57" s="9"/>
      <x:c r="G57" s="9"/>
      <x:c r="H57" s="9"/>
      <x:c r="I57" s="9"/>
      <x:c r="J57" s="9"/>
      <x:c r="K57" s="9"/>
      <x:c r="L57" s="9"/>
      <x:c r="M57" s="9"/>
      <x:c r="N57" s="9"/>
      <x:c r="O57" s="9"/>
      <x:c r="P57" s="9"/>
      <x:c r="Q57" s="9"/>
      <x:c r="R57" s="9"/>
      <x:c r="S57" s="9"/>
      <x:c r="T57" s="9"/>
      <x:c r="U57" s="9"/>
      <x:c r="V57" s="9"/>
      <x:c r="W57" s="12" t="str">
        <x:f>IF(A57="","",IF(COUNTIF($A$6:$A$505,A57)&gt;1,"记录ID重复",IF(COUNTIF('案件索引'!$A$6:$A$105,B57)=0,"案件ID未登记",IF(OR(C57="",D57="",E57="",F57="",I57="",J57="",K57="",O57="",R57="",T57=""),"补命题、来源、立场、可得性或标注人",IF(AND(R57="条件必要",S57=""),"条件必要须写条件","格式已填；仍须人工复核")))))</x:f>
      </x:c>
    </x:row>
    <x:row r="58" ht="44" customHeight="1">
      <x:c r="A58" s="9"/>
      <x:c r="B58" s="9"/>
      <x:c r="C58" s="9"/>
      <x:c r="D58" s="9"/>
      <x:c r="E58" s="9"/>
      <x:c r="F58" s="9"/>
      <x:c r="G58" s="9"/>
      <x:c r="H58" s="9"/>
      <x:c r="I58" s="9"/>
      <x:c r="J58" s="9"/>
      <x:c r="K58" s="9"/>
      <x:c r="L58" s="9"/>
      <x:c r="M58" s="9"/>
      <x:c r="N58" s="9"/>
      <x:c r="O58" s="9"/>
      <x:c r="P58" s="9"/>
      <x:c r="Q58" s="9"/>
      <x:c r="R58" s="9"/>
      <x:c r="S58" s="9"/>
      <x:c r="T58" s="9"/>
      <x:c r="U58" s="9"/>
      <x:c r="V58" s="9"/>
      <x:c r="W58" s="12" t="str">
        <x:f>IF(A58="","",IF(COUNTIF($A$6:$A$505,A58)&gt;1,"记录ID重复",IF(COUNTIF('案件索引'!$A$6:$A$105,B58)=0,"案件ID未登记",IF(OR(C58="",D58="",E58="",F58="",I58="",J58="",K58="",O58="",R58="",T58=""),"补命题、来源、立场、可得性或标注人",IF(AND(R58="条件必要",S58=""),"条件必要须写条件","格式已填；仍须人工复核")))))</x:f>
      </x:c>
    </x:row>
    <x:row r="59" ht="44" customHeight="1">
      <x:c r="A59" s="9"/>
      <x:c r="B59" s="9"/>
      <x:c r="C59" s="9"/>
      <x:c r="D59" s="9"/>
      <x:c r="E59" s="9"/>
      <x:c r="F59" s="9"/>
      <x:c r="G59" s="9"/>
      <x:c r="H59" s="9"/>
      <x:c r="I59" s="9"/>
      <x:c r="J59" s="9"/>
      <x:c r="K59" s="9"/>
      <x:c r="L59" s="9"/>
      <x:c r="M59" s="9"/>
      <x:c r="N59" s="9"/>
      <x:c r="O59" s="9"/>
      <x:c r="P59" s="9"/>
      <x:c r="Q59" s="9"/>
      <x:c r="R59" s="9"/>
      <x:c r="S59" s="9"/>
      <x:c r="T59" s="9"/>
      <x:c r="U59" s="9"/>
      <x:c r="V59" s="9"/>
      <x:c r="W59" s="12" t="str">
        <x:f>IF(A59="","",IF(COUNTIF($A$6:$A$505,A59)&gt;1,"记录ID重复",IF(COUNTIF('案件索引'!$A$6:$A$105,B59)=0,"案件ID未登记",IF(OR(C59="",D59="",E59="",F59="",I59="",J59="",K59="",O59="",R59="",T59=""),"补命题、来源、立场、可得性或标注人",IF(AND(R59="条件必要",S59=""),"条件必要须写条件","格式已填；仍须人工复核")))))</x:f>
      </x:c>
    </x:row>
    <x:row r="60" ht="44" customHeight="1">
      <x:c r="A60" s="9"/>
      <x:c r="B60" s="9"/>
      <x:c r="C60" s="9"/>
      <x:c r="D60" s="9"/>
      <x:c r="E60" s="9"/>
      <x:c r="F60" s="9"/>
      <x:c r="G60" s="9"/>
      <x:c r="H60" s="9"/>
      <x:c r="I60" s="9"/>
      <x:c r="J60" s="9"/>
      <x:c r="K60" s="9"/>
      <x:c r="L60" s="9"/>
      <x:c r="M60" s="9"/>
      <x:c r="N60" s="9"/>
      <x:c r="O60" s="9"/>
      <x:c r="P60" s="9"/>
      <x:c r="Q60" s="9"/>
      <x:c r="R60" s="9"/>
      <x:c r="S60" s="9"/>
      <x:c r="T60" s="9"/>
      <x:c r="U60" s="9"/>
      <x:c r="V60" s="9"/>
      <x:c r="W60" s="12" t="str">
        <x:f>IF(A60="","",IF(COUNTIF($A$6:$A$505,A60)&gt;1,"记录ID重复",IF(COUNTIF('案件索引'!$A$6:$A$105,B60)=0,"案件ID未登记",IF(OR(C60="",D60="",E60="",F60="",I60="",J60="",K60="",O60="",R60="",T60=""),"补命题、来源、立场、可得性或标注人",IF(AND(R60="条件必要",S60=""),"条件必要须写条件","格式已填；仍须人工复核")))))</x:f>
      </x:c>
    </x:row>
    <x:row r="61" ht="44" customHeight="1">
      <x:c r="A61" s="9"/>
      <x:c r="B61" s="9"/>
      <x:c r="C61" s="9"/>
      <x:c r="D61" s="9"/>
      <x:c r="E61" s="9"/>
      <x:c r="F61" s="9"/>
      <x:c r="G61" s="9"/>
      <x:c r="H61" s="9"/>
      <x:c r="I61" s="9"/>
      <x:c r="J61" s="9"/>
      <x:c r="K61" s="9"/>
      <x:c r="L61" s="9"/>
      <x:c r="M61" s="9"/>
      <x:c r="N61" s="9"/>
      <x:c r="O61" s="9"/>
      <x:c r="P61" s="9"/>
      <x:c r="Q61" s="9"/>
      <x:c r="R61" s="9"/>
      <x:c r="S61" s="9"/>
      <x:c r="T61" s="9"/>
      <x:c r="U61" s="9"/>
      <x:c r="V61" s="9"/>
      <x:c r="W61" s="12" t="str">
        <x:f>IF(A61="","",IF(COUNTIF($A$6:$A$505,A61)&gt;1,"记录ID重复",IF(COUNTIF('案件索引'!$A$6:$A$105,B61)=0,"案件ID未登记",IF(OR(C61="",D61="",E61="",F61="",I61="",J61="",K61="",O61="",R61="",T61=""),"补命题、来源、立场、可得性或标注人",IF(AND(R61="条件必要",S61=""),"条件必要须写条件","格式已填；仍须人工复核")))))</x:f>
      </x:c>
    </x:row>
    <x:row r="62" ht="44" customHeight="1">
      <x:c r="A62" s="9"/>
      <x:c r="B62" s="9"/>
      <x:c r="C62" s="9"/>
      <x:c r="D62" s="9"/>
      <x:c r="E62" s="9"/>
      <x:c r="F62" s="9"/>
      <x:c r="G62" s="9"/>
      <x:c r="H62" s="9"/>
      <x:c r="I62" s="9"/>
      <x:c r="J62" s="9"/>
      <x:c r="K62" s="9"/>
      <x:c r="L62" s="9"/>
      <x:c r="M62" s="9"/>
      <x:c r="N62" s="9"/>
      <x:c r="O62" s="9"/>
      <x:c r="P62" s="9"/>
      <x:c r="Q62" s="9"/>
      <x:c r="R62" s="9"/>
      <x:c r="S62" s="9"/>
      <x:c r="T62" s="9"/>
      <x:c r="U62" s="9"/>
      <x:c r="V62" s="9"/>
      <x:c r="W62" s="12" t="str">
        <x:f>IF(A62="","",IF(COUNTIF($A$6:$A$505,A62)&gt;1,"记录ID重复",IF(COUNTIF('案件索引'!$A$6:$A$105,B62)=0,"案件ID未登记",IF(OR(C62="",D62="",E62="",F62="",I62="",J62="",K62="",O62="",R62="",T62=""),"补命题、来源、立场、可得性或标注人",IF(AND(R62="条件必要",S62=""),"条件必要须写条件","格式已填；仍须人工复核")))))</x:f>
      </x:c>
    </x:row>
    <x:row r="63" ht="44" customHeight="1">
      <x:c r="A63" s="9"/>
      <x:c r="B63" s="9"/>
      <x:c r="C63" s="9"/>
      <x:c r="D63" s="9"/>
      <x:c r="E63" s="9"/>
      <x:c r="F63" s="9"/>
      <x:c r="G63" s="9"/>
      <x:c r="H63" s="9"/>
      <x:c r="I63" s="9"/>
      <x:c r="J63" s="9"/>
      <x:c r="K63" s="9"/>
      <x:c r="L63" s="9"/>
      <x:c r="M63" s="9"/>
      <x:c r="N63" s="9"/>
      <x:c r="O63" s="9"/>
      <x:c r="P63" s="9"/>
      <x:c r="Q63" s="9"/>
      <x:c r="R63" s="9"/>
      <x:c r="S63" s="9"/>
      <x:c r="T63" s="9"/>
      <x:c r="U63" s="9"/>
      <x:c r="V63" s="9"/>
      <x:c r="W63" s="12" t="str">
        <x:f>IF(A63="","",IF(COUNTIF($A$6:$A$505,A63)&gt;1,"记录ID重复",IF(COUNTIF('案件索引'!$A$6:$A$105,B63)=0,"案件ID未登记",IF(OR(C63="",D63="",E63="",F63="",I63="",J63="",K63="",O63="",R63="",T63=""),"补命题、来源、立场、可得性或标注人",IF(AND(R63="条件必要",S63=""),"条件必要须写条件","格式已填；仍须人工复核")))))</x:f>
      </x:c>
    </x:row>
    <x:row r="64" ht="44" customHeight="1">
      <x:c r="A64" s="9"/>
      <x:c r="B64" s="9"/>
      <x:c r="C64" s="9"/>
      <x:c r="D64" s="9"/>
      <x:c r="E64" s="9"/>
      <x:c r="F64" s="9"/>
      <x:c r="G64" s="9"/>
      <x:c r="H64" s="9"/>
      <x:c r="I64" s="9"/>
      <x:c r="J64" s="9"/>
      <x:c r="K64" s="9"/>
      <x:c r="L64" s="9"/>
      <x:c r="M64" s="9"/>
      <x:c r="N64" s="9"/>
      <x:c r="O64" s="9"/>
      <x:c r="P64" s="9"/>
      <x:c r="Q64" s="9"/>
      <x:c r="R64" s="9"/>
      <x:c r="S64" s="9"/>
      <x:c r="T64" s="9"/>
      <x:c r="U64" s="9"/>
      <x:c r="V64" s="9"/>
      <x:c r="W64" s="12" t="str">
        <x:f>IF(A64="","",IF(COUNTIF($A$6:$A$505,A64)&gt;1,"记录ID重复",IF(COUNTIF('案件索引'!$A$6:$A$105,B64)=0,"案件ID未登记",IF(OR(C64="",D64="",E64="",F64="",I64="",J64="",K64="",O64="",R64="",T64=""),"补命题、来源、立场、可得性或标注人",IF(AND(R64="条件必要",S64=""),"条件必要须写条件","格式已填；仍须人工复核")))))</x:f>
      </x:c>
    </x:row>
    <x:row r="65" ht="44" customHeight="1">
      <x:c r="A65" s="9"/>
      <x:c r="B65" s="9"/>
      <x:c r="C65" s="9"/>
      <x:c r="D65" s="9"/>
      <x:c r="E65" s="9"/>
      <x:c r="F65" s="9"/>
      <x:c r="G65" s="9"/>
      <x:c r="H65" s="9"/>
      <x:c r="I65" s="9"/>
      <x:c r="J65" s="9"/>
      <x:c r="K65" s="9"/>
      <x:c r="L65" s="9"/>
      <x:c r="M65" s="9"/>
      <x:c r="N65" s="9"/>
      <x:c r="O65" s="9"/>
      <x:c r="P65" s="9"/>
      <x:c r="Q65" s="9"/>
      <x:c r="R65" s="9"/>
      <x:c r="S65" s="9"/>
      <x:c r="T65" s="9"/>
      <x:c r="U65" s="9"/>
      <x:c r="V65" s="9"/>
      <x:c r="W65" s="12" t="str">
        <x:f>IF(A65="","",IF(COUNTIF($A$6:$A$505,A65)&gt;1,"记录ID重复",IF(COUNTIF('案件索引'!$A$6:$A$105,B65)=0,"案件ID未登记",IF(OR(C65="",D65="",E65="",F65="",I65="",J65="",K65="",O65="",R65="",T65=""),"补命题、来源、立场、可得性或标注人",IF(AND(R65="条件必要",S65=""),"条件必要须写条件","格式已填；仍须人工复核")))))</x:f>
      </x:c>
    </x:row>
    <x:row r="66" ht="44" customHeight="1">
      <x:c r="A66" s="9"/>
      <x:c r="B66" s="9"/>
      <x:c r="C66" s="9"/>
      <x:c r="D66" s="9"/>
      <x:c r="E66" s="9"/>
      <x:c r="F66" s="9"/>
      <x:c r="G66" s="9"/>
      <x:c r="H66" s="9"/>
      <x:c r="I66" s="9"/>
      <x:c r="J66" s="9"/>
      <x:c r="K66" s="9"/>
      <x:c r="L66" s="9"/>
      <x:c r="M66" s="9"/>
      <x:c r="N66" s="9"/>
      <x:c r="O66" s="9"/>
      <x:c r="P66" s="9"/>
      <x:c r="Q66" s="9"/>
      <x:c r="R66" s="9"/>
      <x:c r="S66" s="9"/>
      <x:c r="T66" s="9"/>
      <x:c r="U66" s="9"/>
      <x:c r="V66" s="9"/>
      <x:c r="W66" s="12" t="str">
        <x:f>IF(A66="","",IF(COUNTIF($A$6:$A$505,A66)&gt;1,"记录ID重复",IF(COUNTIF('案件索引'!$A$6:$A$105,B66)=0,"案件ID未登记",IF(OR(C66="",D66="",E66="",F66="",I66="",J66="",K66="",O66="",R66="",T66=""),"补命题、来源、立场、可得性或标注人",IF(AND(R66="条件必要",S66=""),"条件必要须写条件","格式已填；仍须人工复核")))))</x:f>
      </x:c>
    </x:row>
    <x:row r="67" ht="44" customHeight="1">
      <x:c r="A67" s="9"/>
      <x:c r="B67" s="9"/>
      <x:c r="C67" s="9"/>
      <x:c r="D67" s="9"/>
      <x:c r="E67" s="9"/>
      <x:c r="F67" s="9"/>
      <x:c r="G67" s="9"/>
      <x:c r="H67" s="9"/>
      <x:c r="I67" s="9"/>
      <x:c r="J67" s="9"/>
      <x:c r="K67" s="9"/>
      <x:c r="L67" s="9"/>
      <x:c r="M67" s="9"/>
      <x:c r="N67" s="9"/>
      <x:c r="O67" s="9"/>
      <x:c r="P67" s="9"/>
      <x:c r="Q67" s="9"/>
      <x:c r="R67" s="9"/>
      <x:c r="S67" s="9"/>
      <x:c r="T67" s="9"/>
      <x:c r="U67" s="9"/>
      <x:c r="V67" s="9"/>
      <x:c r="W67" s="12" t="str">
        <x:f>IF(A67="","",IF(COUNTIF($A$6:$A$505,A67)&gt;1,"记录ID重复",IF(COUNTIF('案件索引'!$A$6:$A$105,B67)=0,"案件ID未登记",IF(OR(C67="",D67="",E67="",F67="",I67="",J67="",K67="",O67="",R67="",T67=""),"补命题、来源、立场、可得性或标注人",IF(AND(R67="条件必要",S67=""),"条件必要须写条件","格式已填；仍须人工复核")))))</x:f>
      </x:c>
    </x:row>
    <x:row r="68" ht="44" customHeight="1">
      <x:c r="A68" s="9"/>
      <x:c r="B68" s="9"/>
      <x:c r="C68" s="9"/>
      <x:c r="D68" s="9"/>
      <x:c r="E68" s="9"/>
      <x:c r="F68" s="9"/>
      <x:c r="G68" s="9"/>
      <x:c r="H68" s="9"/>
      <x:c r="I68" s="9"/>
      <x:c r="J68" s="9"/>
      <x:c r="K68" s="9"/>
      <x:c r="L68" s="9"/>
      <x:c r="M68" s="9"/>
      <x:c r="N68" s="9"/>
      <x:c r="O68" s="9"/>
      <x:c r="P68" s="9"/>
      <x:c r="Q68" s="9"/>
      <x:c r="R68" s="9"/>
      <x:c r="S68" s="9"/>
      <x:c r="T68" s="9"/>
      <x:c r="U68" s="9"/>
      <x:c r="V68" s="9"/>
      <x:c r="W68" s="12" t="str">
        <x:f>IF(A68="","",IF(COUNTIF($A$6:$A$505,A68)&gt;1,"记录ID重复",IF(COUNTIF('案件索引'!$A$6:$A$105,B68)=0,"案件ID未登记",IF(OR(C68="",D68="",E68="",F68="",I68="",J68="",K68="",O68="",R68="",T68=""),"补命题、来源、立场、可得性或标注人",IF(AND(R68="条件必要",S68=""),"条件必要须写条件","格式已填；仍须人工复核")))))</x:f>
      </x:c>
    </x:row>
    <x:row r="69" ht="44" customHeight="1">
      <x:c r="A69" s="9"/>
      <x:c r="B69" s="9"/>
      <x:c r="C69" s="9"/>
      <x:c r="D69" s="9"/>
      <x:c r="E69" s="9"/>
      <x:c r="F69" s="9"/>
      <x:c r="G69" s="9"/>
      <x:c r="H69" s="9"/>
      <x:c r="I69" s="9"/>
      <x:c r="J69" s="9"/>
      <x:c r="K69" s="9"/>
      <x:c r="L69" s="9"/>
      <x:c r="M69" s="9"/>
      <x:c r="N69" s="9"/>
      <x:c r="O69" s="9"/>
      <x:c r="P69" s="9"/>
      <x:c r="Q69" s="9"/>
      <x:c r="R69" s="9"/>
      <x:c r="S69" s="9"/>
      <x:c r="T69" s="9"/>
      <x:c r="U69" s="9"/>
      <x:c r="V69" s="9"/>
      <x:c r="W69" s="12" t="str">
        <x:f>IF(A69="","",IF(COUNTIF($A$6:$A$505,A69)&gt;1,"记录ID重复",IF(COUNTIF('案件索引'!$A$6:$A$105,B69)=0,"案件ID未登记",IF(OR(C69="",D69="",E69="",F69="",I69="",J69="",K69="",O69="",R69="",T69=""),"补命题、来源、立场、可得性或标注人",IF(AND(R69="条件必要",S69=""),"条件必要须写条件","格式已填；仍须人工复核")))))</x:f>
      </x:c>
    </x:row>
    <x:row r="70" ht="44" customHeight="1">
      <x:c r="A70" s="9"/>
      <x:c r="B70" s="9"/>
      <x:c r="C70" s="9"/>
      <x:c r="D70" s="9"/>
      <x:c r="E70" s="9"/>
      <x:c r="F70" s="9"/>
      <x:c r="G70" s="9"/>
      <x:c r="H70" s="9"/>
      <x:c r="I70" s="9"/>
      <x:c r="J70" s="9"/>
      <x:c r="K70" s="9"/>
      <x:c r="L70" s="9"/>
      <x:c r="M70" s="9"/>
      <x:c r="N70" s="9"/>
      <x:c r="O70" s="9"/>
      <x:c r="P70" s="9"/>
      <x:c r="Q70" s="9"/>
      <x:c r="R70" s="9"/>
      <x:c r="S70" s="9"/>
      <x:c r="T70" s="9"/>
      <x:c r="U70" s="9"/>
      <x:c r="V70" s="9"/>
      <x:c r="W70" s="12" t="str">
        <x:f>IF(A70="","",IF(COUNTIF($A$6:$A$505,A70)&gt;1,"记录ID重复",IF(COUNTIF('案件索引'!$A$6:$A$105,B70)=0,"案件ID未登记",IF(OR(C70="",D70="",E70="",F70="",I70="",J70="",K70="",O70="",R70="",T70=""),"补命题、来源、立场、可得性或标注人",IF(AND(R70="条件必要",S70=""),"条件必要须写条件","格式已填；仍须人工复核")))))</x:f>
      </x:c>
    </x:row>
    <x:row r="71" ht="44" customHeight="1">
      <x:c r="A71" s="9"/>
      <x:c r="B71" s="9"/>
      <x:c r="C71" s="9"/>
      <x:c r="D71" s="9"/>
      <x:c r="E71" s="9"/>
      <x:c r="F71" s="9"/>
      <x:c r="G71" s="9"/>
      <x:c r="H71" s="9"/>
      <x:c r="I71" s="9"/>
      <x:c r="J71" s="9"/>
      <x:c r="K71" s="9"/>
      <x:c r="L71" s="9"/>
      <x:c r="M71" s="9"/>
      <x:c r="N71" s="9"/>
      <x:c r="O71" s="9"/>
      <x:c r="P71" s="9"/>
      <x:c r="Q71" s="9"/>
      <x:c r="R71" s="9"/>
      <x:c r="S71" s="9"/>
      <x:c r="T71" s="9"/>
      <x:c r="U71" s="9"/>
      <x:c r="V71" s="9"/>
      <x:c r="W71" s="12" t="str">
        <x:f>IF(A71="","",IF(COUNTIF($A$6:$A$505,A71)&gt;1,"记录ID重复",IF(COUNTIF('案件索引'!$A$6:$A$105,B71)=0,"案件ID未登记",IF(OR(C71="",D71="",E71="",F71="",I71="",J71="",K71="",O71="",R71="",T71=""),"补命题、来源、立场、可得性或标注人",IF(AND(R71="条件必要",S71=""),"条件必要须写条件","格式已填；仍须人工复核")))))</x:f>
      </x:c>
    </x:row>
    <x:row r="72" ht="44" customHeight="1">
      <x:c r="A72" s="9"/>
      <x:c r="B72" s="9"/>
      <x:c r="C72" s="9"/>
      <x:c r="D72" s="9"/>
      <x:c r="E72" s="9"/>
      <x:c r="F72" s="9"/>
      <x:c r="G72" s="9"/>
      <x:c r="H72" s="9"/>
      <x:c r="I72" s="9"/>
      <x:c r="J72" s="9"/>
      <x:c r="K72" s="9"/>
      <x:c r="L72" s="9"/>
      <x:c r="M72" s="9"/>
      <x:c r="N72" s="9"/>
      <x:c r="O72" s="9"/>
      <x:c r="P72" s="9"/>
      <x:c r="Q72" s="9"/>
      <x:c r="R72" s="9"/>
      <x:c r="S72" s="9"/>
      <x:c r="T72" s="9"/>
      <x:c r="U72" s="9"/>
      <x:c r="V72" s="9"/>
      <x:c r="W72" s="12" t="str">
        <x:f>IF(A72="","",IF(COUNTIF($A$6:$A$505,A72)&gt;1,"记录ID重复",IF(COUNTIF('案件索引'!$A$6:$A$105,B72)=0,"案件ID未登记",IF(OR(C72="",D72="",E72="",F72="",I72="",J72="",K72="",O72="",R72="",T72=""),"补命题、来源、立场、可得性或标注人",IF(AND(R72="条件必要",S72=""),"条件必要须写条件","格式已填；仍须人工复核")))))</x:f>
      </x:c>
    </x:row>
    <x:row r="73" ht="44" customHeight="1">
      <x:c r="A73" s="9"/>
      <x:c r="B73" s="9"/>
      <x:c r="C73" s="9"/>
      <x:c r="D73" s="9"/>
      <x:c r="E73" s="9"/>
      <x:c r="F73" s="9"/>
      <x:c r="G73" s="9"/>
      <x:c r="H73" s="9"/>
      <x:c r="I73" s="9"/>
      <x:c r="J73" s="9"/>
      <x:c r="K73" s="9"/>
      <x:c r="L73" s="9"/>
      <x:c r="M73" s="9"/>
      <x:c r="N73" s="9"/>
      <x:c r="O73" s="9"/>
      <x:c r="P73" s="9"/>
      <x:c r="Q73" s="9"/>
      <x:c r="R73" s="9"/>
      <x:c r="S73" s="9"/>
      <x:c r="T73" s="9"/>
      <x:c r="U73" s="9"/>
      <x:c r="V73" s="9"/>
      <x:c r="W73" s="12" t="str">
        <x:f>IF(A73="","",IF(COUNTIF($A$6:$A$505,A73)&gt;1,"记录ID重复",IF(COUNTIF('案件索引'!$A$6:$A$105,B73)=0,"案件ID未登记",IF(OR(C73="",D73="",E73="",F73="",I73="",J73="",K73="",O73="",R73="",T73=""),"补命题、来源、立场、可得性或标注人",IF(AND(R73="条件必要",S73=""),"条件必要须写条件","格式已填；仍须人工复核")))))</x:f>
      </x:c>
    </x:row>
    <x:row r="74" ht="44" customHeight="1">
      <x:c r="A74" s="9"/>
      <x:c r="B74" s="9"/>
      <x:c r="C74" s="9"/>
      <x:c r="D74" s="9"/>
      <x:c r="E74" s="9"/>
      <x:c r="F74" s="9"/>
      <x:c r="G74" s="9"/>
      <x:c r="H74" s="9"/>
      <x:c r="I74" s="9"/>
      <x:c r="J74" s="9"/>
      <x:c r="K74" s="9"/>
      <x:c r="L74" s="9"/>
      <x:c r="M74" s="9"/>
      <x:c r="N74" s="9"/>
      <x:c r="O74" s="9"/>
      <x:c r="P74" s="9"/>
      <x:c r="Q74" s="9"/>
      <x:c r="R74" s="9"/>
      <x:c r="S74" s="9"/>
      <x:c r="T74" s="9"/>
      <x:c r="U74" s="9"/>
      <x:c r="V74" s="9"/>
      <x:c r="W74" s="12" t="str">
        <x:f>IF(A74="","",IF(COUNTIF($A$6:$A$505,A74)&gt;1,"记录ID重复",IF(COUNTIF('案件索引'!$A$6:$A$105,B74)=0,"案件ID未登记",IF(OR(C74="",D74="",E74="",F74="",I74="",J74="",K74="",O74="",R74="",T74=""),"补命题、来源、立场、可得性或标注人",IF(AND(R74="条件必要",S74=""),"条件必要须写条件","格式已填；仍须人工复核")))))</x:f>
      </x:c>
    </x:row>
    <x:row r="75" ht="44" customHeight="1">
      <x:c r="A75" s="9"/>
      <x:c r="B75" s="9"/>
      <x:c r="C75" s="9"/>
      <x:c r="D75" s="9"/>
      <x:c r="E75" s="9"/>
      <x:c r="F75" s="9"/>
      <x:c r="G75" s="9"/>
      <x:c r="H75" s="9"/>
      <x:c r="I75" s="9"/>
      <x:c r="J75" s="9"/>
      <x:c r="K75" s="9"/>
      <x:c r="L75" s="9"/>
      <x:c r="M75" s="9"/>
      <x:c r="N75" s="9"/>
      <x:c r="O75" s="9"/>
      <x:c r="P75" s="9"/>
      <x:c r="Q75" s="9"/>
      <x:c r="R75" s="9"/>
      <x:c r="S75" s="9"/>
      <x:c r="T75" s="9"/>
      <x:c r="U75" s="9"/>
      <x:c r="V75" s="9"/>
      <x:c r="W75" s="12" t="str">
        <x:f>IF(A75="","",IF(COUNTIF($A$6:$A$505,A75)&gt;1,"记录ID重复",IF(COUNTIF('案件索引'!$A$6:$A$105,B75)=0,"案件ID未登记",IF(OR(C75="",D75="",E75="",F75="",I75="",J75="",K75="",O75="",R75="",T75=""),"补命题、来源、立场、可得性或标注人",IF(AND(R75="条件必要",S75=""),"条件必要须写条件","格式已填；仍须人工复核")))))</x:f>
      </x:c>
    </x:row>
    <x:row r="76" ht="44" customHeight="1">
      <x:c r="A76" s="9"/>
      <x:c r="B76" s="9"/>
      <x:c r="C76" s="9"/>
      <x:c r="D76" s="9"/>
      <x:c r="E76" s="9"/>
      <x:c r="F76" s="9"/>
      <x:c r="G76" s="9"/>
      <x:c r="H76" s="9"/>
      <x:c r="I76" s="9"/>
      <x:c r="J76" s="9"/>
      <x:c r="K76" s="9"/>
      <x:c r="L76" s="9"/>
      <x:c r="M76" s="9"/>
      <x:c r="N76" s="9"/>
      <x:c r="O76" s="9"/>
      <x:c r="P76" s="9"/>
      <x:c r="Q76" s="9"/>
      <x:c r="R76" s="9"/>
      <x:c r="S76" s="9"/>
      <x:c r="T76" s="9"/>
      <x:c r="U76" s="9"/>
      <x:c r="V76" s="9"/>
      <x:c r="W76" s="12" t="str">
        <x:f>IF(A76="","",IF(COUNTIF($A$6:$A$505,A76)&gt;1,"记录ID重复",IF(COUNTIF('案件索引'!$A$6:$A$105,B76)=0,"案件ID未登记",IF(OR(C76="",D76="",E76="",F76="",I76="",J76="",K76="",O76="",R76="",T76=""),"补命题、来源、立场、可得性或标注人",IF(AND(R76="条件必要",S76=""),"条件必要须写条件","格式已填；仍须人工复核")))))</x:f>
      </x:c>
    </x:row>
    <x:row r="77" ht="44" customHeight="1">
      <x:c r="A77" s="9"/>
      <x:c r="B77" s="9"/>
      <x:c r="C77" s="9"/>
      <x:c r="D77" s="9"/>
      <x:c r="E77" s="9"/>
      <x:c r="F77" s="9"/>
      <x:c r="G77" s="9"/>
      <x:c r="H77" s="9"/>
      <x:c r="I77" s="9"/>
      <x:c r="J77" s="9"/>
      <x:c r="K77" s="9"/>
      <x:c r="L77" s="9"/>
      <x:c r="M77" s="9"/>
      <x:c r="N77" s="9"/>
      <x:c r="O77" s="9"/>
      <x:c r="P77" s="9"/>
      <x:c r="Q77" s="9"/>
      <x:c r="R77" s="9"/>
      <x:c r="S77" s="9"/>
      <x:c r="T77" s="9"/>
      <x:c r="U77" s="9"/>
      <x:c r="V77" s="9"/>
      <x:c r="W77" s="12" t="str">
        <x:f>IF(A77="","",IF(COUNTIF($A$6:$A$505,A77)&gt;1,"记录ID重复",IF(COUNTIF('案件索引'!$A$6:$A$105,B77)=0,"案件ID未登记",IF(OR(C77="",D77="",E77="",F77="",I77="",J77="",K77="",O77="",R77="",T77=""),"补命题、来源、立场、可得性或标注人",IF(AND(R77="条件必要",S77=""),"条件必要须写条件","格式已填；仍须人工复核")))))</x:f>
      </x:c>
    </x:row>
    <x:row r="78" ht="44" customHeight="1">
      <x:c r="A78" s="9"/>
      <x:c r="B78" s="9"/>
      <x:c r="C78" s="9"/>
      <x:c r="D78" s="9"/>
      <x:c r="E78" s="9"/>
      <x:c r="F78" s="9"/>
      <x:c r="G78" s="9"/>
      <x:c r="H78" s="9"/>
      <x:c r="I78" s="9"/>
      <x:c r="J78" s="9"/>
      <x:c r="K78" s="9"/>
      <x:c r="L78" s="9"/>
      <x:c r="M78" s="9"/>
      <x:c r="N78" s="9"/>
      <x:c r="O78" s="9"/>
      <x:c r="P78" s="9"/>
      <x:c r="Q78" s="9"/>
      <x:c r="R78" s="9"/>
      <x:c r="S78" s="9"/>
      <x:c r="T78" s="9"/>
      <x:c r="U78" s="9"/>
      <x:c r="V78" s="9"/>
      <x:c r="W78" s="12" t="str">
        <x:f>IF(A78="","",IF(COUNTIF($A$6:$A$505,A78)&gt;1,"记录ID重复",IF(COUNTIF('案件索引'!$A$6:$A$105,B78)=0,"案件ID未登记",IF(OR(C78="",D78="",E78="",F78="",I78="",J78="",K78="",O78="",R78="",T78=""),"补命题、来源、立场、可得性或标注人",IF(AND(R78="条件必要",S78=""),"条件必要须写条件","格式已填；仍须人工复核")))))</x:f>
      </x:c>
    </x:row>
    <x:row r="79" ht="44" customHeight="1">
      <x:c r="A79" s="9"/>
      <x:c r="B79" s="9"/>
      <x:c r="C79" s="9"/>
      <x:c r="D79" s="9"/>
      <x:c r="E79" s="9"/>
      <x:c r="F79" s="9"/>
      <x:c r="G79" s="9"/>
      <x:c r="H79" s="9"/>
      <x:c r="I79" s="9"/>
      <x:c r="J79" s="9"/>
      <x:c r="K79" s="9"/>
      <x:c r="L79" s="9"/>
      <x:c r="M79" s="9"/>
      <x:c r="N79" s="9"/>
      <x:c r="O79" s="9"/>
      <x:c r="P79" s="9"/>
      <x:c r="Q79" s="9"/>
      <x:c r="R79" s="9"/>
      <x:c r="S79" s="9"/>
      <x:c r="T79" s="9"/>
      <x:c r="U79" s="9"/>
      <x:c r="V79" s="9"/>
      <x:c r="W79" s="12" t="str">
        <x:f>IF(A79="","",IF(COUNTIF($A$6:$A$505,A79)&gt;1,"记录ID重复",IF(COUNTIF('案件索引'!$A$6:$A$105,B79)=0,"案件ID未登记",IF(OR(C79="",D79="",E79="",F79="",I79="",J79="",K79="",O79="",R79="",T79=""),"补命题、来源、立场、可得性或标注人",IF(AND(R79="条件必要",S79=""),"条件必要须写条件","格式已填；仍须人工复核")))))</x:f>
      </x:c>
    </x:row>
    <x:row r="80" ht="44" customHeight="1">
      <x:c r="A80" s="9"/>
      <x:c r="B80" s="9"/>
      <x:c r="C80" s="9"/>
      <x:c r="D80" s="9"/>
      <x:c r="E80" s="9"/>
      <x:c r="F80" s="9"/>
      <x:c r="G80" s="9"/>
      <x:c r="H80" s="9"/>
      <x:c r="I80" s="9"/>
      <x:c r="J80" s="9"/>
      <x:c r="K80" s="9"/>
      <x:c r="L80" s="9"/>
      <x:c r="M80" s="9"/>
      <x:c r="N80" s="9"/>
      <x:c r="O80" s="9"/>
      <x:c r="P80" s="9"/>
      <x:c r="Q80" s="9"/>
      <x:c r="R80" s="9"/>
      <x:c r="S80" s="9"/>
      <x:c r="T80" s="9"/>
      <x:c r="U80" s="9"/>
      <x:c r="V80" s="9"/>
      <x:c r="W80" s="12" t="str">
        <x:f>IF(A80="","",IF(COUNTIF($A$6:$A$505,A80)&gt;1,"记录ID重复",IF(COUNTIF('案件索引'!$A$6:$A$105,B80)=0,"案件ID未登记",IF(OR(C80="",D80="",E80="",F80="",I80="",J80="",K80="",O80="",R80="",T80=""),"补命题、来源、立场、可得性或标注人",IF(AND(R80="条件必要",S80=""),"条件必要须写条件","格式已填；仍须人工复核")))))</x:f>
      </x:c>
    </x:row>
    <x:row r="81" ht="44" customHeight="1">
      <x:c r="A81" s="9"/>
      <x:c r="B81" s="9"/>
      <x:c r="C81" s="9"/>
      <x:c r="D81" s="9"/>
      <x:c r="E81" s="9"/>
      <x:c r="F81" s="9"/>
      <x:c r="G81" s="9"/>
      <x:c r="H81" s="9"/>
      <x:c r="I81" s="9"/>
      <x:c r="J81" s="9"/>
      <x:c r="K81" s="9"/>
      <x:c r="L81" s="9"/>
      <x:c r="M81" s="9"/>
      <x:c r="N81" s="9"/>
      <x:c r="O81" s="9"/>
      <x:c r="P81" s="9"/>
      <x:c r="Q81" s="9"/>
      <x:c r="R81" s="9"/>
      <x:c r="S81" s="9"/>
      <x:c r="T81" s="9"/>
      <x:c r="U81" s="9"/>
      <x:c r="V81" s="9"/>
      <x:c r="W81" s="12" t="str">
        <x:f>IF(A81="","",IF(COUNTIF($A$6:$A$505,A81)&gt;1,"记录ID重复",IF(COUNTIF('案件索引'!$A$6:$A$105,B81)=0,"案件ID未登记",IF(OR(C81="",D81="",E81="",F81="",I81="",J81="",K81="",O81="",R81="",T81=""),"补命题、来源、立场、可得性或标注人",IF(AND(R81="条件必要",S81=""),"条件必要须写条件","格式已填；仍须人工复核")))))</x:f>
      </x:c>
    </x:row>
    <x:row r="82" ht="44" customHeight="1">
      <x:c r="A82" s="9"/>
      <x:c r="B82" s="9"/>
      <x:c r="C82" s="9"/>
      <x:c r="D82" s="9"/>
      <x:c r="E82" s="9"/>
      <x:c r="F82" s="9"/>
      <x:c r="G82" s="9"/>
      <x:c r="H82" s="9"/>
      <x:c r="I82" s="9"/>
      <x:c r="J82" s="9"/>
      <x:c r="K82" s="9"/>
      <x:c r="L82" s="9"/>
      <x:c r="M82" s="9"/>
      <x:c r="N82" s="9"/>
      <x:c r="O82" s="9"/>
      <x:c r="P82" s="9"/>
      <x:c r="Q82" s="9"/>
      <x:c r="R82" s="9"/>
      <x:c r="S82" s="9"/>
      <x:c r="T82" s="9"/>
      <x:c r="U82" s="9"/>
      <x:c r="V82" s="9"/>
      <x:c r="W82" s="12" t="str">
        <x:f>IF(A82="","",IF(COUNTIF($A$6:$A$505,A82)&gt;1,"记录ID重复",IF(COUNTIF('案件索引'!$A$6:$A$105,B82)=0,"案件ID未登记",IF(OR(C82="",D82="",E82="",F82="",I82="",J82="",K82="",O82="",R82="",T82=""),"补命题、来源、立场、可得性或标注人",IF(AND(R82="条件必要",S82=""),"条件必要须写条件","格式已填；仍须人工复核")))))</x:f>
      </x:c>
    </x:row>
    <x:row r="83" ht="44" customHeight="1">
      <x:c r="A83" s="9"/>
      <x:c r="B83" s="9"/>
      <x:c r="C83" s="9"/>
      <x:c r="D83" s="9"/>
      <x:c r="E83" s="9"/>
      <x:c r="F83" s="9"/>
      <x:c r="G83" s="9"/>
      <x:c r="H83" s="9"/>
      <x:c r="I83" s="9"/>
      <x:c r="J83" s="9"/>
      <x:c r="K83" s="9"/>
      <x:c r="L83" s="9"/>
      <x:c r="M83" s="9"/>
      <x:c r="N83" s="9"/>
      <x:c r="O83" s="9"/>
      <x:c r="P83" s="9"/>
      <x:c r="Q83" s="9"/>
      <x:c r="R83" s="9"/>
      <x:c r="S83" s="9"/>
      <x:c r="T83" s="9"/>
      <x:c r="U83" s="9"/>
      <x:c r="V83" s="9"/>
      <x:c r="W83" s="12" t="str">
        <x:f>IF(A83="","",IF(COUNTIF($A$6:$A$505,A83)&gt;1,"记录ID重复",IF(COUNTIF('案件索引'!$A$6:$A$105,B83)=0,"案件ID未登记",IF(OR(C83="",D83="",E83="",F83="",I83="",J83="",K83="",O83="",R83="",T83=""),"补命题、来源、立场、可得性或标注人",IF(AND(R83="条件必要",S83=""),"条件必要须写条件","格式已填；仍须人工复核")))))</x:f>
      </x:c>
    </x:row>
    <x:row r="84" ht="44" customHeight="1">
      <x:c r="A84" s="9"/>
      <x:c r="B84" s="9"/>
      <x:c r="C84" s="9"/>
      <x:c r="D84" s="9"/>
      <x:c r="E84" s="9"/>
      <x:c r="F84" s="9"/>
      <x:c r="G84" s="9"/>
      <x:c r="H84" s="9"/>
      <x:c r="I84" s="9"/>
      <x:c r="J84" s="9"/>
      <x:c r="K84" s="9"/>
      <x:c r="L84" s="9"/>
      <x:c r="M84" s="9"/>
      <x:c r="N84" s="9"/>
      <x:c r="O84" s="9"/>
      <x:c r="P84" s="9"/>
      <x:c r="Q84" s="9"/>
      <x:c r="R84" s="9"/>
      <x:c r="S84" s="9"/>
      <x:c r="T84" s="9"/>
      <x:c r="U84" s="9"/>
      <x:c r="V84" s="9"/>
      <x:c r="W84" s="12" t="str">
        <x:f>IF(A84="","",IF(COUNTIF($A$6:$A$505,A84)&gt;1,"记录ID重复",IF(COUNTIF('案件索引'!$A$6:$A$105,B84)=0,"案件ID未登记",IF(OR(C84="",D84="",E84="",F84="",I84="",J84="",K84="",O84="",R84="",T84=""),"补命题、来源、立场、可得性或标注人",IF(AND(R84="条件必要",S84=""),"条件必要须写条件","格式已填；仍须人工复核")))))</x:f>
      </x:c>
    </x:row>
    <x:row r="85" ht="44" customHeight="1">
      <x:c r="A85" s="9"/>
      <x:c r="B85" s="9"/>
      <x:c r="C85" s="9"/>
      <x:c r="D85" s="9"/>
      <x:c r="E85" s="9"/>
      <x:c r="F85" s="9"/>
      <x:c r="G85" s="9"/>
      <x:c r="H85" s="9"/>
      <x:c r="I85" s="9"/>
      <x:c r="J85" s="9"/>
      <x:c r="K85" s="9"/>
      <x:c r="L85" s="9"/>
      <x:c r="M85" s="9"/>
      <x:c r="N85" s="9"/>
      <x:c r="O85" s="9"/>
      <x:c r="P85" s="9"/>
      <x:c r="Q85" s="9"/>
      <x:c r="R85" s="9"/>
      <x:c r="S85" s="9"/>
      <x:c r="T85" s="9"/>
      <x:c r="U85" s="9"/>
      <x:c r="V85" s="9"/>
      <x:c r="W85" s="12" t="str">
        <x:f>IF(A85="","",IF(COUNTIF($A$6:$A$505,A85)&gt;1,"记录ID重复",IF(COUNTIF('案件索引'!$A$6:$A$105,B85)=0,"案件ID未登记",IF(OR(C85="",D85="",E85="",F85="",I85="",J85="",K85="",O85="",R85="",T85=""),"补命题、来源、立场、可得性或标注人",IF(AND(R85="条件必要",S85=""),"条件必要须写条件","格式已填；仍须人工复核")))))</x:f>
      </x:c>
    </x:row>
    <x:row r="86" ht="44" customHeight="1">
      <x:c r="A86" s="9"/>
      <x:c r="B86" s="9"/>
      <x:c r="C86" s="9"/>
      <x:c r="D86" s="9"/>
      <x:c r="E86" s="9"/>
      <x:c r="F86" s="9"/>
      <x:c r="G86" s="9"/>
      <x:c r="H86" s="9"/>
      <x:c r="I86" s="9"/>
      <x:c r="J86" s="9"/>
      <x:c r="K86" s="9"/>
      <x:c r="L86" s="9"/>
      <x:c r="M86" s="9"/>
      <x:c r="N86" s="9"/>
      <x:c r="O86" s="9"/>
      <x:c r="P86" s="9"/>
      <x:c r="Q86" s="9"/>
      <x:c r="R86" s="9"/>
      <x:c r="S86" s="9"/>
      <x:c r="T86" s="9"/>
      <x:c r="U86" s="9"/>
      <x:c r="V86" s="9"/>
      <x:c r="W86" s="12" t="str">
        <x:f>IF(A86="","",IF(COUNTIF($A$6:$A$505,A86)&gt;1,"记录ID重复",IF(COUNTIF('案件索引'!$A$6:$A$105,B86)=0,"案件ID未登记",IF(OR(C86="",D86="",E86="",F86="",I86="",J86="",K86="",O86="",R86="",T86=""),"补命题、来源、立场、可得性或标注人",IF(AND(R86="条件必要",S86=""),"条件必要须写条件","格式已填；仍须人工复核")))))</x:f>
      </x:c>
    </x:row>
    <x:row r="87" ht="44" customHeight="1">
      <x:c r="A87" s="9"/>
      <x:c r="B87" s="9"/>
      <x:c r="C87" s="9"/>
      <x:c r="D87" s="9"/>
      <x:c r="E87" s="9"/>
      <x:c r="F87" s="9"/>
      <x:c r="G87" s="9"/>
      <x:c r="H87" s="9"/>
      <x:c r="I87" s="9"/>
      <x:c r="J87" s="9"/>
      <x:c r="K87" s="9"/>
      <x:c r="L87" s="9"/>
      <x:c r="M87" s="9"/>
      <x:c r="N87" s="9"/>
      <x:c r="O87" s="9"/>
      <x:c r="P87" s="9"/>
      <x:c r="Q87" s="9"/>
      <x:c r="R87" s="9"/>
      <x:c r="S87" s="9"/>
      <x:c r="T87" s="9"/>
      <x:c r="U87" s="9"/>
      <x:c r="V87" s="9"/>
      <x:c r="W87" s="12" t="str">
        <x:f>IF(A87="","",IF(COUNTIF($A$6:$A$505,A87)&gt;1,"记录ID重复",IF(COUNTIF('案件索引'!$A$6:$A$105,B87)=0,"案件ID未登记",IF(OR(C87="",D87="",E87="",F87="",I87="",J87="",K87="",O87="",R87="",T87=""),"补命题、来源、立场、可得性或标注人",IF(AND(R87="条件必要",S87=""),"条件必要须写条件","格式已填；仍须人工复核")))))</x:f>
      </x:c>
    </x:row>
    <x:row r="88" ht="44" customHeight="1">
      <x:c r="A88" s="9"/>
      <x:c r="B88" s="9"/>
      <x:c r="C88" s="9"/>
      <x:c r="D88" s="9"/>
      <x:c r="E88" s="9"/>
      <x:c r="F88" s="9"/>
      <x:c r="G88" s="9"/>
      <x:c r="H88" s="9"/>
      <x:c r="I88" s="9"/>
      <x:c r="J88" s="9"/>
      <x:c r="K88" s="9"/>
      <x:c r="L88" s="9"/>
      <x:c r="M88" s="9"/>
      <x:c r="N88" s="9"/>
      <x:c r="O88" s="9"/>
      <x:c r="P88" s="9"/>
      <x:c r="Q88" s="9"/>
      <x:c r="R88" s="9"/>
      <x:c r="S88" s="9"/>
      <x:c r="T88" s="9"/>
      <x:c r="U88" s="9"/>
      <x:c r="V88" s="9"/>
      <x:c r="W88" s="12" t="str">
        <x:f>IF(A88="","",IF(COUNTIF($A$6:$A$505,A88)&gt;1,"记录ID重复",IF(COUNTIF('案件索引'!$A$6:$A$105,B88)=0,"案件ID未登记",IF(OR(C88="",D88="",E88="",F88="",I88="",J88="",K88="",O88="",R88="",T88=""),"补命题、来源、立场、可得性或标注人",IF(AND(R88="条件必要",S88=""),"条件必要须写条件","格式已填；仍须人工复核")))))</x:f>
      </x:c>
    </x:row>
    <x:row r="89" ht="44" customHeight="1">
      <x:c r="A89" s="9"/>
      <x:c r="B89" s="9"/>
      <x:c r="C89" s="9"/>
      <x:c r="D89" s="9"/>
      <x:c r="E89" s="9"/>
      <x:c r="F89" s="9"/>
      <x:c r="G89" s="9"/>
      <x:c r="H89" s="9"/>
      <x:c r="I89" s="9"/>
      <x:c r="J89" s="9"/>
      <x:c r="K89" s="9"/>
      <x:c r="L89" s="9"/>
      <x:c r="M89" s="9"/>
      <x:c r="N89" s="9"/>
      <x:c r="O89" s="9"/>
      <x:c r="P89" s="9"/>
      <x:c r="Q89" s="9"/>
      <x:c r="R89" s="9"/>
      <x:c r="S89" s="9"/>
      <x:c r="T89" s="9"/>
      <x:c r="U89" s="9"/>
      <x:c r="V89" s="9"/>
      <x:c r="W89" s="12" t="str">
        <x:f>IF(A89="","",IF(COUNTIF($A$6:$A$505,A89)&gt;1,"记录ID重复",IF(COUNTIF('案件索引'!$A$6:$A$105,B89)=0,"案件ID未登记",IF(OR(C89="",D89="",E89="",F89="",I89="",J89="",K89="",O89="",R89="",T89=""),"补命题、来源、立场、可得性或标注人",IF(AND(R89="条件必要",S89=""),"条件必要须写条件","格式已填；仍须人工复核")))))</x:f>
      </x:c>
    </x:row>
    <x:row r="90" ht="44" customHeight="1">
      <x:c r="A90" s="9"/>
      <x:c r="B90" s="9"/>
      <x:c r="C90" s="9"/>
      <x:c r="D90" s="9"/>
      <x:c r="E90" s="9"/>
      <x:c r="F90" s="9"/>
      <x:c r="G90" s="9"/>
      <x:c r="H90" s="9"/>
      <x:c r="I90" s="9"/>
      <x:c r="J90" s="9"/>
      <x:c r="K90" s="9"/>
      <x:c r="L90" s="9"/>
      <x:c r="M90" s="9"/>
      <x:c r="N90" s="9"/>
      <x:c r="O90" s="9"/>
      <x:c r="P90" s="9"/>
      <x:c r="Q90" s="9"/>
      <x:c r="R90" s="9"/>
      <x:c r="S90" s="9"/>
      <x:c r="T90" s="9"/>
      <x:c r="U90" s="9"/>
      <x:c r="V90" s="9"/>
      <x:c r="W90" s="12" t="str">
        <x:f>IF(A90="","",IF(COUNTIF($A$6:$A$505,A90)&gt;1,"记录ID重复",IF(COUNTIF('案件索引'!$A$6:$A$105,B90)=0,"案件ID未登记",IF(OR(C90="",D90="",E90="",F90="",I90="",J90="",K90="",O90="",R90="",T90=""),"补命题、来源、立场、可得性或标注人",IF(AND(R90="条件必要",S90=""),"条件必要须写条件","格式已填；仍须人工复核")))))</x:f>
      </x:c>
    </x:row>
    <x:row r="91" ht="44" customHeight="1">
      <x:c r="A91" s="9"/>
      <x:c r="B91" s="9"/>
      <x:c r="C91" s="9"/>
      <x:c r="D91" s="9"/>
      <x:c r="E91" s="9"/>
      <x:c r="F91" s="9"/>
      <x:c r="G91" s="9"/>
      <x:c r="H91" s="9"/>
      <x:c r="I91" s="9"/>
      <x:c r="J91" s="9"/>
      <x:c r="K91" s="9"/>
      <x:c r="L91" s="9"/>
      <x:c r="M91" s="9"/>
      <x:c r="N91" s="9"/>
      <x:c r="O91" s="9"/>
      <x:c r="P91" s="9"/>
      <x:c r="Q91" s="9"/>
      <x:c r="R91" s="9"/>
      <x:c r="S91" s="9"/>
      <x:c r="T91" s="9"/>
      <x:c r="U91" s="9"/>
      <x:c r="V91" s="9"/>
      <x:c r="W91" s="12" t="str">
        <x:f>IF(A91="","",IF(COUNTIF($A$6:$A$505,A91)&gt;1,"记录ID重复",IF(COUNTIF('案件索引'!$A$6:$A$105,B91)=0,"案件ID未登记",IF(OR(C91="",D91="",E91="",F91="",I91="",J91="",K91="",O91="",R91="",T91=""),"补命题、来源、立场、可得性或标注人",IF(AND(R91="条件必要",S91=""),"条件必要须写条件","格式已填；仍须人工复核")))))</x:f>
      </x:c>
    </x:row>
    <x:row r="92" ht="44" customHeight="1">
      <x:c r="A92" s="9"/>
      <x:c r="B92" s="9"/>
      <x:c r="C92" s="9"/>
      <x:c r="D92" s="9"/>
      <x:c r="E92" s="9"/>
      <x:c r="F92" s="9"/>
      <x:c r="G92" s="9"/>
      <x:c r="H92" s="9"/>
      <x:c r="I92" s="9"/>
      <x:c r="J92" s="9"/>
      <x:c r="K92" s="9"/>
      <x:c r="L92" s="9"/>
      <x:c r="M92" s="9"/>
      <x:c r="N92" s="9"/>
      <x:c r="O92" s="9"/>
      <x:c r="P92" s="9"/>
      <x:c r="Q92" s="9"/>
      <x:c r="R92" s="9"/>
      <x:c r="S92" s="9"/>
      <x:c r="T92" s="9"/>
      <x:c r="U92" s="9"/>
      <x:c r="V92" s="9"/>
      <x:c r="W92" s="12" t="str">
        <x:f>IF(A92="","",IF(COUNTIF($A$6:$A$505,A92)&gt;1,"记录ID重复",IF(COUNTIF('案件索引'!$A$6:$A$105,B92)=0,"案件ID未登记",IF(OR(C92="",D92="",E92="",F92="",I92="",J92="",K92="",O92="",R92="",T92=""),"补命题、来源、立场、可得性或标注人",IF(AND(R92="条件必要",S92=""),"条件必要须写条件","格式已填；仍须人工复核")))))</x:f>
      </x:c>
    </x:row>
    <x:row r="93" ht="44" customHeight="1">
      <x:c r="A93" s="9"/>
      <x:c r="B93" s="9"/>
      <x:c r="C93" s="9"/>
      <x:c r="D93" s="9"/>
      <x:c r="E93" s="9"/>
      <x:c r="F93" s="9"/>
      <x:c r="G93" s="9"/>
      <x:c r="H93" s="9"/>
      <x:c r="I93" s="9"/>
      <x:c r="J93" s="9"/>
      <x:c r="K93" s="9"/>
      <x:c r="L93" s="9"/>
      <x:c r="M93" s="9"/>
      <x:c r="N93" s="9"/>
      <x:c r="O93" s="9"/>
      <x:c r="P93" s="9"/>
      <x:c r="Q93" s="9"/>
      <x:c r="R93" s="9"/>
      <x:c r="S93" s="9"/>
      <x:c r="T93" s="9"/>
      <x:c r="U93" s="9"/>
      <x:c r="V93" s="9"/>
      <x:c r="W93" s="12" t="str">
        <x:f>IF(A93="","",IF(COUNTIF($A$6:$A$505,A93)&gt;1,"记录ID重复",IF(COUNTIF('案件索引'!$A$6:$A$105,B93)=0,"案件ID未登记",IF(OR(C93="",D93="",E93="",F93="",I93="",J93="",K93="",O93="",R93="",T93=""),"补命题、来源、立场、可得性或标注人",IF(AND(R93="条件必要",S93=""),"条件必要须写条件","格式已填；仍须人工复核")))))</x:f>
      </x:c>
    </x:row>
    <x:row r="94" ht="44" customHeight="1">
      <x:c r="A94" s="9"/>
      <x:c r="B94" s="9"/>
      <x:c r="C94" s="9"/>
      <x:c r="D94" s="9"/>
      <x:c r="E94" s="9"/>
      <x:c r="F94" s="9"/>
      <x:c r="G94" s="9"/>
      <x:c r="H94" s="9"/>
      <x:c r="I94" s="9"/>
      <x:c r="J94" s="9"/>
      <x:c r="K94" s="9"/>
      <x:c r="L94" s="9"/>
      <x:c r="M94" s="9"/>
      <x:c r="N94" s="9"/>
      <x:c r="O94" s="9"/>
      <x:c r="P94" s="9"/>
      <x:c r="Q94" s="9"/>
      <x:c r="R94" s="9"/>
      <x:c r="S94" s="9"/>
      <x:c r="T94" s="9"/>
      <x:c r="U94" s="9"/>
      <x:c r="V94" s="9"/>
      <x:c r="W94" s="12" t="str">
        <x:f>IF(A94="","",IF(COUNTIF($A$6:$A$505,A94)&gt;1,"记录ID重复",IF(COUNTIF('案件索引'!$A$6:$A$105,B94)=0,"案件ID未登记",IF(OR(C94="",D94="",E94="",F94="",I94="",J94="",K94="",O94="",R94="",T94=""),"补命题、来源、立场、可得性或标注人",IF(AND(R94="条件必要",S94=""),"条件必要须写条件","格式已填；仍须人工复核")))))</x:f>
      </x:c>
    </x:row>
    <x:row r="95" ht="44" customHeight="1">
      <x:c r="A95" s="9"/>
      <x:c r="B95" s="9"/>
      <x:c r="C95" s="9"/>
      <x:c r="D95" s="9"/>
      <x:c r="E95" s="9"/>
      <x:c r="F95" s="9"/>
      <x:c r="G95" s="9"/>
      <x:c r="H95" s="9"/>
      <x:c r="I95" s="9"/>
      <x:c r="J95" s="9"/>
      <x:c r="K95" s="9"/>
      <x:c r="L95" s="9"/>
      <x:c r="M95" s="9"/>
      <x:c r="N95" s="9"/>
      <x:c r="O95" s="9"/>
      <x:c r="P95" s="9"/>
      <x:c r="Q95" s="9"/>
      <x:c r="R95" s="9"/>
      <x:c r="S95" s="9"/>
      <x:c r="T95" s="9"/>
      <x:c r="U95" s="9"/>
      <x:c r="V95" s="9"/>
      <x:c r="W95" s="12" t="str">
        <x:f>IF(A95="","",IF(COUNTIF($A$6:$A$505,A95)&gt;1,"记录ID重复",IF(COUNTIF('案件索引'!$A$6:$A$105,B95)=0,"案件ID未登记",IF(OR(C95="",D95="",E95="",F95="",I95="",J95="",K95="",O95="",R95="",T95=""),"补命题、来源、立场、可得性或标注人",IF(AND(R95="条件必要",S95=""),"条件必要须写条件","格式已填；仍须人工复核")))))</x:f>
      </x:c>
    </x:row>
    <x:row r="96" ht="44" customHeight="1">
      <x:c r="A96" s="9"/>
      <x:c r="B96" s="9"/>
      <x:c r="C96" s="9"/>
      <x:c r="D96" s="9"/>
      <x:c r="E96" s="9"/>
      <x:c r="F96" s="9"/>
      <x:c r="G96" s="9"/>
      <x:c r="H96" s="9"/>
      <x:c r="I96" s="9"/>
      <x:c r="J96" s="9"/>
      <x:c r="K96" s="9"/>
      <x:c r="L96" s="9"/>
      <x:c r="M96" s="9"/>
      <x:c r="N96" s="9"/>
      <x:c r="O96" s="9"/>
      <x:c r="P96" s="9"/>
      <x:c r="Q96" s="9"/>
      <x:c r="R96" s="9"/>
      <x:c r="S96" s="9"/>
      <x:c r="T96" s="9"/>
      <x:c r="U96" s="9"/>
      <x:c r="V96" s="9"/>
      <x:c r="W96" s="12" t="str">
        <x:f>IF(A96="","",IF(COUNTIF($A$6:$A$505,A96)&gt;1,"记录ID重复",IF(COUNTIF('案件索引'!$A$6:$A$105,B96)=0,"案件ID未登记",IF(OR(C96="",D96="",E96="",F96="",I96="",J96="",K96="",O96="",R96="",T96=""),"补命题、来源、立场、可得性或标注人",IF(AND(R96="条件必要",S96=""),"条件必要须写条件","格式已填；仍须人工复核")))))</x:f>
      </x:c>
    </x:row>
    <x:row r="97" ht="44" customHeight="1">
      <x:c r="A97" s="9"/>
      <x:c r="B97" s="9"/>
      <x:c r="C97" s="9"/>
      <x:c r="D97" s="9"/>
      <x:c r="E97" s="9"/>
      <x:c r="F97" s="9"/>
      <x:c r="G97" s="9"/>
      <x:c r="H97" s="9"/>
      <x:c r="I97" s="9"/>
      <x:c r="J97" s="9"/>
      <x:c r="K97" s="9"/>
      <x:c r="L97" s="9"/>
      <x:c r="M97" s="9"/>
      <x:c r="N97" s="9"/>
      <x:c r="O97" s="9"/>
      <x:c r="P97" s="9"/>
      <x:c r="Q97" s="9"/>
      <x:c r="R97" s="9"/>
      <x:c r="S97" s="9"/>
      <x:c r="T97" s="9"/>
      <x:c r="U97" s="9"/>
      <x:c r="V97" s="9"/>
      <x:c r="W97" s="12" t="str">
        <x:f>IF(A97="","",IF(COUNTIF($A$6:$A$505,A97)&gt;1,"记录ID重复",IF(COUNTIF('案件索引'!$A$6:$A$105,B97)=0,"案件ID未登记",IF(OR(C97="",D97="",E97="",F97="",I97="",J97="",K97="",O97="",R97="",T97=""),"补命题、来源、立场、可得性或标注人",IF(AND(R97="条件必要",S97=""),"条件必要须写条件","格式已填；仍须人工复核")))))</x:f>
      </x:c>
    </x:row>
    <x:row r="98" ht="44" customHeight="1">
      <x:c r="A98" s="9"/>
      <x:c r="B98" s="9"/>
      <x:c r="C98" s="9"/>
      <x:c r="D98" s="9"/>
      <x:c r="E98" s="9"/>
      <x:c r="F98" s="9"/>
      <x:c r="G98" s="9"/>
      <x:c r="H98" s="9"/>
      <x:c r="I98" s="9"/>
      <x:c r="J98" s="9"/>
      <x:c r="K98" s="9"/>
      <x:c r="L98" s="9"/>
      <x:c r="M98" s="9"/>
      <x:c r="N98" s="9"/>
      <x:c r="O98" s="9"/>
      <x:c r="P98" s="9"/>
      <x:c r="Q98" s="9"/>
      <x:c r="R98" s="9"/>
      <x:c r="S98" s="9"/>
      <x:c r="T98" s="9"/>
      <x:c r="U98" s="9"/>
      <x:c r="V98" s="9"/>
      <x:c r="W98" s="12" t="str">
        <x:f>IF(A98="","",IF(COUNTIF($A$6:$A$505,A98)&gt;1,"记录ID重复",IF(COUNTIF('案件索引'!$A$6:$A$105,B98)=0,"案件ID未登记",IF(OR(C98="",D98="",E98="",F98="",I98="",J98="",K98="",O98="",R98="",T98=""),"补命题、来源、立场、可得性或标注人",IF(AND(R98="条件必要",S98=""),"条件必要须写条件","格式已填；仍须人工复核")))))</x:f>
      </x:c>
    </x:row>
    <x:row r="99" ht="44" customHeight="1">
      <x:c r="A99" s="9"/>
      <x:c r="B99" s="9"/>
      <x:c r="C99" s="9"/>
      <x:c r="D99" s="9"/>
      <x:c r="E99" s="9"/>
      <x:c r="F99" s="9"/>
      <x:c r="G99" s="9"/>
      <x:c r="H99" s="9"/>
      <x:c r="I99" s="9"/>
      <x:c r="J99" s="9"/>
      <x:c r="K99" s="9"/>
      <x:c r="L99" s="9"/>
      <x:c r="M99" s="9"/>
      <x:c r="N99" s="9"/>
      <x:c r="O99" s="9"/>
      <x:c r="P99" s="9"/>
      <x:c r="Q99" s="9"/>
      <x:c r="R99" s="9"/>
      <x:c r="S99" s="9"/>
      <x:c r="T99" s="9"/>
      <x:c r="U99" s="9"/>
      <x:c r="V99" s="9"/>
      <x:c r="W99" s="12" t="str">
        <x:f>IF(A99="","",IF(COUNTIF($A$6:$A$505,A99)&gt;1,"记录ID重复",IF(COUNTIF('案件索引'!$A$6:$A$105,B99)=0,"案件ID未登记",IF(OR(C99="",D99="",E99="",F99="",I99="",J99="",K99="",O99="",R99="",T99=""),"补命题、来源、立场、可得性或标注人",IF(AND(R99="条件必要",S99=""),"条件必要须写条件","格式已填；仍须人工复核")))))</x:f>
      </x:c>
    </x:row>
    <x:row r="100" ht="44"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12" t="str">
        <x:f>IF(A100="","",IF(COUNTIF($A$6:$A$505,A100)&gt;1,"记录ID重复",IF(COUNTIF('案件索引'!$A$6:$A$105,B100)=0,"案件ID未登记",IF(OR(C100="",D100="",E100="",F100="",I100="",J100="",K100="",O100="",R100="",T100=""),"补命题、来源、立场、可得性或标注人",IF(AND(R100="条件必要",S100=""),"条件必要须写条件","格式已填；仍须人工复核")))))</x:f>
      </x:c>
    </x:row>
    <x:row r="101" ht="44"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12" t="str">
        <x:f>IF(A101="","",IF(COUNTIF($A$6:$A$505,A101)&gt;1,"记录ID重复",IF(COUNTIF('案件索引'!$A$6:$A$105,B101)=0,"案件ID未登记",IF(OR(C101="",D101="",E101="",F101="",I101="",J101="",K101="",O101="",R101="",T101=""),"补命题、来源、立场、可得性或标注人",IF(AND(R101="条件必要",S101=""),"条件必要须写条件","格式已填；仍须人工复核")))))</x:f>
      </x:c>
    </x:row>
    <x:row r="102" ht="44"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12" t="str">
        <x:f>IF(A102="","",IF(COUNTIF($A$6:$A$505,A102)&gt;1,"记录ID重复",IF(COUNTIF('案件索引'!$A$6:$A$105,B102)=0,"案件ID未登记",IF(OR(C102="",D102="",E102="",F102="",I102="",J102="",K102="",O102="",R102="",T102=""),"补命题、来源、立场、可得性或标注人",IF(AND(R102="条件必要",S102=""),"条件必要须写条件","格式已填；仍须人工复核")))))</x:f>
      </x:c>
    </x:row>
    <x:row r="103" ht="44"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12" t="str">
        <x:f>IF(A103="","",IF(COUNTIF($A$6:$A$505,A103)&gt;1,"记录ID重复",IF(COUNTIF('案件索引'!$A$6:$A$105,B103)=0,"案件ID未登记",IF(OR(C103="",D103="",E103="",F103="",I103="",J103="",K103="",O103="",R103="",T103=""),"补命题、来源、立场、可得性或标注人",IF(AND(R103="条件必要",S103=""),"条件必要须写条件","格式已填；仍须人工复核")))))</x:f>
      </x:c>
    </x:row>
    <x:row r="104" ht="44"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12" t="str">
        <x:f>IF(A104="","",IF(COUNTIF($A$6:$A$505,A104)&gt;1,"记录ID重复",IF(COUNTIF('案件索引'!$A$6:$A$105,B104)=0,"案件ID未登记",IF(OR(C104="",D104="",E104="",F104="",I104="",J104="",K104="",O104="",R104="",T104=""),"补命题、来源、立场、可得性或标注人",IF(AND(R104="条件必要",S104=""),"条件必要须写条件","格式已填；仍须人工复核")))))</x:f>
      </x:c>
    </x:row>
    <x:row r="105" ht="44"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12" t="str">
        <x:f>IF(A105="","",IF(COUNTIF($A$6:$A$505,A105)&gt;1,"记录ID重复",IF(COUNTIF('案件索引'!$A$6:$A$105,B105)=0,"案件ID未登记",IF(OR(C105="",D105="",E105="",F105="",I105="",J105="",K105="",O105="",R105="",T105=""),"补命题、来源、立场、可得性或标注人",IF(AND(R105="条件必要",S105=""),"条件必要须写条件","格式已填；仍须人工复核")))))</x:f>
      </x:c>
    </x:row>
    <x:row r="106" ht="44"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12" t="str">
        <x:f>IF(A106="","",IF(COUNTIF($A$6:$A$505,A106)&gt;1,"记录ID重复",IF(COUNTIF('案件索引'!$A$6:$A$105,B106)=0,"案件ID未登记",IF(OR(C106="",D106="",E106="",F106="",I106="",J106="",K106="",O106="",R106="",T106=""),"补命题、来源、立场、可得性或标注人",IF(AND(R106="条件必要",S106=""),"条件必要须写条件","格式已填；仍须人工复核")))))</x:f>
      </x:c>
    </x:row>
    <x:row r="107" ht="44"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12" t="str">
        <x:f>IF(A107="","",IF(COUNTIF($A$6:$A$505,A107)&gt;1,"记录ID重复",IF(COUNTIF('案件索引'!$A$6:$A$105,B107)=0,"案件ID未登记",IF(OR(C107="",D107="",E107="",F107="",I107="",J107="",K107="",O107="",R107="",T107=""),"补命题、来源、立场、可得性或标注人",IF(AND(R107="条件必要",S107=""),"条件必要须写条件","格式已填；仍须人工复核")))))</x:f>
      </x:c>
    </x:row>
    <x:row r="108" ht="44"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12" t="str">
        <x:f>IF(A108="","",IF(COUNTIF($A$6:$A$505,A108)&gt;1,"记录ID重复",IF(COUNTIF('案件索引'!$A$6:$A$105,B108)=0,"案件ID未登记",IF(OR(C108="",D108="",E108="",F108="",I108="",J108="",K108="",O108="",R108="",T108=""),"补命题、来源、立场、可得性或标注人",IF(AND(R108="条件必要",S108=""),"条件必要须写条件","格式已填；仍须人工复核")))))</x:f>
      </x:c>
    </x:row>
    <x:row r="109" ht="44"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12" t="str">
        <x:f>IF(A109="","",IF(COUNTIF($A$6:$A$505,A109)&gt;1,"记录ID重复",IF(COUNTIF('案件索引'!$A$6:$A$105,B109)=0,"案件ID未登记",IF(OR(C109="",D109="",E109="",F109="",I109="",J109="",K109="",O109="",R109="",T109=""),"补命题、来源、立场、可得性或标注人",IF(AND(R109="条件必要",S109=""),"条件必要须写条件","格式已填；仍须人工复核")))))</x:f>
      </x:c>
    </x:row>
    <x:row r="110" ht="44"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12" t="str">
        <x:f>IF(A110="","",IF(COUNTIF($A$6:$A$505,A110)&gt;1,"记录ID重复",IF(COUNTIF('案件索引'!$A$6:$A$105,B110)=0,"案件ID未登记",IF(OR(C110="",D110="",E110="",F110="",I110="",J110="",K110="",O110="",R110="",T110=""),"补命题、来源、立场、可得性或标注人",IF(AND(R110="条件必要",S110=""),"条件必要须写条件","格式已填；仍须人工复核")))))</x:f>
      </x:c>
    </x:row>
    <x:row r="111" ht="44"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12" t="str">
        <x:f>IF(A111="","",IF(COUNTIF($A$6:$A$505,A111)&gt;1,"记录ID重复",IF(COUNTIF('案件索引'!$A$6:$A$105,B111)=0,"案件ID未登记",IF(OR(C111="",D111="",E111="",F111="",I111="",J111="",K111="",O111="",R111="",T111=""),"补命题、来源、立场、可得性或标注人",IF(AND(R111="条件必要",S111=""),"条件必要须写条件","格式已填；仍须人工复核")))))</x:f>
      </x:c>
    </x:row>
    <x:row r="112" ht="44"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12" t="str">
        <x:f>IF(A112="","",IF(COUNTIF($A$6:$A$505,A112)&gt;1,"记录ID重复",IF(COUNTIF('案件索引'!$A$6:$A$105,B112)=0,"案件ID未登记",IF(OR(C112="",D112="",E112="",F112="",I112="",J112="",K112="",O112="",R112="",T112=""),"补命题、来源、立场、可得性或标注人",IF(AND(R112="条件必要",S112=""),"条件必要须写条件","格式已填；仍须人工复核")))))</x:f>
      </x:c>
    </x:row>
    <x:row r="113" ht="44"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12" t="str">
        <x:f>IF(A113="","",IF(COUNTIF($A$6:$A$505,A113)&gt;1,"记录ID重复",IF(COUNTIF('案件索引'!$A$6:$A$105,B113)=0,"案件ID未登记",IF(OR(C113="",D113="",E113="",F113="",I113="",J113="",K113="",O113="",R113="",T113=""),"补命题、来源、立场、可得性或标注人",IF(AND(R113="条件必要",S113=""),"条件必要须写条件","格式已填；仍须人工复核")))))</x:f>
      </x:c>
    </x:row>
    <x:row r="114" ht="44"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12" t="str">
        <x:f>IF(A114="","",IF(COUNTIF($A$6:$A$505,A114)&gt;1,"记录ID重复",IF(COUNTIF('案件索引'!$A$6:$A$105,B114)=0,"案件ID未登记",IF(OR(C114="",D114="",E114="",F114="",I114="",J114="",K114="",O114="",R114="",T114=""),"补命题、来源、立场、可得性或标注人",IF(AND(R114="条件必要",S114=""),"条件必要须写条件","格式已填；仍须人工复核")))))</x:f>
      </x:c>
    </x:row>
    <x:row r="115" ht="44"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12" t="str">
        <x:f>IF(A115="","",IF(COUNTIF($A$6:$A$505,A115)&gt;1,"记录ID重复",IF(COUNTIF('案件索引'!$A$6:$A$105,B115)=0,"案件ID未登记",IF(OR(C115="",D115="",E115="",F115="",I115="",J115="",K115="",O115="",R115="",T115=""),"补命题、来源、立场、可得性或标注人",IF(AND(R115="条件必要",S115=""),"条件必要须写条件","格式已填；仍须人工复核")))))</x:f>
      </x:c>
    </x:row>
    <x:row r="116" ht="44"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12" t="str">
        <x:f>IF(A116="","",IF(COUNTIF($A$6:$A$505,A116)&gt;1,"记录ID重复",IF(COUNTIF('案件索引'!$A$6:$A$105,B116)=0,"案件ID未登记",IF(OR(C116="",D116="",E116="",F116="",I116="",J116="",K116="",O116="",R116="",T116=""),"补命题、来源、立场、可得性或标注人",IF(AND(R116="条件必要",S116=""),"条件必要须写条件","格式已填；仍须人工复核")))))</x:f>
      </x:c>
    </x:row>
    <x:row r="117" ht="44"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12" t="str">
        <x:f>IF(A117="","",IF(COUNTIF($A$6:$A$505,A117)&gt;1,"记录ID重复",IF(COUNTIF('案件索引'!$A$6:$A$105,B117)=0,"案件ID未登记",IF(OR(C117="",D117="",E117="",F117="",I117="",J117="",K117="",O117="",R117="",T117=""),"补命题、来源、立场、可得性或标注人",IF(AND(R117="条件必要",S117=""),"条件必要须写条件","格式已填；仍须人工复核")))))</x:f>
      </x:c>
    </x:row>
    <x:row r="118" ht="44"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12" t="str">
        <x:f>IF(A118="","",IF(COUNTIF($A$6:$A$505,A118)&gt;1,"记录ID重复",IF(COUNTIF('案件索引'!$A$6:$A$105,B118)=0,"案件ID未登记",IF(OR(C118="",D118="",E118="",F118="",I118="",J118="",K118="",O118="",R118="",T118=""),"补命题、来源、立场、可得性或标注人",IF(AND(R118="条件必要",S118=""),"条件必要须写条件","格式已填；仍须人工复核")))))</x:f>
      </x:c>
    </x:row>
    <x:row r="119" ht="44"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12" t="str">
        <x:f>IF(A119="","",IF(COUNTIF($A$6:$A$505,A119)&gt;1,"记录ID重复",IF(COUNTIF('案件索引'!$A$6:$A$105,B119)=0,"案件ID未登记",IF(OR(C119="",D119="",E119="",F119="",I119="",J119="",K119="",O119="",R119="",T119=""),"补命题、来源、立场、可得性或标注人",IF(AND(R119="条件必要",S119=""),"条件必要须写条件","格式已填；仍须人工复核")))))</x:f>
      </x:c>
    </x:row>
    <x:row r="120" ht="44"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12" t="str">
        <x:f>IF(A120="","",IF(COUNTIF($A$6:$A$505,A120)&gt;1,"记录ID重复",IF(COUNTIF('案件索引'!$A$6:$A$105,B120)=0,"案件ID未登记",IF(OR(C120="",D120="",E120="",F120="",I120="",J120="",K120="",O120="",R120="",T120=""),"补命题、来源、立场、可得性或标注人",IF(AND(R120="条件必要",S120=""),"条件必要须写条件","格式已填；仍须人工复核")))))</x:f>
      </x:c>
    </x:row>
    <x:row r="121" ht="44"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12" t="str">
        <x:f>IF(A121="","",IF(COUNTIF($A$6:$A$505,A121)&gt;1,"记录ID重复",IF(COUNTIF('案件索引'!$A$6:$A$105,B121)=0,"案件ID未登记",IF(OR(C121="",D121="",E121="",F121="",I121="",J121="",K121="",O121="",R121="",T121=""),"补命题、来源、立场、可得性或标注人",IF(AND(R121="条件必要",S121=""),"条件必要须写条件","格式已填；仍须人工复核")))))</x:f>
      </x:c>
    </x:row>
    <x:row r="122" ht="44"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12" t="str">
        <x:f>IF(A122="","",IF(COUNTIF($A$6:$A$505,A122)&gt;1,"记录ID重复",IF(COUNTIF('案件索引'!$A$6:$A$105,B122)=0,"案件ID未登记",IF(OR(C122="",D122="",E122="",F122="",I122="",J122="",K122="",O122="",R122="",T122=""),"补命题、来源、立场、可得性或标注人",IF(AND(R122="条件必要",S122=""),"条件必要须写条件","格式已填；仍须人工复核")))))</x:f>
      </x:c>
    </x:row>
    <x:row r="123" ht="44"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12" t="str">
        <x:f>IF(A123="","",IF(COUNTIF($A$6:$A$505,A123)&gt;1,"记录ID重复",IF(COUNTIF('案件索引'!$A$6:$A$105,B123)=0,"案件ID未登记",IF(OR(C123="",D123="",E123="",F123="",I123="",J123="",K123="",O123="",R123="",T123=""),"补命题、来源、立场、可得性或标注人",IF(AND(R123="条件必要",S123=""),"条件必要须写条件","格式已填；仍须人工复核")))))</x:f>
      </x:c>
    </x:row>
    <x:row r="124" ht="44"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12" t="str">
        <x:f>IF(A124="","",IF(COUNTIF($A$6:$A$505,A124)&gt;1,"记录ID重复",IF(COUNTIF('案件索引'!$A$6:$A$105,B124)=0,"案件ID未登记",IF(OR(C124="",D124="",E124="",F124="",I124="",J124="",K124="",O124="",R124="",T124=""),"补命题、来源、立场、可得性或标注人",IF(AND(R124="条件必要",S124=""),"条件必要须写条件","格式已填；仍须人工复核")))))</x:f>
      </x:c>
    </x:row>
    <x:row r="125" ht="44"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12" t="str">
        <x:f>IF(A125="","",IF(COUNTIF($A$6:$A$505,A125)&gt;1,"记录ID重复",IF(COUNTIF('案件索引'!$A$6:$A$105,B125)=0,"案件ID未登记",IF(OR(C125="",D125="",E125="",F125="",I125="",J125="",K125="",O125="",R125="",T125=""),"补命题、来源、立场、可得性或标注人",IF(AND(R125="条件必要",S125=""),"条件必要须写条件","格式已填；仍须人工复核")))))</x:f>
      </x:c>
    </x:row>
    <x:row r="126" ht="44"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12" t="str">
        <x:f>IF(A126="","",IF(COUNTIF($A$6:$A$505,A126)&gt;1,"记录ID重复",IF(COUNTIF('案件索引'!$A$6:$A$105,B126)=0,"案件ID未登记",IF(OR(C126="",D126="",E126="",F126="",I126="",J126="",K126="",O126="",R126="",T126=""),"补命题、来源、立场、可得性或标注人",IF(AND(R126="条件必要",S126=""),"条件必要须写条件","格式已填；仍须人工复核")))))</x:f>
      </x:c>
    </x:row>
    <x:row r="127" ht="44"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12" t="str">
        <x:f>IF(A127="","",IF(COUNTIF($A$6:$A$505,A127)&gt;1,"记录ID重复",IF(COUNTIF('案件索引'!$A$6:$A$105,B127)=0,"案件ID未登记",IF(OR(C127="",D127="",E127="",F127="",I127="",J127="",K127="",O127="",R127="",T127=""),"补命题、来源、立场、可得性或标注人",IF(AND(R127="条件必要",S127=""),"条件必要须写条件","格式已填；仍须人工复核")))))</x:f>
      </x:c>
    </x:row>
    <x:row r="128" ht="44"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12" t="str">
        <x:f>IF(A128="","",IF(COUNTIF($A$6:$A$505,A128)&gt;1,"记录ID重复",IF(COUNTIF('案件索引'!$A$6:$A$105,B128)=0,"案件ID未登记",IF(OR(C128="",D128="",E128="",F128="",I128="",J128="",K128="",O128="",R128="",T128=""),"补命题、来源、立场、可得性或标注人",IF(AND(R128="条件必要",S128=""),"条件必要须写条件","格式已填；仍须人工复核")))))</x:f>
      </x:c>
    </x:row>
    <x:row r="129" ht="44"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12" t="str">
        <x:f>IF(A129="","",IF(COUNTIF($A$6:$A$505,A129)&gt;1,"记录ID重复",IF(COUNTIF('案件索引'!$A$6:$A$105,B129)=0,"案件ID未登记",IF(OR(C129="",D129="",E129="",F129="",I129="",J129="",K129="",O129="",R129="",T129=""),"补命题、来源、立场、可得性或标注人",IF(AND(R129="条件必要",S129=""),"条件必要须写条件","格式已填；仍须人工复核")))))</x:f>
      </x:c>
    </x:row>
    <x:row r="130" ht="44"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12" t="str">
        <x:f>IF(A130="","",IF(COUNTIF($A$6:$A$505,A130)&gt;1,"记录ID重复",IF(COUNTIF('案件索引'!$A$6:$A$105,B130)=0,"案件ID未登记",IF(OR(C130="",D130="",E130="",F130="",I130="",J130="",K130="",O130="",R130="",T130=""),"补命题、来源、立场、可得性或标注人",IF(AND(R130="条件必要",S130=""),"条件必要须写条件","格式已填；仍须人工复核")))))</x:f>
      </x:c>
    </x:row>
    <x:row r="131" ht="44"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12" t="str">
        <x:f>IF(A131="","",IF(COUNTIF($A$6:$A$505,A131)&gt;1,"记录ID重复",IF(COUNTIF('案件索引'!$A$6:$A$105,B131)=0,"案件ID未登记",IF(OR(C131="",D131="",E131="",F131="",I131="",J131="",K131="",O131="",R131="",T131=""),"补命题、来源、立场、可得性或标注人",IF(AND(R131="条件必要",S131=""),"条件必要须写条件","格式已填；仍须人工复核")))))</x:f>
      </x:c>
    </x:row>
    <x:row r="132" ht="44"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12" t="str">
        <x:f>IF(A132="","",IF(COUNTIF($A$6:$A$505,A132)&gt;1,"记录ID重复",IF(COUNTIF('案件索引'!$A$6:$A$105,B132)=0,"案件ID未登记",IF(OR(C132="",D132="",E132="",F132="",I132="",J132="",K132="",O132="",R132="",T132=""),"补命题、来源、立场、可得性或标注人",IF(AND(R132="条件必要",S132=""),"条件必要须写条件","格式已填；仍须人工复核")))))</x:f>
      </x:c>
    </x:row>
    <x:row r="133" ht="44"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12" t="str">
        <x:f>IF(A133="","",IF(COUNTIF($A$6:$A$505,A133)&gt;1,"记录ID重复",IF(COUNTIF('案件索引'!$A$6:$A$105,B133)=0,"案件ID未登记",IF(OR(C133="",D133="",E133="",F133="",I133="",J133="",K133="",O133="",R133="",T133=""),"补命题、来源、立场、可得性或标注人",IF(AND(R133="条件必要",S133=""),"条件必要须写条件","格式已填；仍须人工复核")))))</x:f>
      </x:c>
    </x:row>
    <x:row r="134" ht="44"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12" t="str">
        <x:f>IF(A134="","",IF(COUNTIF($A$6:$A$505,A134)&gt;1,"记录ID重复",IF(COUNTIF('案件索引'!$A$6:$A$105,B134)=0,"案件ID未登记",IF(OR(C134="",D134="",E134="",F134="",I134="",J134="",K134="",O134="",R134="",T134=""),"补命题、来源、立场、可得性或标注人",IF(AND(R134="条件必要",S134=""),"条件必要须写条件","格式已填；仍须人工复核")))))</x:f>
      </x:c>
    </x:row>
    <x:row r="135" ht="44"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12" t="str">
        <x:f>IF(A135="","",IF(COUNTIF($A$6:$A$505,A135)&gt;1,"记录ID重复",IF(COUNTIF('案件索引'!$A$6:$A$105,B135)=0,"案件ID未登记",IF(OR(C135="",D135="",E135="",F135="",I135="",J135="",K135="",O135="",R135="",T135=""),"补命题、来源、立场、可得性或标注人",IF(AND(R135="条件必要",S135=""),"条件必要须写条件","格式已填；仍须人工复核")))))</x:f>
      </x:c>
    </x:row>
    <x:row r="136" ht="44"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12" t="str">
        <x:f>IF(A136="","",IF(COUNTIF($A$6:$A$505,A136)&gt;1,"记录ID重复",IF(COUNTIF('案件索引'!$A$6:$A$105,B136)=0,"案件ID未登记",IF(OR(C136="",D136="",E136="",F136="",I136="",J136="",K136="",O136="",R136="",T136=""),"补命题、来源、立场、可得性或标注人",IF(AND(R136="条件必要",S136=""),"条件必要须写条件","格式已填；仍须人工复核")))))</x:f>
      </x:c>
    </x:row>
    <x:row r="137" ht="44"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12" t="str">
        <x:f>IF(A137="","",IF(COUNTIF($A$6:$A$505,A137)&gt;1,"记录ID重复",IF(COUNTIF('案件索引'!$A$6:$A$105,B137)=0,"案件ID未登记",IF(OR(C137="",D137="",E137="",F137="",I137="",J137="",K137="",O137="",R137="",T137=""),"补命题、来源、立场、可得性或标注人",IF(AND(R137="条件必要",S137=""),"条件必要须写条件","格式已填；仍须人工复核")))))</x:f>
      </x:c>
    </x:row>
    <x:row r="138" ht="44"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12" t="str">
        <x:f>IF(A138="","",IF(COUNTIF($A$6:$A$505,A138)&gt;1,"记录ID重复",IF(COUNTIF('案件索引'!$A$6:$A$105,B138)=0,"案件ID未登记",IF(OR(C138="",D138="",E138="",F138="",I138="",J138="",K138="",O138="",R138="",T138=""),"补命题、来源、立场、可得性或标注人",IF(AND(R138="条件必要",S138=""),"条件必要须写条件","格式已填；仍须人工复核")))))</x:f>
      </x:c>
    </x:row>
    <x:row r="139" ht="44"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12" t="str">
        <x:f>IF(A139="","",IF(COUNTIF($A$6:$A$505,A139)&gt;1,"记录ID重复",IF(COUNTIF('案件索引'!$A$6:$A$105,B139)=0,"案件ID未登记",IF(OR(C139="",D139="",E139="",F139="",I139="",J139="",K139="",O139="",R139="",T139=""),"补命题、来源、立场、可得性或标注人",IF(AND(R139="条件必要",S139=""),"条件必要须写条件","格式已填；仍须人工复核")))))</x:f>
      </x:c>
    </x:row>
    <x:row r="140" ht="44"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12" t="str">
        <x:f>IF(A140="","",IF(COUNTIF($A$6:$A$505,A140)&gt;1,"记录ID重复",IF(COUNTIF('案件索引'!$A$6:$A$105,B140)=0,"案件ID未登记",IF(OR(C140="",D140="",E140="",F140="",I140="",J140="",K140="",O140="",R140="",T140=""),"补命题、来源、立场、可得性或标注人",IF(AND(R140="条件必要",S140=""),"条件必要须写条件","格式已填；仍须人工复核")))))</x:f>
      </x:c>
    </x:row>
    <x:row r="141" ht="44"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12" t="str">
        <x:f>IF(A141="","",IF(COUNTIF($A$6:$A$505,A141)&gt;1,"记录ID重复",IF(COUNTIF('案件索引'!$A$6:$A$105,B141)=0,"案件ID未登记",IF(OR(C141="",D141="",E141="",F141="",I141="",J141="",K141="",O141="",R141="",T141=""),"补命题、来源、立场、可得性或标注人",IF(AND(R141="条件必要",S141=""),"条件必要须写条件","格式已填；仍须人工复核")))))</x:f>
      </x:c>
    </x:row>
    <x:row r="142" ht="44"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12" t="str">
        <x:f>IF(A142="","",IF(COUNTIF($A$6:$A$505,A142)&gt;1,"记录ID重复",IF(COUNTIF('案件索引'!$A$6:$A$105,B142)=0,"案件ID未登记",IF(OR(C142="",D142="",E142="",F142="",I142="",J142="",K142="",O142="",R142="",T142=""),"补命题、来源、立场、可得性或标注人",IF(AND(R142="条件必要",S142=""),"条件必要须写条件","格式已填；仍须人工复核")))))</x:f>
      </x:c>
    </x:row>
    <x:row r="143" ht="44"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12" t="str">
        <x:f>IF(A143="","",IF(COUNTIF($A$6:$A$505,A143)&gt;1,"记录ID重复",IF(COUNTIF('案件索引'!$A$6:$A$105,B143)=0,"案件ID未登记",IF(OR(C143="",D143="",E143="",F143="",I143="",J143="",K143="",O143="",R143="",T143=""),"补命题、来源、立场、可得性或标注人",IF(AND(R143="条件必要",S143=""),"条件必要须写条件","格式已填；仍须人工复核")))))</x:f>
      </x:c>
    </x:row>
    <x:row r="144" ht="44"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12" t="str">
        <x:f>IF(A144="","",IF(COUNTIF($A$6:$A$505,A144)&gt;1,"记录ID重复",IF(COUNTIF('案件索引'!$A$6:$A$105,B144)=0,"案件ID未登记",IF(OR(C144="",D144="",E144="",F144="",I144="",J144="",K144="",O144="",R144="",T144=""),"补命题、来源、立场、可得性或标注人",IF(AND(R144="条件必要",S144=""),"条件必要须写条件","格式已填；仍须人工复核")))))</x:f>
      </x:c>
    </x:row>
    <x:row r="145" ht="44"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12" t="str">
        <x:f>IF(A145="","",IF(COUNTIF($A$6:$A$505,A145)&gt;1,"记录ID重复",IF(COUNTIF('案件索引'!$A$6:$A$105,B145)=0,"案件ID未登记",IF(OR(C145="",D145="",E145="",F145="",I145="",J145="",K145="",O145="",R145="",T145=""),"补命题、来源、立场、可得性或标注人",IF(AND(R145="条件必要",S145=""),"条件必要须写条件","格式已填；仍须人工复核")))))</x:f>
      </x:c>
    </x:row>
    <x:row r="146" ht="44"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12" t="str">
        <x:f>IF(A146="","",IF(COUNTIF($A$6:$A$505,A146)&gt;1,"记录ID重复",IF(COUNTIF('案件索引'!$A$6:$A$105,B146)=0,"案件ID未登记",IF(OR(C146="",D146="",E146="",F146="",I146="",J146="",K146="",O146="",R146="",T146=""),"补命题、来源、立场、可得性或标注人",IF(AND(R146="条件必要",S146=""),"条件必要须写条件","格式已填；仍须人工复核")))))</x:f>
      </x:c>
    </x:row>
    <x:row r="147" ht="44"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12" t="str">
        <x:f>IF(A147="","",IF(COUNTIF($A$6:$A$505,A147)&gt;1,"记录ID重复",IF(COUNTIF('案件索引'!$A$6:$A$105,B147)=0,"案件ID未登记",IF(OR(C147="",D147="",E147="",F147="",I147="",J147="",K147="",O147="",R147="",T147=""),"补命题、来源、立场、可得性或标注人",IF(AND(R147="条件必要",S147=""),"条件必要须写条件","格式已填；仍须人工复核")))))</x:f>
      </x:c>
    </x:row>
    <x:row r="148" ht="44"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12" t="str">
        <x:f>IF(A148="","",IF(COUNTIF($A$6:$A$505,A148)&gt;1,"记录ID重复",IF(COUNTIF('案件索引'!$A$6:$A$105,B148)=0,"案件ID未登记",IF(OR(C148="",D148="",E148="",F148="",I148="",J148="",K148="",O148="",R148="",T148=""),"补命题、来源、立场、可得性或标注人",IF(AND(R148="条件必要",S148=""),"条件必要须写条件","格式已填；仍须人工复核")))))</x:f>
      </x:c>
    </x:row>
    <x:row r="149" ht="44"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12" t="str">
        <x:f>IF(A149="","",IF(COUNTIF($A$6:$A$505,A149)&gt;1,"记录ID重复",IF(COUNTIF('案件索引'!$A$6:$A$105,B149)=0,"案件ID未登记",IF(OR(C149="",D149="",E149="",F149="",I149="",J149="",K149="",O149="",R149="",T149=""),"补命题、来源、立场、可得性或标注人",IF(AND(R149="条件必要",S149=""),"条件必要须写条件","格式已填；仍须人工复核")))))</x:f>
      </x:c>
    </x:row>
    <x:row r="150" ht="44"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12" t="str">
        <x:f>IF(A150="","",IF(COUNTIF($A$6:$A$505,A150)&gt;1,"记录ID重复",IF(COUNTIF('案件索引'!$A$6:$A$105,B150)=0,"案件ID未登记",IF(OR(C150="",D150="",E150="",F150="",I150="",J150="",K150="",O150="",R150="",T150=""),"补命题、来源、立场、可得性或标注人",IF(AND(R150="条件必要",S150=""),"条件必要须写条件","格式已填；仍须人工复核")))))</x:f>
      </x:c>
    </x:row>
    <x:row r="151" ht="44"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12" t="str">
        <x:f>IF(A151="","",IF(COUNTIF($A$6:$A$505,A151)&gt;1,"记录ID重复",IF(COUNTIF('案件索引'!$A$6:$A$105,B151)=0,"案件ID未登记",IF(OR(C151="",D151="",E151="",F151="",I151="",J151="",K151="",O151="",R151="",T151=""),"补命题、来源、立场、可得性或标注人",IF(AND(R151="条件必要",S151=""),"条件必要须写条件","格式已填；仍须人工复核")))))</x:f>
      </x:c>
    </x:row>
    <x:row r="152" ht="44"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12" t="str">
        <x:f>IF(A152="","",IF(COUNTIF($A$6:$A$505,A152)&gt;1,"记录ID重复",IF(COUNTIF('案件索引'!$A$6:$A$105,B152)=0,"案件ID未登记",IF(OR(C152="",D152="",E152="",F152="",I152="",J152="",K152="",O152="",R152="",T152=""),"补命题、来源、立场、可得性或标注人",IF(AND(R152="条件必要",S152=""),"条件必要须写条件","格式已填；仍须人工复核")))))</x:f>
      </x:c>
    </x:row>
    <x:row r="153" ht="44"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12" t="str">
        <x:f>IF(A153="","",IF(COUNTIF($A$6:$A$505,A153)&gt;1,"记录ID重复",IF(COUNTIF('案件索引'!$A$6:$A$105,B153)=0,"案件ID未登记",IF(OR(C153="",D153="",E153="",F153="",I153="",J153="",K153="",O153="",R153="",T153=""),"补命题、来源、立场、可得性或标注人",IF(AND(R153="条件必要",S153=""),"条件必要须写条件","格式已填；仍须人工复核")))))</x:f>
      </x:c>
    </x:row>
    <x:row r="154" ht="44"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12" t="str">
        <x:f>IF(A154="","",IF(COUNTIF($A$6:$A$505,A154)&gt;1,"记录ID重复",IF(COUNTIF('案件索引'!$A$6:$A$105,B154)=0,"案件ID未登记",IF(OR(C154="",D154="",E154="",F154="",I154="",J154="",K154="",O154="",R154="",T154=""),"补命题、来源、立场、可得性或标注人",IF(AND(R154="条件必要",S154=""),"条件必要须写条件","格式已填；仍须人工复核")))))</x:f>
      </x:c>
    </x:row>
    <x:row r="155" ht="44"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12" t="str">
        <x:f>IF(A155="","",IF(COUNTIF($A$6:$A$505,A155)&gt;1,"记录ID重复",IF(COUNTIF('案件索引'!$A$6:$A$105,B155)=0,"案件ID未登记",IF(OR(C155="",D155="",E155="",F155="",I155="",J155="",K155="",O155="",R155="",T155=""),"补命题、来源、立场、可得性或标注人",IF(AND(R155="条件必要",S155=""),"条件必要须写条件","格式已填；仍须人工复核")))))</x:f>
      </x:c>
    </x:row>
    <x:row r="156" ht="44"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12" t="str">
        <x:f>IF(A156="","",IF(COUNTIF($A$6:$A$505,A156)&gt;1,"记录ID重复",IF(COUNTIF('案件索引'!$A$6:$A$105,B156)=0,"案件ID未登记",IF(OR(C156="",D156="",E156="",F156="",I156="",J156="",K156="",O156="",R156="",T156=""),"补命题、来源、立场、可得性或标注人",IF(AND(R156="条件必要",S156=""),"条件必要须写条件","格式已填；仍须人工复核")))))</x:f>
      </x:c>
    </x:row>
    <x:row r="157" ht="44"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12" t="str">
        <x:f>IF(A157="","",IF(COUNTIF($A$6:$A$505,A157)&gt;1,"记录ID重复",IF(COUNTIF('案件索引'!$A$6:$A$105,B157)=0,"案件ID未登记",IF(OR(C157="",D157="",E157="",F157="",I157="",J157="",K157="",O157="",R157="",T157=""),"补命题、来源、立场、可得性或标注人",IF(AND(R157="条件必要",S157=""),"条件必要须写条件","格式已填；仍须人工复核")))))</x:f>
      </x:c>
    </x:row>
    <x:row r="158" ht="44"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12" t="str">
        <x:f>IF(A158="","",IF(COUNTIF($A$6:$A$505,A158)&gt;1,"记录ID重复",IF(COUNTIF('案件索引'!$A$6:$A$105,B158)=0,"案件ID未登记",IF(OR(C158="",D158="",E158="",F158="",I158="",J158="",K158="",O158="",R158="",T158=""),"补命题、来源、立场、可得性或标注人",IF(AND(R158="条件必要",S158=""),"条件必要须写条件","格式已填；仍须人工复核")))))</x:f>
      </x:c>
    </x:row>
    <x:row r="159" ht="44"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12" t="str">
        <x:f>IF(A159="","",IF(COUNTIF($A$6:$A$505,A159)&gt;1,"记录ID重复",IF(COUNTIF('案件索引'!$A$6:$A$105,B159)=0,"案件ID未登记",IF(OR(C159="",D159="",E159="",F159="",I159="",J159="",K159="",O159="",R159="",T159=""),"补命题、来源、立场、可得性或标注人",IF(AND(R159="条件必要",S159=""),"条件必要须写条件","格式已填；仍须人工复核")))))</x:f>
      </x:c>
    </x:row>
    <x:row r="160" ht="44"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12" t="str">
        <x:f>IF(A160="","",IF(COUNTIF($A$6:$A$505,A160)&gt;1,"记录ID重复",IF(COUNTIF('案件索引'!$A$6:$A$105,B160)=0,"案件ID未登记",IF(OR(C160="",D160="",E160="",F160="",I160="",J160="",K160="",O160="",R160="",T160=""),"补命题、来源、立场、可得性或标注人",IF(AND(R160="条件必要",S160=""),"条件必要须写条件","格式已填；仍须人工复核")))))</x:f>
      </x:c>
    </x:row>
    <x:row r="161" ht="44"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12" t="str">
        <x:f>IF(A161="","",IF(COUNTIF($A$6:$A$505,A161)&gt;1,"记录ID重复",IF(COUNTIF('案件索引'!$A$6:$A$105,B161)=0,"案件ID未登记",IF(OR(C161="",D161="",E161="",F161="",I161="",J161="",K161="",O161="",R161="",T161=""),"补命题、来源、立场、可得性或标注人",IF(AND(R161="条件必要",S161=""),"条件必要须写条件","格式已填；仍须人工复核")))))</x:f>
      </x:c>
    </x:row>
    <x:row r="162" ht="44"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12" t="str">
        <x:f>IF(A162="","",IF(COUNTIF($A$6:$A$505,A162)&gt;1,"记录ID重复",IF(COUNTIF('案件索引'!$A$6:$A$105,B162)=0,"案件ID未登记",IF(OR(C162="",D162="",E162="",F162="",I162="",J162="",K162="",O162="",R162="",T162=""),"补命题、来源、立场、可得性或标注人",IF(AND(R162="条件必要",S162=""),"条件必要须写条件","格式已填；仍须人工复核")))))</x:f>
      </x:c>
    </x:row>
    <x:row r="163" ht="44"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12" t="str">
        <x:f>IF(A163="","",IF(COUNTIF($A$6:$A$505,A163)&gt;1,"记录ID重复",IF(COUNTIF('案件索引'!$A$6:$A$105,B163)=0,"案件ID未登记",IF(OR(C163="",D163="",E163="",F163="",I163="",J163="",K163="",O163="",R163="",T163=""),"补命题、来源、立场、可得性或标注人",IF(AND(R163="条件必要",S163=""),"条件必要须写条件","格式已填；仍须人工复核")))))</x:f>
      </x:c>
    </x:row>
    <x:row r="164" ht="44"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12" t="str">
        <x:f>IF(A164="","",IF(COUNTIF($A$6:$A$505,A164)&gt;1,"记录ID重复",IF(COUNTIF('案件索引'!$A$6:$A$105,B164)=0,"案件ID未登记",IF(OR(C164="",D164="",E164="",F164="",I164="",J164="",K164="",O164="",R164="",T164=""),"补命题、来源、立场、可得性或标注人",IF(AND(R164="条件必要",S164=""),"条件必要须写条件","格式已填；仍须人工复核")))))</x:f>
      </x:c>
    </x:row>
    <x:row r="165" ht="44"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12" t="str">
        <x:f>IF(A165="","",IF(COUNTIF($A$6:$A$505,A165)&gt;1,"记录ID重复",IF(COUNTIF('案件索引'!$A$6:$A$105,B165)=0,"案件ID未登记",IF(OR(C165="",D165="",E165="",F165="",I165="",J165="",K165="",O165="",R165="",T165=""),"补命题、来源、立场、可得性或标注人",IF(AND(R165="条件必要",S165=""),"条件必要须写条件","格式已填；仍须人工复核")))))</x:f>
      </x:c>
    </x:row>
    <x:row r="166" ht="44"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12" t="str">
        <x:f>IF(A166="","",IF(COUNTIF($A$6:$A$505,A166)&gt;1,"记录ID重复",IF(COUNTIF('案件索引'!$A$6:$A$105,B166)=0,"案件ID未登记",IF(OR(C166="",D166="",E166="",F166="",I166="",J166="",K166="",O166="",R166="",T166=""),"补命题、来源、立场、可得性或标注人",IF(AND(R166="条件必要",S166=""),"条件必要须写条件","格式已填；仍须人工复核")))))</x:f>
      </x:c>
    </x:row>
    <x:row r="167" ht="44"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12" t="str">
        <x:f>IF(A167="","",IF(COUNTIF($A$6:$A$505,A167)&gt;1,"记录ID重复",IF(COUNTIF('案件索引'!$A$6:$A$105,B167)=0,"案件ID未登记",IF(OR(C167="",D167="",E167="",F167="",I167="",J167="",K167="",O167="",R167="",T167=""),"补命题、来源、立场、可得性或标注人",IF(AND(R167="条件必要",S167=""),"条件必要须写条件","格式已填；仍须人工复核")))))</x:f>
      </x:c>
    </x:row>
    <x:row r="168" ht="44"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12" t="str">
        <x:f>IF(A168="","",IF(COUNTIF($A$6:$A$505,A168)&gt;1,"记录ID重复",IF(COUNTIF('案件索引'!$A$6:$A$105,B168)=0,"案件ID未登记",IF(OR(C168="",D168="",E168="",F168="",I168="",J168="",K168="",O168="",R168="",T168=""),"补命题、来源、立场、可得性或标注人",IF(AND(R168="条件必要",S168=""),"条件必要须写条件","格式已填；仍须人工复核")))))</x:f>
      </x:c>
    </x:row>
    <x:row r="169" ht="44"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12" t="str">
        <x:f>IF(A169="","",IF(COUNTIF($A$6:$A$505,A169)&gt;1,"记录ID重复",IF(COUNTIF('案件索引'!$A$6:$A$105,B169)=0,"案件ID未登记",IF(OR(C169="",D169="",E169="",F169="",I169="",J169="",K169="",O169="",R169="",T169=""),"补命题、来源、立场、可得性或标注人",IF(AND(R169="条件必要",S169=""),"条件必要须写条件","格式已填；仍须人工复核")))))</x:f>
      </x:c>
    </x:row>
    <x:row r="170" ht="44"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12" t="str">
        <x:f>IF(A170="","",IF(COUNTIF($A$6:$A$505,A170)&gt;1,"记录ID重复",IF(COUNTIF('案件索引'!$A$6:$A$105,B170)=0,"案件ID未登记",IF(OR(C170="",D170="",E170="",F170="",I170="",J170="",K170="",O170="",R170="",T170=""),"补命题、来源、立场、可得性或标注人",IF(AND(R170="条件必要",S170=""),"条件必要须写条件","格式已填；仍须人工复核")))))</x:f>
      </x:c>
    </x:row>
    <x:row r="171" ht="44"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12" t="str">
        <x:f>IF(A171="","",IF(COUNTIF($A$6:$A$505,A171)&gt;1,"记录ID重复",IF(COUNTIF('案件索引'!$A$6:$A$105,B171)=0,"案件ID未登记",IF(OR(C171="",D171="",E171="",F171="",I171="",J171="",K171="",O171="",R171="",T171=""),"补命题、来源、立场、可得性或标注人",IF(AND(R171="条件必要",S171=""),"条件必要须写条件","格式已填；仍须人工复核")))))</x:f>
      </x:c>
    </x:row>
    <x:row r="172" ht="44"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12" t="str">
        <x:f>IF(A172="","",IF(COUNTIF($A$6:$A$505,A172)&gt;1,"记录ID重复",IF(COUNTIF('案件索引'!$A$6:$A$105,B172)=0,"案件ID未登记",IF(OR(C172="",D172="",E172="",F172="",I172="",J172="",K172="",O172="",R172="",T172=""),"补命题、来源、立场、可得性或标注人",IF(AND(R172="条件必要",S172=""),"条件必要须写条件","格式已填；仍须人工复核")))))</x:f>
      </x:c>
    </x:row>
    <x:row r="173" ht="44"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12" t="str">
        <x:f>IF(A173="","",IF(COUNTIF($A$6:$A$505,A173)&gt;1,"记录ID重复",IF(COUNTIF('案件索引'!$A$6:$A$105,B173)=0,"案件ID未登记",IF(OR(C173="",D173="",E173="",F173="",I173="",J173="",K173="",O173="",R173="",T173=""),"补命题、来源、立场、可得性或标注人",IF(AND(R173="条件必要",S173=""),"条件必要须写条件","格式已填；仍须人工复核")))))</x:f>
      </x:c>
    </x:row>
    <x:row r="174" ht="44"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12" t="str">
        <x:f>IF(A174="","",IF(COUNTIF($A$6:$A$505,A174)&gt;1,"记录ID重复",IF(COUNTIF('案件索引'!$A$6:$A$105,B174)=0,"案件ID未登记",IF(OR(C174="",D174="",E174="",F174="",I174="",J174="",K174="",O174="",R174="",T174=""),"补命题、来源、立场、可得性或标注人",IF(AND(R174="条件必要",S174=""),"条件必要须写条件","格式已填；仍须人工复核")))))</x:f>
      </x:c>
    </x:row>
    <x:row r="175" ht="44"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12" t="str">
        <x:f>IF(A175="","",IF(COUNTIF($A$6:$A$505,A175)&gt;1,"记录ID重复",IF(COUNTIF('案件索引'!$A$6:$A$105,B175)=0,"案件ID未登记",IF(OR(C175="",D175="",E175="",F175="",I175="",J175="",K175="",O175="",R175="",T175=""),"补命题、来源、立场、可得性或标注人",IF(AND(R175="条件必要",S175=""),"条件必要须写条件","格式已填；仍须人工复核")))))</x:f>
      </x:c>
    </x:row>
    <x:row r="176" ht="44"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12" t="str">
        <x:f>IF(A176="","",IF(COUNTIF($A$6:$A$505,A176)&gt;1,"记录ID重复",IF(COUNTIF('案件索引'!$A$6:$A$105,B176)=0,"案件ID未登记",IF(OR(C176="",D176="",E176="",F176="",I176="",J176="",K176="",O176="",R176="",T176=""),"补命题、来源、立场、可得性或标注人",IF(AND(R176="条件必要",S176=""),"条件必要须写条件","格式已填；仍须人工复核")))))</x:f>
      </x:c>
    </x:row>
    <x:row r="177" ht="44"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12" t="str">
        <x:f>IF(A177="","",IF(COUNTIF($A$6:$A$505,A177)&gt;1,"记录ID重复",IF(COUNTIF('案件索引'!$A$6:$A$105,B177)=0,"案件ID未登记",IF(OR(C177="",D177="",E177="",F177="",I177="",J177="",K177="",O177="",R177="",T177=""),"补命题、来源、立场、可得性或标注人",IF(AND(R177="条件必要",S177=""),"条件必要须写条件","格式已填；仍须人工复核")))))</x:f>
      </x:c>
    </x:row>
    <x:row r="178" ht="44"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12" t="str">
        <x:f>IF(A178="","",IF(COUNTIF($A$6:$A$505,A178)&gt;1,"记录ID重复",IF(COUNTIF('案件索引'!$A$6:$A$105,B178)=0,"案件ID未登记",IF(OR(C178="",D178="",E178="",F178="",I178="",J178="",K178="",O178="",R178="",T178=""),"补命题、来源、立场、可得性或标注人",IF(AND(R178="条件必要",S178=""),"条件必要须写条件","格式已填；仍须人工复核")))))</x:f>
      </x:c>
    </x:row>
    <x:row r="179" ht="44"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12" t="str">
        <x:f>IF(A179="","",IF(COUNTIF($A$6:$A$505,A179)&gt;1,"记录ID重复",IF(COUNTIF('案件索引'!$A$6:$A$105,B179)=0,"案件ID未登记",IF(OR(C179="",D179="",E179="",F179="",I179="",J179="",K179="",O179="",R179="",T179=""),"补命题、来源、立场、可得性或标注人",IF(AND(R179="条件必要",S179=""),"条件必要须写条件","格式已填；仍须人工复核")))))</x:f>
      </x:c>
    </x:row>
    <x:row r="180" ht="44"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12" t="str">
        <x:f>IF(A180="","",IF(COUNTIF($A$6:$A$505,A180)&gt;1,"记录ID重复",IF(COUNTIF('案件索引'!$A$6:$A$105,B180)=0,"案件ID未登记",IF(OR(C180="",D180="",E180="",F180="",I180="",J180="",K180="",O180="",R180="",T180=""),"补命题、来源、立场、可得性或标注人",IF(AND(R180="条件必要",S180=""),"条件必要须写条件","格式已填；仍须人工复核")))))</x:f>
      </x:c>
    </x:row>
    <x:row r="181" ht="44"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12" t="str">
        <x:f>IF(A181="","",IF(COUNTIF($A$6:$A$505,A181)&gt;1,"记录ID重复",IF(COUNTIF('案件索引'!$A$6:$A$105,B181)=0,"案件ID未登记",IF(OR(C181="",D181="",E181="",F181="",I181="",J181="",K181="",O181="",R181="",T181=""),"补命题、来源、立场、可得性或标注人",IF(AND(R181="条件必要",S181=""),"条件必要须写条件","格式已填；仍须人工复核")))))</x:f>
      </x:c>
    </x:row>
    <x:row r="182" ht="44"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12" t="str">
        <x:f>IF(A182="","",IF(COUNTIF($A$6:$A$505,A182)&gt;1,"记录ID重复",IF(COUNTIF('案件索引'!$A$6:$A$105,B182)=0,"案件ID未登记",IF(OR(C182="",D182="",E182="",F182="",I182="",J182="",K182="",O182="",R182="",T182=""),"补命题、来源、立场、可得性或标注人",IF(AND(R182="条件必要",S182=""),"条件必要须写条件","格式已填；仍须人工复核")))))</x:f>
      </x:c>
    </x:row>
    <x:row r="183" ht="44"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12" t="str">
        <x:f>IF(A183="","",IF(COUNTIF($A$6:$A$505,A183)&gt;1,"记录ID重复",IF(COUNTIF('案件索引'!$A$6:$A$105,B183)=0,"案件ID未登记",IF(OR(C183="",D183="",E183="",F183="",I183="",J183="",K183="",O183="",R183="",T183=""),"补命题、来源、立场、可得性或标注人",IF(AND(R183="条件必要",S183=""),"条件必要须写条件","格式已填；仍须人工复核")))))</x:f>
      </x:c>
    </x:row>
    <x:row r="184" ht="44"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12" t="str">
        <x:f>IF(A184="","",IF(COUNTIF($A$6:$A$505,A184)&gt;1,"记录ID重复",IF(COUNTIF('案件索引'!$A$6:$A$105,B184)=0,"案件ID未登记",IF(OR(C184="",D184="",E184="",F184="",I184="",J184="",K184="",O184="",R184="",T184=""),"补命题、来源、立场、可得性或标注人",IF(AND(R184="条件必要",S184=""),"条件必要须写条件","格式已填；仍须人工复核")))))</x:f>
      </x:c>
    </x:row>
    <x:row r="185" ht="44"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12" t="str">
        <x:f>IF(A185="","",IF(COUNTIF($A$6:$A$505,A185)&gt;1,"记录ID重复",IF(COUNTIF('案件索引'!$A$6:$A$105,B185)=0,"案件ID未登记",IF(OR(C185="",D185="",E185="",F185="",I185="",J185="",K185="",O185="",R185="",T185=""),"补命题、来源、立场、可得性或标注人",IF(AND(R185="条件必要",S185=""),"条件必要须写条件","格式已填；仍须人工复核")))))</x:f>
      </x:c>
    </x:row>
    <x:row r="186" ht="44"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12" t="str">
        <x:f>IF(A186="","",IF(COUNTIF($A$6:$A$505,A186)&gt;1,"记录ID重复",IF(COUNTIF('案件索引'!$A$6:$A$105,B186)=0,"案件ID未登记",IF(OR(C186="",D186="",E186="",F186="",I186="",J186="",K186="",O186="",R186="",T186=""),"补命题、来源、立场、可得性或标注人",IF(AND(R186="条件必要",S186=""),"条件必要须写条件","格式已填；仍须人工复核")))))</x:f>
      </x:c>
    </x:row>
    <x:row r="187" ht="44"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12" t="str">
        <x:f>IF(A187="","",IF(COUNTIF($A$6:$A$505,A187)&gt;1,"记录ID重复",IF(COUNTIF('案件索引'!$A$6:$A$105,B187)=0,"案件ID未登记",IF(OR(C187="",D187="",E187="",F187="",I187="",J187="",K187="",O187="",R187="",T187=""),"补命题、来源、立场、可得性或标注人",IF(AND(R187="条件必要",S187=""),"条件必要须写条件","格式已填；仍须人工复核")))))</x:f>
      </x:c>
    </x:row>
    <x:row r="188" ht="44"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12" t="str">
        <x:f>IF(A188="","",IF(COUNTIF($A$6:$A$505,A188)&gt;1,"记录ID重复",IF(COUNTIF('案件索引'!$A$6:$A$105,B188)=0,"案件ID未登记",IF(OR(C188="",D188="",E188="",F188="",I188="",J188="",K188="",O188="",R188="",T188=""),"补命题、来源、立场、可得性或标注人",IF(AND(R188="条件必要",S188=""),"条件必要须写条件","格式已填；仍须人工复核")))))</x:f>
      </x:c>
    </x:row>
    <x:row r="189" ht="44"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12" t="str">
        <x:f>IF(A189="","",IF(COUNTIF($A$6:$A$505,A189)&gt;1,"记录ID重复",IF(COUNTIF('案件索引'!$A$6:$A$105,B189)=0,"案件ID未登记",IF(OR(C189="",D189="",E189="",F189="",I189="",J189="",K189="",O189="",R189="",T189=""),"补命题、来源、立场、可得性或标注人",IF(AND(R189="条件必要",S189=""),"条件必要须写条件","格式已填；仍须人工复核")))))</x:f>
      </x:c>
    </x:row>
    <x:row r="190" ht="44"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12" t="str">
        <x:f>IF(A190="","",IF(COUNTIF($A$6:$A$505,A190)&gt;1,"记录ID重复",IF(COUNTIF('案件索引'!$A$6:$A$105,B190)=0,"案件ID未登记",IF(OR(C190="",D190="",E190="",F190="",I190="",J190="",K190="",O190="",R190="",T190=""),"补命题、来源、立场、可得性或标注人",IF(AND(R190="条件必要",S190=""),"条件必要须写条件","格式已填；仍须人工复核")))))</x:f>
      </x:c>
    </x:row>
    <x:row r="191" ht="44"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12" t="str">
        <x:f>IF(A191="","",IF(COUNTIF($A$6:$A$505,A191)&gt;1,"记录ID重复",IF(COUNTIF('案件索引'!$A$6:$A$105,B191)=0,"案件ID未登记",IF(OR(C191="",D191="",E191="",F191="",I191="",J191="",K191="",O191="",R191="",T191=""),"补命题、来源、立场、可得性或标注人",IF(AND(R191="条件必要",S191=""),"条件必要须写条件","格式已填；仍须人工复核")))))</x:f>
      </x:c>
    </x:row>
    <x:row r="192" ht="44"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12" t="str">
        <x:f>IF(A192="","",IF(COUNTIF($A$6:$A$505,A192)&gt;1,"记录ID重复",IF(COUNTIF('案件索引'!$A$6:$A$105,B192)=0,"案件ID未登记",IF(OR(C192="",D192="",E192="",F192="",I192="",J192="",K192="",O192="",R192="",T192=""),"补命题、来源、立场、可得性或标注人",IF(AND(R192="条件必要",S192=""),"条件必要须写条件","格式已填；仍须人工复核")))))</x:f>
      </x:c>
    </x:row>
    <x:row r="193" ht="44"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12" t="str">
        <x:f>IF(A193="","",IF(COUNTIF($A$6:$A$505,A193)&gt;1,"记录ID重复",IF(COUNTIF('案件索引'!$A$6:$A$105,B193)=0,"案件ID未登记",IF(OR(C193="",D193="",E193="",F193="",I193="",J193="",K193="",O193="",R193="",T193=""),"补命题、来源、立场、可得性或标注人",IF(AND(R193="条件必要",S193=""),"条件必要须写条件","格式已填；仍须人工复核")))))</x:f>
      </x:c>
    </x:row>
    <x:row r="194" ht="44"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12" t="str">
        <x:f>IF(A194="","",IF(COUNTIF($A$6:$A$505,A194)&gt;1,"记录ID重复",IF(COUNTIF('案件索引'!$A$6:$A$105,B194)=0,"案件ID未登记",IF(OR(C194="",D194="",E194="",F194="",I194="",J194="",K194="",O194="",R194="",T194=""),"补命题、来源、立场、可得性或标注人",IF(AND(R194="条件必要",S194=""),"条件必要须写条件","格式已填；仍须人工复核")))))</x:f>
      </x:c>
    </x:row>
    <x:row r="195" ht="44"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12" t="str">
        <x:f>IF(A195="","",IF(COUNTIF($A$6:$A$505,A195)&gt;1,"记录ID重复",IF(COUNTIF('案件索引'!$A$6:$A$105,B195)=0,"案件ID未登记",IF(OR(C195="",D195="",E195="",F195="",I195="",J195="",K195="",O195="",R195="",T195=""),"补命题、来源、立场、可得性或标注人",IF(AND(R195="条件必要",S195=""),"条件必要须写条件","格式已填；仍须人工复核")))))</x:f>
      </x:c>
    </x:row>
    <x:row r="196" ht="44"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12" t="str">
        <x:f>IF(A196="","",IF(COUNTIF($A$6:$A$505,A196)&gt;1,"记录ID重复",IF(COUNTIF('案件索引'!$A$6:$A$105,B196)=0,"案件ID未登记",IF(OR(C196="",D196="",E196="",F196="",I196="",J196="",K196="",O196="",R196="",T196=""),"补命题、来源、立场、可得性或标注人",IF(AND(R196="条件必要",S196=""),"条件必要须写条件","格式已填；仍须人工复核")))))</x:f>
      </x:c>
    </x:row>
    <x:row r="197" ht="44"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12" t="str">
        <x:f>IF(A197="","",IF(COUNTIF($A$6:$A$505,A197)&gt;1,"记录ID重复",IF(COUNTIF('案件索引'!$A$6:$A$105,B197)=0,"案件ID未登记",IF(OR(C197="",D197="",E197="",F197="",I197="",J197="",K197="",O197="",R197="",T197=""),"补命题、来源、立场、可得性或标注人",IF(AND(R197="条件必要",S197=""),"条件必要须写条件","格式已填；仍须人工复核")))))</x:f>
      </x:c>
    </x:row>
    <x:row r="198" ht="44"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12" t="str">
        <x:f>IF(A198="","",IF(COUNTIF($A$6:$A$505,A198)&gt;1,"记录ID重复",IF(COUNTIF('案件索引'!$A$6:$A$105,B198)=0,"案件ID未登记",IF(OR(C198="",D198="",E198="",F198="",I198="",J198="",K198="",O198="",R198="",T198=""),"补命题、来源、立场、可得性或标注人",IF(AND(R198="条件必要",S198=""),"条件必要须写条件","格式已填；仍须人工复核")))))</x:f>
      </x:c>
    </x:row>
    <x:row r="199" ht="44"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12" t="str">
        <x:f>IF(A199="","",IF(COUNTIF($A$6:$A$505,A199)&gt;1,"记录ID重复",IF(COUNTIF('案件索引'!$A$6:$A$105,B199)=0,"案件ID未登记",IF(OR(C199="",D199="",E199="",F199="",I199="",J199="",K199="",O199="",R199="",T199=""),"补命题、来源、立场、可得性或标注人",IF(AND(R199="条件必要",S199=""),"条件必要须写条件","格式已填；仍须人工复核")))))</x:f>
      </x:c>
    </x:row>
    <x:row r="200" ht="44"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12" t="str">
        <x:f>IF(A200="","",IF(COUNTIF($A$6:$A$505,A200)&gt;1,"记录ID重复",IF(COUNTIF('案件索引'!$A$6:$A$105,B200)=0,"案件ID未登记",IF(OR(C200="",D200="",E200="",F200="",I200="",J200="",K200="",O200="",R200="",T200=""),"补命题、来源、立场、可得性或标注人",IF(AND(R200="条件必要",S200=""),"条件必要须写条件","格式已填；仍须人工复核")))))</x:f>
      </x:c>
    </x:row>
    <x:row r="201" ht="44"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12" t="str">
        <x:f>IF(A201="","",IF(COUNTIF($A$6:$A$505,A201)&gt;1,"记录ID重复",IF(COUNTIF('案件索引'!$A$6:$A$105,B201)=0,"案件ID未登记",IF(OR(C201="",D201="",E201="",F201="",I201="",J201="",K201="",O201="",R201="",T201=""),"补命题、来源、立场、可得性或标注人",IF(AND(R201="条件必要",S201=""),"条件必要须写条件","格式已填；仍须人工复核")))))</x:f>
      </x:c>
    </x:row>
    <x:row r="202" ht="44"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12" t="str">
        <x:f>IF(A202="","",IF(COUNTIF($A$6:$A$505,A202)&gt;1,"记录ID重复",IF(COUNTIF('案件索引'!$A$6:$A$105,B202)=0,"案件ID未登记",IF(OR(C202="",D202="",E202="",F202="",I202="",J202="",K202="",O202="",R202="",T202=""),"补命题、来源、立场、可得性或标注人",IF(AND(R202="条件必要",S202=""),"条件必要须写条件","格式已填；仍须人工复核")))))</x:f>
      </x:c>
    </x:row>
    <x:row r="203" ht="44"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12" t="str">
        <x:f>IF(A203="","",IF(COUNTIF($A$6:$A$505,A203)&gt;1,"记录ID重复",IF(COUNTIF('案件索引'!$A$6:$A$105,B203)=0,"案件ID未登记",IF(OR(C203="",D203="",E203="",F203="",I203="",J203="",K203="",O203="",R203="",T203=""),"补命题、来源、立场、可得性或标注人",IF(AND(R203="条件必要",S203=""),"条件必要须写条件","格式已填；仍须人工复核")))))</x:f>
      </x:c>
    </x:row>
    <x:row r="204" ht="44"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12" t="str">
        <x:f>IF(A204="","",IF(COUNTIF($A$6:$A$505,A204)&gt;1,"记录ID重复",IF(COUNTIF('案件索引'!$A$6:$A$105,B204)=0,"案件ID未登记",IF(OR(C204="",D204="",E204="",F204="",I204="",J204="",K204="",O204="",R204="",T204=""),"补命题、来源、立场、可得性或标注人",IF(AND(R204="条件必要",S204=""),"条件必要须写条件","格式已填；仍须人工复核")))))</x:f>
      </x:c>
    </x:row>
    <x:row r="205" ht="44"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12" t="str">
        <x:f>IF(A205="","",IF(COUNTIF($A$6:$A$505,A205)&gt;1,"记录ID重复",IF(COUNTIF('案件索引'!$A$6:$A$105,B205)=0,"案件ID未登记",IF(OR(C205="",D205="",E205="",F205="",I205="",J205="",K205="",O205="",R205="",T205=""),"补命题、来源、立场、可得性或标注人",IF(AND(R205="条件必要",S205=""),"条件必要须写条件","格式已填；仍须人工复核")))))</x:f>
      </x:c>
    </x:row>
    <x:row r="206" ht="44"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12" t="str">
        <x:f>IF(A206="","",IF(COUNTIF($A$6:$A$505,A206)&gt;1,"记录ID重复",IF(COUNTIF('案件索引'!$A$6:$A$105,B206)=0,"案件ID未登记",IF(OR(C206="",D206="",E206="",F206="",I206="",J206="",K206="",O206="",R206="",T206=""),"补命题、来源、立场、可得性或标注人",IF(AND(R206="条件必要",S206=""),"条件必要须写条件","格式已填；仍须人工复核")))))</x:f>
      </x:c>
    </x:row>
    <x:row r="207" ht="44"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12" t="str">
        <x:f>IF(A207="","",IF(COUNTIF($A$6:$A$505,A207)&gt;1,"记录ID重复",IF(COUNTIF('案件索引'!$A$6:$A$105,B207)=0,"案件ID未登记",IF(OR(C207="",D207="",E207="",F207="",I207="",J207="",K207="",O207="",R207="",T207=""),"补命题、来源、立场、可得性或标注人",IF(AND(R207="条件必要",S207=""),"条件必要须写条件","格式已填；仍须人工复核")))))</x:f>
      </x:c>
    </x:row>
    <x:row r="208" ht="44"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12" t="str">
        <x:f>IF(A208="","",IF(COUNTIF($A$6:$A$505,A208)&gt;1,"记录ID重复",IF(COUNTIF('案件索引'!$A$6:$A$105,B208)=0,"案件ID未登记",IF(OR(C208="",D208="",E208="",F208="",I208="",J208="",K208="",O208="",R208="",T208=""),"补命题、来源、立场、可得性或标注人",IF(AND(R208="条件必要",S208=""),"条件必要须写条件","格式已填；仍须人工复核")))))</x:f>
      </x:c>
    </x:row>
    <x:row r="209" ht="44"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12" t="str">
        <x:f>IF(A209="","",IF(COUNTIF($A$6:$A$505,A209)&gt;1,"记录ID重复",IF(COUNTIF('案件索引'!$A$6:$A$105,B209)=0,"案件ID未登记",IF(OR(C209="",D209="",E209="",F209="",I209="",J209="",K209="",O209="",R209="",T209=""),"补命题、来源、立场、可得性或标注人",IF(AND(R209="条件必要",S209=""),"条件必要须写条件","格式已填；仍须人工复核")))))</x:f>
      </x:c>
    </x:row>
    <x:row r="210" ht="44"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12" t="str">
        <x:f>IF(A210="","",IF(COUNTIF($A$6:$A$505,A210)&gt;1,"记录ID重复",IF(COUNTIF('案件索引'!$A$6:$A$105,B210)=0,"案件ID未登记",IF(OR(C210="",D210="",E210="",F210="",I210="",J210="",K210="",O210="",R210="",T210=""),"补命题、来源、立场、可得性或标注人",IF(AND(R210="条件必要",S210=""),"条件必要须写条件","格式已填；仍须人工复核")))))</x:f>
      </x:c>
    </x:row>
    <x:row r="211" ht="44"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12" t="str">
        <x:f>IF(A211="","",IF(COUNTIF($A$6:$A$505,A211)&gt;1,"记录ID重复",IF(COUNTIF('案件索引'!$A$6:$A$105,B211)=0,"案件ID未登记",IF(OR(C211="",D211="",E211="",F211="",I211="",J211="",K211="",O211="",R211="",T211=""),"补命题、来源、立场、可得性或标注人",IF(AND(R211="条件必要",S211=""),"条件必要须写条件","格式已填；仍须人工复核")))))</x:f>
      </x:c>
    </x:row>
    <x:row r="212" ht="44"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12" t="str">
        <x:f>IF(A212="","",IF(COUNTIF($A$6:$A$505,A212)&gt;1,"记录ID重复",IF(COUNTIF('案件索引'!$A$6:$A$105,B212)=0,"案件ID未登记",IF(OR(C212="",D212="",E212="",F212="",I212="",J212="",K212="",O212="",R212="",T212=""),"补命题、来源、立场、可得性或标注人",IF(AND(R212="条件必要",S212=""),"条件必要须写条件","格式已填；仍须人工复核")))))</x:f>
      </x:c>
    </x:row>
    <x:row r="213" ht="44"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12" t="str">
        <x:f>IF(A213="","",IF(COUNTIF($A$6:$A$505,A213)&gt;1,"记录ID重复",IF(COUNTIF('案件索引'!$A$6:$A$105,B213)=0,"案件ID未登记",IF(OR(C213="",D213="",E213="",F213="",I213="",J213="",K213="",O213="",R213="",T213=""),"补命题、来源、立场、可得性或标注人",IF(AND(R213="条件必要",S213=""),"条件必要须写条件","格式已填；仍须人工复核")))))</x:f>
      </x:c>
    </x:row>
    <x:row r="214" ht="44"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12" t="str">
        <x:f>IF(A214="","",IF(COUNTIF($A$6:$A$505,A214)&gt;1,"记录ID重复",IF(COUNTIF('案件索引'!$A$6:$A$105,B214)=0,"案件ID未登记",IF(OR(C214="",D214="",E214="",F214="",I214="",J214="",K214="",O214="",R214="",T214=""),"补命题、来源、立场、可得性或标注人",IF(AND(R214="条件必要",S214=""),"条件必要须写条件","格式已填；仍须人工复核")))))</x:f>
      </x:c>
    </x:row>
    <x:row r="215" ht="44"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12" t="str">
        <x:f>IF(A215="","",IF(COUNTIF($A$6:$A$505,A215)&gt;1,"记录ID重复",IF(COUNTIF('案件索引'!$A$6:$A$105,B215)=0,"案件ID未登记",IF(OR(C215="",D215="",E215="",F215="",I215="",J215="",K215="",O215="",R215="",T215=""),"补命题、来源、立场、可得性或标注人",IF(AND(R215="条件必要",S215=""),"条件必要须写条件","格式已填；仍须人工复核")))))</x:f>
      </x:c>
    </x:row>
    <x:row r="216" ht="44"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12" t="str">
        <x:f>IF(A216="","",IF(COUNTIF($A$6:$A$505,A216)&gt;1,"记录ID重复",IF(COUNTIF('案件索引'!$A$6:$A$105,B216)=0,"案件ID未登记",IF(OR(C216="",D216="",E216="",F216="",I216="",J216="",K216="",O216="",R216="",T216=""),"补命题、来源、立场、可得性或标注人",IF(AND(R216="条件必要",S216=""),"条件必要须写条件","格式已填；仍须人工复核")))))</x:f>
      </x:c>
    </x:row>
    <x:row r="217" ht="44"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12" t="str">
        <x:f>IF(A217="","",IF(COUNTIF($A$6:$A$505,A217)&gt;1,"记录ID重复",IF(COUNTIF('案件索引'!$A$6:$A$105,B217)=0,"案件ID未登记",IF(OR(C217="",D217="",E217="",F217="",I217="",J217="",K217="",O217="",R217="",T217=""),"补命题、来源、立场、可得性或标注人",IF(AND(R217="条件必要",S217=""),"条件必要须写条件","格式已填；仍须人工复核")))))</x:f>
      </x:c>
    </x:row>
    <x:row r="218" ht="44"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12" t="str">
        <x:f>IF(A218="","",IF(COUNTIF($A$6:$A$505,A218)&gt;1,"记录ID重复",IF(COUNTIF('案件索引'!$A$6:$A$105,B218)=0,"案件ID未登记",IF(OR(C218="",D218="",E218="",F218="",I218="",J218="",K218="",O218="",R218="",T218=""),"补命题、来源、立场、可得性或标注人",IF(AND(R218="条件必要",S218=""),"条件必要须写条件","格式已填；仍须人工复核")))))</x:f>
      </x:c>
    </x:row>
    <x:row r="219" ht="44"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12" t="str">
        <x:f>IF(A219="","",IF(COUNTIF($A$6:$A$505,A219)&gt;1,"记录ID重复",IF(COUNTIF('案件索引'!$A$6:$A$105,B219)=0,"案件ID未登记",IF(OR(C219="",D219="",E219="",F219="",I219="",J219="",K219="",O219="",R219="",T219=""),"补命题、来源、立场、可得性或标注人",IF(AND(R219="条件必要",S219=""),"条件必要须写条件","格式已填；仍须人工复核")))))</x:f>
      </x:c>
    </x:row>
    <x:row r="220" ht="44"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12" t="str">
        <x:f>IF(A220="","",IF(COUNTIF($A$6:$A$505,A220)&gt;1,"记录ID重复",IF(COUNTIF('案件索引'!$A$6:$A$105,B220)=0,"案件ID未登记",IF(OR(C220="",D220="",E220="",F220="",I220="",J220="",K220="",O220="",R220="",T220=""),"补命题、来源、立场、可得性或标注人",IF(AND(R220="条件必要",S220=""),"条件必要须写条件","格式已填；仍须人工复核")))))</x:f>
      </x:c>
    </x:row>
    <x:row r="221" ht="44"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12" t="str">
        <x:f>IF(A221="","",IF(COUNTIF($A$6:$A$505,A221)&gt;1,"记录ID重复",IF(COUNTIF('案件索引'!$A$6:$A$105,B221)=0,"案件ID未登记",IF(OR(C221="",D221="",E221="",F221="",I221="",J221="",K221="",O221="",R221="",T221=""),"补命题、来源、立场、可得性或标注人",IF(AND(R221="条件必要",S221=""),"条件必要须写条件","格式已填；仍须人工复核")))))</x:f>
      </x:c>
    </x:row>
    <x:row r="222" ht="44"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12" t="str">
        <x:f>IF(A222="","",IF(COUNTIF($A$6:$A$505,A222)&gt;1,"记录ID重复",IF(COUNTIF('案件索引'!$A$6:$A$105,B222)=0,"案件ID未登记",IF(OR(C222="",D222="",E222="",F222="",I222="",J222="",K222="",O222="",R222="",T222=""),"补命题、来源、立场、可得性或标注人",IF(AND(R222="条件必要",S222=""),"条件必要须写条件","格式已填；仍须人工复核")))))</x:f>
      </x:c>
    </x:row>
    <x:row r="223" ht="44"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12" t="str">
        <x:f>IF(A223="","",IF(COUNTIF($A$6:$A$505,A223)&gt;1,"记录ID重复",IF(COUNTIF('案件索引'!$A$6:$A$105,B223)=0,"案件ID未登记",IF(OR(C223="",D223="",E223="",F223="",I223="",J223="",K223="",O223="",R223="",T223=""),"补命题、来源、立场、可得性或标注人",IF(AND(R223="条件必要",S223=""),"条件必要须写条件","格式已填；仍须人工复核")))))</x:f>
      </x:c>
    </x:row>
    <x:row r="224" ht="44"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12" t="str">
        <x:f>IF(A224="","",IF(COUNTIF($A$6:$A$505,A224)&gt;1,"记录ID重复",IF(COUNTIF('案件索引'!$A$6:$A$105,B224)=0,"案件ID未登记",IF(OR(C224="",D224="",E224="",F224="",I224="",J224="",K224="",O224="",R224="",T224=""),"补命题、来源、立场、可得性或标注人",IF(AND(R224="条件必要",S224=""),"条件必要须写条件","格式已填；仍须人工复核")))))</x:f>
      </x:c>
    </x:row>
    <x:row r="225" ht="44"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12" t="str">
        <x:f>IF(A225="","",IF(COUNTIF($A$6:$A$505,A225)&gt;1,"记录ID重复",IF(COUNTIF('案件索引'!$A$6:$A$105,B225)=0,"案件ID未登记",IF(OR(C225="",D225="",E225="",F225="",I225="",J225="",K225="",O225="",R225="",T225=""),"补命题、来源、立场、可得性或标注人",IF(AND(R225="条件必要",S225=""),"条件必要须写条件","格式已填；仍须人工复核")))))</x:f>
      </x:c>
    </x:row>
    <x:row r="226" ht="44"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12" t="str">
        <x:f>IF(A226="","",IF(COUNTIF($A$6:$A$505,A226)&gt;1,"记录ID重复",IF(COUNTIF('案件索引'!$A$6:$A$105,B226)=0,"案件ID未登记",IF(OR(C226="",D226="",E226="",F226="",I226="",J226="",K226="",O226="",R226="",T226=""),"补命题、来源、立场、可得性或标注人",IF(AND(R226="条件必要",S226=""),"条件必要须写条件","格式已填；仍须人工复核")))))</x:f>
      </x:c>
    </x:row>
    <x:row r="227" ht="44"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12" t="str">
        <x:f>IF(A227="","",IF(COUNTIF($A$6:$A$505,A227)&gt;1,"记录ID重复",IF(COUNTIF('案件索引'!$A$6:$A$105,B227)=0,"案件ID未登记",IF(OR(C227="",D227="",E227="",F227="",I227="",J227="",K227="",O227="",R227="",T227=""),"补命题、来源、立场、可得性或标注人",IF(AND(R227="条件必要",S227=""),"条件必要须写条件","格式已填；仍须人工复核")))))</x:f>
      </x:c>
    </x:row>
    <x:row r="228" ht="44"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12" t="str">
        <x:f>IF(A228="","",IF(COUNTIF($A$6:$A$505,A228)&gt;1,"记录ID重复",IF(COUNTIF('案件索引'!$A$6:$A$105,B228)=0,"案件ID未登记",IF(OR(C228="",D228="",E228="",F228="",I228="",J228="",K228="",O228="",R228="",T228=""),"补命题、来源、立场、可得性或标注人",IF(AND(R228="条件必要",S228=""),"条件必要须写条件","格式已填；仍须人工复核")))))</x:f>
      </x:c>
    </x:row>
    <x:row r="229" ht="44"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12" t="str">
        <x:f>IF(A229="","",IF(COUNTIF($A$6:$A$505,A229)&gt;1,"记录ID重复",IF(COUNTIF('案件索引'!$A$6:$A$105,B229)=0,"案件ID未登记",IF(OR(C229="",D229="",E229="",F229="",I229="",J229="",K229="",O229="",R229="",T229=""),"补命题、来源、立场、可得性或标注人",IF(AND(R229="条件必要",S229=""),"条件必要须写条件","格式已填；仍须人工复核")))))</x:f>
      </x:c>
    </x:row>
    <x:row r="230" ht="44"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12" t="str">
        <x:f>IF(A230="","",IF(COUNTIF($A$6:$A$505,A230)&gt;1,"记录ID重复",IF(COUNTIF('案件索引'!$A$6:$A$105,B230)=0,"案件ID未登记",IF(OR(C230="",D230="",E230="",F230="",I230="",J230="",K230="",O230="",R230="",T230=""),"补命题、来源、立场、可得性或标注人",IF(AND(R230="条件必要",S230=""),"条件必要须写条件","格式已填；仍须人工复核")))))</x:f>
      </x:c>
    </x:row>
    <x:row r="231" ht="44"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12" t="str">
        <x:f>IF(A231="","",IF(COUNTIF($A$6:$A$505,A231)&gt;1,"记录ID重复",IF(COUNTIF('案件索引'!$A$6:$A$105,B231)=0,"案件ID未登记",IF(OR(C231="",D231="",E231="",F231="",I231="",J231="",K231="",O231="",R231="",T231=""),"补命题、来源、立场、可得性或标注人",IF(AND(R231="条件必要",S231=""),"条件必要须写条件","格式已填；仍须人工复核")))))</x:f>
      </x:c>
    </x:row>
    <x:row r="232" ht="44"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12" t="str">
        <x:f>IF(A232="","",IF(COUNTIF($A$6:$A$505,A232)&gt;1,"记录ID重复",IF(COUNTIF('案件索引'!$A$6:$A$105,B232)=0,"案件ID未登记",IF(OR(C232="",D232="",E232="",F232="",I232="",J232="",K232="",O232="",R232="",T232=""),"补命题、来源、立场、可得性或标注人",IF(AND(R232="条件必要",S232=""),"条件必要须写条件","格式已填；仍须人工复核")))))</x:f>
      </x:c>
    </x:row>
    <x:row r="233" ht="44"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12" t="str">
        <x:f>IF(A233="","",IF(COUNTIF($A$6:$A$505,A233)&gt;1,"记录ID重复",IF(COUNTIF('案件索引'!$A$6:$A$105,B233)=0,"案件ID未登记",IF(OR(C233="",D233="",E233="",F233="",I233="",J233="",K233="",O233="",R233="",T233=""),"补命题、来源、立场、可得性或标注人",IF(AND(R233="条件必要",S233=""),"条件必要须写条件","格式已填；仍须人工复核")))))</x:f>
      </x:c>
    </x:row>
    <x:row r="234" ht="44"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12" t="str">
        <x:f>IF(A234="","",IF(COUNTIF($A$6:$A$505,A234)&gt;1,"记录ID重复",IF(COUNTIF('案件索引'!$A$6:$A$105,B234)=0,"案件ID未登记",IF(OR(C234="",D234="",E234="",F234="",I234="",J234="",K234="",O234="",R234="",T234=""),"补命题、来源、立场、可得性或标注人",IF(AND(R234="条件必要",S234=""),"条件必要须写条件","格式已填；仍须人工复核")))))</x:f>
      </x:c>
    </x:row>
    <x:row r="235" ht="44"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12" t="str">
        <x:f>IF(A235="","",IF(COUNTIF($A$6:$A$505,A235)&gt;1,"记录ID重复",IF(COUNTIF('案件索引'!$A$6:$A$105,B235)=0,"案件ID未登记",IF(OR(C235="",D235="",E235="",F235="",I235="",J235="",K235="",O235="",R235="",T235=""),"补命题、来源、立场、可得性或标注人",IF(AND(R235="条件必要",S235=""),"条件必要须写条件","格式已填；仍须人工复核")))))</x:f>
      </x:c>
    </x:row>
    <x:row r="236" ht="44"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12" t="str">
        <x:f>IF(A236="","",IF(COUNTIF($A$6:$A$505,A236)&gt;1,"记录ID重复",IF(COUNTIF('案件索引'!$A$6:$A$105,B236)=0,"案件ID未登记",IF(OR(C236="",D236="",E236="",F236="",I236="",J236="",K236="",O236="",R236="",T236=""),"补命题、来源、立场、可得性或标注人",IF(AND(R236="条件必要",S236=""),"条件必要须写条件","格式已填；仍须人工复核")))))</x:f>
      </x:c>
    </x:row>
    <x:row r="237" ht="44"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12" t="str">
        <x:f>IF(A237="","",IF(COUNTIF($A$6:$A$505,A237)&gt;1,"记录ID重复",IF(COUNTIF('案件索引'!$A$6:$A$105,B237)=0,"案件ID未登记",IF(OR(C237="",D237="",E237="",F237="",I237="",J237="",K237="",O237="",R237="",T237=""),"补命题、来源、立场、可得性或标注人",IF(AND(R237="条件必要",S237=""),"条件必要须写条件","格式已填；仍须人工复核")))))</x:f>
      </x:c>
    </x:row>
    <x:row r="238" ht="44"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12" t="str">
        <x:f>IF(A238="","",IF(COUNTIF($A$6:$A$505,A238)&gt;1,"记录ID重复",IF(COUNTIF('案件索引'!$A$6:$A$105,B238)=0,"案件ID未登记",IF(OR(C238="",D238="",E238="",F238="",I238="",J238="",K238="",O238="",R238="",T238=""),"补命题、来源、立场、可得性或标注人",IF(AND(R238="条件必要",S238=""),"条件必要须写条件","格式已填；仍须人工复核")))))</x:f>
      </x:c>
    </x:row>
    <x:row r="239" ht="44"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12" t="str">
        <x:f>IF(A239="","",IF(COUNTIF($A$6:$A$505,A239)&gt;1,"记录ID重复",IF(COUNTIF('案件索引'!$A$6:$A$105,B239)=0,"案件ID未登记",IF(OR(C239="",D239="",E239="",F239="",I239="",J239="",K239="",O239="",R239="",T239=""),"补命题、来源、立场、可得性或标注人",IF(AND(R239="条件必要",S239=""),"条件必要须写条件","格式已填；仍须人工复核")))))</x:f>
      </x:c>
    </x:row>
    <x:row r="240" ht="44"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12" t="str">
        <x:f>IF(A240="","",IF(COUNTIF($A$6:$A$505,A240)&gt;1,"记录ID重复",IF(COUNTIF('案件索引'!$A$6:$A$105,B240)=0,"案件ID未登记",IF(OR(C240="",D240="",E240="",F240="",I240="",J240="",K240="",O240="",R240="",T240=""),"补命题、来源、立场、可得性或标注人",IF(AND(R240="条件必要",S240=""),"条件必要须写条件","格式已填；仍须人工复核")))))</x:f>
      </x:c>
    </x:row>
    <x:row r="241" ht="44"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12" t="str">
        <x:f>IF(A241="","",IF(COUNTIF($A$6:$A$505,A241)&gt;1,"记录ID重复",IF(COUNTIF('案件索引'!$A$6:$A$105,B241)=0,"案件ID未登记",IF(OR(C241="",D241="",E241="",F241="",I241="",J241="",K241="",O241="",R241="",T241=""),"补命题、来源、立场、可得性或标注人",IF(AND(R241="条件必要",S241=""),"条件必要须写条件","格式已填；仍须人工复核")))))</x:f>
      </x:c>
    </x:row>
    <x:row r="242" ht="44"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12" t="str">
        <x:f>IF(A242="","",IF(COUNTIF($A$6:$A$505,A242)&gt;1,"记录ID重复",IF(COUNTIF('案件索引'!$A$6:$A$105,B242)=0,"案件ID未登记",IF(OR(C242="",D242="",E242="",F242="",I242="",J242="",K242="",O242="",R242="",T242=""),"补命题、来源、立场、可得性或标注人",IF(AND(R242="条件必要",S242=""),"条件必要须写条件","格式已填；仍须人工复核")))))</x:f>
      </x:c>
    </x:row>
    <x:row r="243" ht="44"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12" t="str">
        <x:f>IF(A243="","",IF(COUNTIF($A$6:$A$505,A243)&gt;1,"记录ID重复",IF(COUNTIF('案件索引'!$A$6:$A$105,B243)=0,"案件ID未登记",IF(OR(C243="",D243="",E243="",F243="",I243="",J243="",K243="",O243="",R243="",T243=""),"补命题、来源、立场、可得性或标注人",IF(AND(R243="条件必要",S243=""),"条件必要须写条件","格式已填；仍须人工复核")))))</x:f>
      </x:c>
    </x:row>
    <x:row r="244" ht="44"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12" t="str">
        <x:f>IF(A244="","",IF(COUNTIF($A$6:$A$505,A244)&gt;1,"记录ID重复",IF(COUNTIF('案件索引'!$A$6:$A$105,B244)=0,"案件ID未登记",IF(OR(C244="",D244="",E244="",F244="",I244="",J244="",K244="",O244="",R244="",T244=""),"补命题、来源、立场、可得性或标注人",IF(AND(R244="条件必要",S244=""),"条件必要须写条件","格式已填；仍须人工复核")))))</x:f>
      </x:c>
    </x:row>
    <x:row r="245" ht="44"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12" t="str">
        <x:f>IF(A245="","",IF(COUNTIF($A$6:$A$505,A245)&gt;1,"记录ID重复",IF(COUNTIF('案件索引'!$A$6:$A$105,B245)=0,"案件ID未登记",IF(OR(C245="",D245="",E245="",F245="",I245="",J245="",K245="",O245="",R245="",T245=""),"补命题、来源、立场、可得性或标注人",IF(AND(R245="条件必要",S245=""),"条件必要须写条件","格式已填；仍须人工复核")))))</x:f>
      </x:c>
    </x:row>
    <x:row r="246" ht="44"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12" t="str">
        <x:f>IF(A246="","",IF(COUNTIF($A$6:$A$505,A246)&gt;1,"记录ID重复",IF(COUNTIF('案件索引'!$A$6:$A$105,B246)=0,"案件ID未登记",IF(OR(C246="",D246="",E246="",F246="",I246="",J246="",K246="",O246="",R246="",T246=""),"补命题、来源、立场、可得性或标注人",IF(AND(R246="条件必要",S246=""),"条件必要须写条件","格式已填；仍须人工复核")))))</x:f>
      </x:c>
    </x:row>
    <x:row r="247" ht="44"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12" t="str">
        <x:f>IF(A247="","",IF(COUNTIF($A$6:$A$505,A247)&gt;1,"记录ID重复",IF(COUNTIF('案件索引'!$A$6:$A$105,B247)=0,"案件ID未登记",IF(OR(C247="",D247="",E247="",F247="",I247="",J247="",K247="",O247="",R247="",T247=""),"补命题、来源、立场、可得性或标注人",IF(AND(R247="条件必要",S247=""),"条件必要须写条件","格式已填；仍须人工复核")))))</x:f>
      </x:c>
    </x:row>
    <x:row r="248" ht="44"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12" t="str">
        <x:f>IF(A248="","",IF(COUNTIF($A$6:$A$505,A248)&gt;1,"记录ID重复",IF(COUNTIF('案件索引'!$A$6:$A$105,B248)=0,"案件ID未登记",IF(OR(C248="",D248="",E248="",F248="",I248="",J248="",K248="",O248="",R248="",T248=""),"补命题、来源、立场、可得性或标注人",IF(AND(R248="条件必要",S248=""),"条件必要须写条件","格式已填；仍须人工复核")))))</x:f>
      </x:c>
    </x:row>
    <x:row r="249" ht="44"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12" t="str">
        <x:f>IF(A249="","",IF(COUNTIF($A$6:$A$505,A249)&gt;1,"记录ID重复",IF(COUNTIF('案件索引'!$A$6:$A$105,B249)=0,"案件ID未登记",IF(OR(C249="",D249="",E249="",F249="",I249="",J249="",K249="",O249="",R249="",T249=""),"补命题、来源、立场、可得性或标注人",IF(AND(R249="条件必要",S249=""),"条件必要须写条件","格式已填；仍须人工复核")))))</x:f>
      </x:c>
    </x:row>
    <x:row r="250" ht="44"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12" t="str">
        <x:f>IF(A250="","",IF(COUNTIF($A$6:$A$505,A250)&gt;1,"记录ID重复",IF(COUNTIF('案件索引'!$A$6:$A$105,B250)=0,"案件ID未登记",IF(OR(C250="",D250="",E250="",F250="",I250="",J250="",K250="",O250="",R250="",T250=""),"补命题、来源、立场、可得性或标注人",IF(AND(R250="条件必要",S250=""),"条件必要须写条件","格式已填；仍须人工复核")))))</x:f>
      </x:c>
    </x:row>
    <x:row r="251" ht="44"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12" t="str">
        <x:f>IF(A251="","",IF(COUNTIF($A$6:$A$505,A251)&gt;1,"记录ID重复",IF(COUNTIF('案件索引'!$A$6:$A$105,B251)=0,"案件ID未登记",IF(OR(C251="",D251="",E251="",F251="",I251="",J251="",K251="",O251="",R251="",T251=""),"补命题、来源、立场、可得性或标注人",IF(AND(R251="条件必要",S251=""),"条件必要须写条件","格式已填；仍须人工复核")))))</x:f>
      </x:c>
    </x:row>
    <x:row r="252" ht="44"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12" t="str">
        <x:f>IF(A252="","",IF(COUNTIF($A$6:$A$505,A252)&gt;1,"记录ID重复",IF(COUNTIF('案件索引'!$A$6:$A$105,B252)=0,"案件ID未登记",IF(OR(C252="",D252="",E252="",F252="",I252="",J252="",K252="",O252="",R252="",T252=""),"补命题、来源、立场、可得性或标注人",IF(AND(R252="条件必要",S252=""),"条件必要须写条件","格式已填；仍须人工复核")))))</x:f>
      </x:c>
    </x:row>
    <x:row r="253" ht="44"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12" t="str">
        <x:f>IF(A253="","",IF(COUNTIF($A$6:$A$505,A253)&gt;1,"记录ID重复",IF(COUNTIF('案件索引'!$A$6:$A$105,B253)=0,"案件ID未登记",IF(OR(C253="",D253="",E253="",F253="",I253="",J253="",K253="",O253="",R253="",T253=""),"补命题、来源、立场、可得性或标注人",IF(AND(R253="条件必要",S253=""),"条件必要须写条件","格式已填；仍须人工复核")))))</x:f>
      </x:c>
    </x:row>
    <x:row r="254" ht="44"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12" t="str">
        <x:f>IF(A254="","",IF(COUNTIF($A$6:$A$505,A254)&gt;1,"记录ID重复",IF(COUNTIF('案件索引'!$A$6:$A$105,B254)=0,"案件ID未登记",IF(OR(C254="",D254="",E254="",F254="",I254="",J254="",K254="",O254="",R254="",T254=""),"补命题、来源、立场、可得性或标注人",IF(AND(R254="条件必要",S254=""),"条件必要须写条件","格式已填；仍须人工复核")))))</x:f>
      </x:c>
    </x:row>
    <x:row r="255" ht="44"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12" t="str">
        <x:f>IF(A255="","",IF(COUNTIF($A$6:$A$505,A255)&gt;1,"记录ID重复",IF(COUNTIF('案件索引'!$A$6:$A$105,B255)=0,"案件ID未登记",IF(OR(C255="",D255="",E255="",F255="",I255="",J255="",K255="",O255="",R255="",T255=""),"补命题、来源、立场、可得性或标注人",IF(AND(R255="条件必要",S255=""),"条件必要须写条件","格式已填；仍须人工复核")))))</x:f>
      </x:c>
    </x:row>
    <x:row r="256" ht="44"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12" t="str">
        <x:f>IF(A256="","",IF(COUNTIF($A$6:$A$505,A256)&gt;1,"记录ID重复",IF(COUNTIF('案件索引'!$A$6:$A$105,B256)=0,"案件ID未登记",IF(OR(C256="",D256="",E256="",F256="",I256="",J256="",K256="",O256="",R256="",T256=""),"补命题、来源、立场、可得性或标注人",IF(AND(R256="条件必要",S256=""),"条件必要须写条件","格式已填；仍须人工复核")))))</x:f>
      </x:c>
    </x:row>
    <x:row r="257" ht="44"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12" t="str">
        <x:f>IF(A257="","",IF(COUNTIF($A$6:$A$505,A257)&gt;1,"记录ID重复",IF(COUNTIF('案件索引'!$A$6:$A$105,B257)=0,"案件ID未登记",IF(OR(C257="",D257="",E257="",F257="",I257="",J257="",K257="",O257="",R257="",T257=""),"补命题、来源、立场、可得性或标注人",IF(AND(R257="条件必要",S257=""),"条件必要须写条件","格式已填；仍须人工复核")))))</x:f>
      </x:c>
    </x:row>
    <x:row r="258" ht="44"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12" t="str">
        <x:f>IF(A258="","",IF(COUNTIF($A$6:$A$505,A258)&gt;1,"记录ID重复",IF(COUNTIF('案件索引'!$A$6:$A$105,B258)=0,"案件ID未登记",IF(OR(C258="",D258="",E258="",F258="",I258="",J258="",K258="",O258="",R258="",T258=""),"补命题、来源、立场、可得性或标注人",IF(AND(R258="条件必要",S258=""),"条件必要须写条件","格式已填；仍须人工复核")))))</x:f>
      </x:c>
    </x:row>
    <x:row r="259" ht="44"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12" t="str">
        <x:f>IF(A259="","",IF(COUNTIF($A$6:$A$505,A259)&gt;1,"记录ID重复",IF(COUNTIF('案件索引'!$A$6:$A$105,B259)=0,"案件ID未登记",IF(OR(C259="",D259="",E259="",F259="",I259="",J259="",K259="",O259="",R259="",T259=""),"补命题、来源、立场、可得性或标注人",IF(AND(R259="条件必要",S259=""),"条件必要须写条件","格式已填；仍须人工复核")))))</x:f>
      </x:c>
    </x:row>
    <x:row r="260" ht="44"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12" t="str">
        <x:f>IF(A260="","",IF(COUNTIF($A$6:$A$505,A260)&gt;1,"记录ID重复",IF(COUNTIF('案件索引'!$A$6:$A$105,B260)=0,"案件ID未登记",IF(OR(C260="",D260="",E260="",F260="",I260="",J260="",K260="",O260="",R260="",T260=""),"补命题、来源、立场、可得性或标注人",IF(AND(R260="条件必要",S260=""),"条件必要须写条件","格式已填；仍须人工复核")))))</x:f>
      </x:c>
    </x:row>
    <x:row r="261" ht="44"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12" t="str">
        <x:f>IF(A261="","",IF(COUNTIF($A$6:$A$505,A261)&gt;1,"记录ID重复",IF(COUNTIF('案件索引'!$A$6:$A$105,B261)=0,"案件ID未登记",IF(OR(C261="",D261="",E261="",F261="",I261="",J261="",K261="",O261="",R261="",T261=""),"补命题、来源、立场、可得性或标注人",IF(AND(R261="条件必要",S261=""),"条件必要须写条件","格式已填；仍须人工复核")))))</x:f>
      </x:c>
    </x:row>
    <x:row r="262" ht="44"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12" t="str">
        <x:f>IF(A262="","",IF(COUNTIF($A$6:$A$505,A262)&gt;1,"记录ID重复",IF(COUNTIF('案件索引'!$A$6:$A$105,B262)=0,"案件ID未登记",IF(OR(C262="",D262="",E262="",F262="",I262="",J262="",K262="",O262="",R262="",T262=""),"补命题、来源、立场、可得性或标注人",IF(AND(R262="条件必要",S262=""),"条件必要须写条件","格式已填；仍须人工复核")))))</x:f>
      </x:c>
    </x:row>
    <x:row r="263" ht="44"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12" t="str">
        <x:f>IF(A263="","",IF(COUNTIF($A$6:$A$505,A263)&gt;1,"记录ID重复",IF(COUNTIF('案件索引'!$A$6:$A$105,B263)=0,"案件ID未登记",IF(OR(C263="",D263="",E263="",F263="",I263="",J263="",K263="",O263="",R263="",T263=""),"补命题、来源、立场、可得性或标注人",IF(AND(R263="条件必要",S263=""),"条件必要须写条件","格式已填；仍须人工复核")))))</x:f>
      </x:c>
    </x:row>
    <x:row r="264" ht="44"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12" t="str">
        <x:f>IF(A264="","",IF(COUNTIF($A$6:$A$505,A264)&gt;1,"记录ID重复",IF(COUNTIF('案件索引'!$A$6:$A$105,B264)=0,"案件ID未登记",IF(OR(C264="",D264="",E264="",F264="",I264="",J264="",K264="",O264="",R264="",T264=""),"补命题、来源、立场、可得性或标注人",IF(AND(R264="条件必要",S264=""),"条件必要须写条件","格式已填；仍须人工复核")))))</x:f>
      </x:c>
    </x:row>
    <x:row r="265" ht="44"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12" t="str">
        <x:f>IF(A265="","",IF(COUNTIF($A$6:$A$505,A265)&gt;1,"记录ID重复",IF(COUNTIF('案件索引'!$A$6:$A$105,B265)=0,"案件ID未登记",IF(OR(C265="",D265="",E265="",F265="",I265="",J265="",K265="",O265="",R265="",T265=""),"补命题、来源、立场、可得性或标注人",IF(AND(R265="条件必要",S265=""),"条件必要须写条件","格式已填；仍须人工复核")))))</x:f>
      </x:c>
    </x:row>
    <x:row r="266" ht="44"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12" t="str">
        <x:f>IF(A266="","",IF(COUNTIF($A$6:$A$505,A266)&gt;1,"记录ID重复",IF(COUNTIF('案件索引'!$A$6:$A$105,B266)=0,"案件ID未登记",IF(OR(C266="",D266="",E266="",F266="",I266="",J266="",K266="",O266="",R266="",T266=""),"补命题、来源、立场、可得性或标注人",IF(AND(R266="条件必要",S266=""),"条件必要须写条件","格式已填；仍须人工复核")))))</x:f>
      </x:c>
    </x:row>
    <x:row r="267" ht="44"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12" t="str">
        <x:f>IF(A267="","",IF(COUNTIF($A$6:$A$505,A267)&gt;1,"记录ID重复",IF(COUNTIF('案件索引'!$A$6:$A$105,B267)=0,"案件ID未登记",IF(OR(C267="",D267="",E267="",F267="",I267="",J267="",K267="",O267="",R267="",T267=""),"补命题、来源、立场、可得性或标注人",IF(AND(R267="条件必要",S267=""),"条件必要须写条件","格式已填；仍须人工复核")))))</x:f>
      </x:c>
    </x:row>
    <x:row r="268" ht="44"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12" t="str">
        <x:f>IF(A268="","",IF(COUNTIF($A$6:$A$505,A268)&gt;1,"记录ID重复",IF(COUNTIF('案件索引'!$A$6:$A$105,B268)=0,"案件ID未登记",IF(OR(C268="",D268="",E268="",F268="",I268="",J268="",K268="",O268="",R268="",T268=""),"补命题、来源、立场、可得性或标注人",IF(AND(R268="条件必要",S268=""),"条件必要须写条件","格式已填；仍须人工复核")))))</x:f>
      </x:c>
    </x:row>
    <x:row r="269" ht="44"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12" t="str">
        <x:f>IF(A269="","",IF(COUNTIF($A$6:$A$505,A269)&gt;1,"记录ID重复",IF(COUNTIF('案件索引'!$A$6:$A$105,B269)=0,"案件ID未登记",IF(OR(C269="",D269="",E269="",F269="",I269="",J269="",K269="",O269="",R269="",T269=""),"补命题、来源、立场、可得性或标注人",IF(AND(R269="条件必要",S269=""),"条件必要须写条件","格式已填；仍须人工复核")))))</x:f>
      </x:c>
    </x:row>
    <x:row r="270" ht="44"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12" t="str">
        <x:f>IF(A270="","",IF(COUNTIF($A$6:$A$505,A270)&gt;1,"记录ID重复",IF(COUNTIF('案件索引'!$A$6:$A$105,B270)=0,"案件ID未登记",IF(OR(C270="",D270="",E270="",F270="",I270="",J270="",K270="",O270="",R270="",T270=""),"补命题、来源、立场、可得性或标注人",IF(AND(R270="条件必要",S270=""),"条件必要须写条件","格式已填；仍须人工复核")))))</x:f>
      </x:c>
    </x:row>
    <x:row r="271" ht="44"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12" t="str">
        <x:f>IF(A271="","",IF(COUNTIF($A$6:$A$505,A271)&gt;1,"记录ID重复",IF(COUNTIF('案件索引'!$A$6:$A$105,B271)=0,"案件ID未登记",IF(OR(C271="",D271="",E271="",F271="",I271="",J271="",K271="",O271="",R271="",T271=""),"补命题、来源、立场、可得性或标注人",IF(AND(R271="条件必要",S271=""),"条件必要须写条件","格式已填；仍须人工复核")))))</x:f>
      </x:c>
    </x:row>
    <x:row r="272" ht="44"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12" t="str">
        <x:f>IF(A272="","",IF(COUNTIF($A$6:$A$505,A272)&gt;1,"记录ID重复",IF(COUNTIF('案件索引'!$A$6:$A$105,B272)=0,"案件ID未登记",IF(OR(C272="",D272="",E272="",F272="",I272="",J272="",K272="",O272="",R272="",T272=""),"补命题、来源、立场、可得性或标注人",IF(AND(R272="条件必要",S272=""),"条件必要须写条件","格式已填；仍须人工复核")))))</x:f>
      </x:c>
    </x:row>
    <x:row r="273" ht="44"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12" t="str">
        <x:f>IF(A273="","",IF(COUNTIF($A$6:$A$505,A273)&gt;1,"记录ID重复",IF(COUNTIF('案件索引'!$A$6:$A$105,B273)=0,"案件ID未登记",IF(OR(C273="",D273="",E273="",F273="",I273="",J273="",K273="",O273="",R273="",T273=""),"补命题、来源、立场、可得性或标注人",IF(AND(R273="条件必要",S273=""),"条件必要须写条件","格式已填；仍须人工复核")))))</x:f>
      </x:c>
    </x:row>
    <x:row r="274" ht="44"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12" t="str">
        <x:f>IF(A274="","",IF(COUNTIF($A$6:$A$505,A274)&gt;1,"记录ID重复",IF(COUNTIF('案件索引'!$A$6:$A$105,B274)=0,"案件ID未登记",IF(OR(C274="",D274="",E274="",F274="",I274="",J274="",K274="",O274="",R274="",T274=""),"补命题、来源、立场、可得性或标注人",IF(AND(R274="条件必要",S274=""),"条件必要须写条件","格式已填；仍须人工复核")))))</x:f>
      </x:c>
    </x:row>
    <x:row r="275" ht="44"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12" t="str">
        <x:f>IF(A275="","",IF(COUNTIF($A$6:$A$505,A275)&gt;1,"记录ID重复",IF(COUNTIF('案件索引'!$A$6:$A$105,B275)=0,"案件ID未登记",IF(OR(C275="",D275="",E275="",F275="",I275="",J275="",K275="",O275="",R275="",T275=""),"补命题、来源、立场、可得性或标注人",IF(AND(R275="条件必要",S275=""),"条件必要须写条件","格式已填；仍须人工复核")))))</x:f>
      </x:c>
    </x:row>
    <x:row r="276" ht="44"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12" t="str">
        <x:f>IF(A276="","",IF(COUNTIF($A$6:$A$505,A276)&gt;1,"记录ID重复",IF(COUNTIF('案件索引'!$A$6:$A$105,B276)=0,"案件ID未登记",IF(OR(C276="",D276="",E276="",F276="",I276="",J276="",K276="",O276="",R276="",T276=""),"补命题、来源、立场、可得性或标注人",IF(AND(R276="条件必要",S276=""),"条件必要须写条件","格式已填；仍须人工复核")))))</x:f>
      </x:c>
    </x:row>
    <x:row r="277" ht="44"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12" t="str">
        <x:f>IF(A277="","",IF(COUNTIF($A$6:$A$505,A277)&gt;1,"记录ID重复",IF(COUNTIF('案件索引'!$A$6:$A$105,B277)=0,"案件ID未登记",IF(OR(C277="",D277="",E277="",F277="",I277="",J277="",K277="",O277="",R277="",T277=""),"补命题、来源、立场、可得性或标注人",IF(AND(R277="条件必要",S277=""),"条件必要须写条件","格式已填；仍须人工复核")))))</x:f>
      </x:c>
    </x:row>
    <x:row r="278" ht="44"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12" t="str">
        <x:f>IF(A278="","",IF(COUNTIF($A$6:$A$505,A278)&gt;1,"记录ID重复",IF(COUNTIF('案件索引'!$A$6:$A$105,B278)=0,"案件ID未登记",IF(OR(C278="",D278="",E278="",F278="",I278="",J278="",K278="",O278="",R278="",T278=""),"补命题、来源、立场、可得性或标注人",IF(AND(R278="条件必要",S278=""),"条件必要须写条件","格式已填；仍须人工复核")))))</x:f>
      </x:c>
    </x:row>
    <x:row r="279" ht="44"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12" t="str">
        <x:f>IF(A279="","",IF(COUNTIF($A$6:$A$505,A279)&gt;1,"记录ID重复",IF(COUNTIF('案件索引'!$A$6:$A$105,B279)=0,"案件ID未登记",IF(OR(C279="",D279="",E279="",F279="",I279="",J279="",K279="",O279="",R279="",T279=""),"补命题、来源、立场、可得性或标注人",IF(AND(R279="条件必要",S279=""),"条件必要须写条件","格式已填；仍须人工复核")))))</x:f>
      </x:c>
    </x:row>
    <x:row r="280" ht="44"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12" t="str">
        <x:f>IF(A280="","",IF(COUNTIF($A$6:$A$505,A280)&gt;1,"记录ID重复",IF(COUNTIF('案件索引'!$A$6:$A$105,B280)=0,"案件ID未登记",IF(OR(C280="",D280="",E280="",F280="",I280="",J280="",K280="",O280="",R280="",T280=""),"补命题、来源、立场、可得性或标注人",IF(AND(R280="条件必要",S280=""),"条件必要须写条件","格式已填；仍须人工复核")))))</x:f>
      </x:c>
    </x:row>
    <x:row r="281" ht="44"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12" t="str">
        <x:f>IF(A281="","",IF(COUNTIF($A$6:$A$505,A281)&gt;1,"记录ID重复",IF(COUNTIF('案件索引'!$A$6:$A$105,B281)=0,"案件ID未登记",IF(OR(C281="",D281="",E281="",F281="",I281="",J281="",K281="",O281="",R281="",T281=""),"补命题、来源、立场、可得性或标注人",IF(AND(R281="条件必要",S281=""),"条件必要须写条件","格式已填；仍须人工复核")))))</x:f>
      </x:c>
    </x:row>
    <x:row r="282" ht="44"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12" t="str">
        <x:f>IF(A282="","",IF(COUNTIF($A$6:$A$505,A282)&gt;1,"记录ID重复",IF(COUNTIF('案件索引'!$A$6:$A$105,B282)=0,"案件ID未登记",IF(OR(C282="",D282="",E282="",F282="",I282="",J282="",K282="",O282="",R282="",T282=""),"补命题、来源、立场、可得性或标注人",IF(AND(R282="条件必要",S282=""),"条件必要须写条件","格式已填；仍须人工复核")))))</x:f>
      </x:c>
    </x:row>
    <x:row r="283" ht="44"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12" t="str">
        <x:f>IF(A283="","",IF(COUNTIF($A$6:$A$505,A283)&gt;1,"记录ID重复",IF(COUNTIF('案件索引'!$A$6:$A$105,B283)=0,"案件ID未登记",IF(OR(C283="",D283="",E283="",F283="",I283="",J283="",K283="",O283="",R283="",T283=""),"补命题、来源、立场、可得性或标注人",IF(AND(R283="条件必要",S283=""),"条件必要须写条件","格式已填；仍须人工复核")))))</x:f>
      </x:c>
    </x:row>
    <x:row r="284" ht="44"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12" t="str">
        <x:f>IF(A284="","",IF(COUNTIF($A$6:$A$505,A284)&gt;1,"记录ID重复",IF(COUNTIF('案件索引'!$A$6:$A$105,B284)=0,"案件ID未登记",IF(OR(C284="",D284="",E284="",F284="",I284="",J284="",K284="",O284="",R284="",T284=""),"补命题、来源、立场、可得性或标注人",IF(AND(R284="条件必要",S284=""),"条件必要须写条件","格式已填；仍须人工复核")))))</x:f>
      </x:c>
    </x:row>
    <x:row r="285" ht="44"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12" t="str">
        <x:f>IF(A285="","",IF(COUNTIF($A$6:$A$505,A285)&gt;1,"记录ID重复",IF(COUNTIF('案件索引'!$A$6:$A$105,B285)=0,"案件ID未登记",IF(OR(C285="",D285="",E285="",F285="",I285="",J285="",K285="",O285="",R285="",T285=""),"补命题、来源、立场、可得性或标注人",IF(AND(R285="条件必要",S285=""),"条件必要须写条件","格式已填；仍须人工复核")))))</x:f>
      </x:c>
    </x:row>
    <x:row r="286" ht="44"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12" t="str">
        <x:f>IF(A286="","",IF(COUNTIF($A$6:$A$505,A286)&gt;1,"记录ID重复",IF(COUNTIF('案件索引'!$A$6:$A$105,B286)=0,"案件ID未登记",IF(OR(C286="",D286="",E286="",F286="",I286="",J286="",K286="",O286="",R286="",T286=""),"补命题、来源、立场、可得性或标注人",IF(AND(R286="条件必要",S286=""),"条件必要须写条件","格式已填；仍须人工复核")))))</x:f>
      </x:c>
    </x:row>
    <x:row r="287" ht="44"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12" t="str">
        <x:f>IF(A287="","",IF(COUNTIF($A$6:$A$505,A287)&gt;1,"记录ID重复",IF(COUNTIF('案件索引'!$A$6:$A$105,B287)=0,"案件ID未登记",IF(OR(C287="",D287="",E287="",F287="",I287="",J287="",K287="",O287="",R287="",T287=""),"补命题、来源、立场、可得性或标注人",IF(AND(R287="条件必要",S287=""),"条件必要须写条件","格式已填；仍须人工复核")))))</x:f>
      </x:c>
    </x:row>
    <x:row r="288" ht="44"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12" t="str">
        <x:f>IF(A288="","",IF(COUNTIF($A$6:$A$505,A288)&gt;1,"记录ID重复",IF(COUNTIF('案件索引'!$A$6:$A$105,B288)=0,"案件ID未登记",IF(OR(C288="",D288="",E288="",F288="",I288="",J288="",K288="",O288="",R288="",T288=""),"补命题、来源、立场、可得性或标注人",IF(AND(R288="条件必要",S288=""),"条件必要须写条件","格式已填；仍须人工复核")))))</x:f>
      </x:c>
    </x:row>
    <x:row r="289" ht="44"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12" t="str">
        <x:f>IF(A289="","",IF(COUNTIF($A$6:$A$505,A289)&gt;1,"记录ID重复",IF(COUNTIF('案件索引'!$A$6:$A$105,B289)=0,"案件ID未登记",IF(OR(C289="",D289="",E289="",F289="",I289="",J289="",K289="",O289="",R289="",T289=""),"补命题、来源、立场、可得性或标注人",IF(AND(R289="条件必要",S289=""),"条件必要须写条件","格式已填；仍须人工复核")))))</x:f>
      </x:c>
    </x:row>
    <x:row r="290" ht="44"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12" t="str">
        <x:f>IF(A290="","",IF(COUNTIF($A$6:$A$505,A290)&gt;1,"记录ID重复",IF(COUNTIF('案件索引'!$A$6:$A$105,B290)=0,"案件ID未登记",IF(OR(C290="",D290="",E290="",F290="",I290="",J290="",K290="",O290="",R290="",T290=""),"补命题、来源、立场、可得性或标注人",IF(AND(R290="条件必要",S290=""),"条件必要须写条件","格式已填；仍须人工复核")))))</x:f>
      </x:c>
    </x:row>
    <x:row r="291" ht="44"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12" t="str">
        <x:f>IF(A291="","",IF(COUNTIF($A$6:$A$505,A291)&gt;1,"记录ID重复",IF(COUNTIF('案件索引'!$A$6:$A$105,B291)=0,"案件ID未登记",IF(OR(C291="",D291="",E291="",F291="",I291="",J291="",K291="",O291="",R291="",T291=""),"补命题、来源、立场、可得性或标注人",IF(AND(R291="条件必要",S291=""),"条件必要须写条件","格式已填；仍须人工复核")))))</x:f>
      </x:c>
    </x:row>
    <x:row r="292" ht="44"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12" t="str">
        <x:f>IF(A292="","",IF(COUNTIF($A$6:$A$505,A292)&gt;1,"记录ID重复",IF(COUNTIF('案件索引'!$A$6:$A$105,B292)=0,"案件ID未登记",IF(OR(C292="",D292="",E292="",F292="",I292="",J292="",K292="",O292="",R292="",T292=""),"补命题、来源、立场、可得性或标注人",IF(AND(R292="条件必要",S292=""),"条件必要须写条件","格式已填；仍须人工复核")))))</x:f>
      </x:c>
    </x:row>
    <x:row r="293" ht="44"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12" t="str">
        <x:f>IF(A293="","",IF(COUNTIF($A$6:$A$505,A293)&gt;1,"记录ID重复",IF(COUNTIF('案件索引'!$A$6:$A$105,B293)=0,"案件ID未登记",IF(OR(C293="",D293="",E293="",F293="",I293="",J293="",K293="",O293="",R293="",T293=""),"补命题、来源、立场、可得性或标注人",IF(AND(R293="条件必要",S293=""),"条件必要须写条件","格式已填；仍须人工复核")))))</x:f>
      </x:c>
    </x:row>
    <x:row r="294" ht="44"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12" t="str">
        <x:f>IF(A294="","",IF(COUNTIF($A$6:$A$505,A294)&gt;1,"记录ID重复",IF(COUNTIF('案件索引'!$A$6:$A$105,B294)=0,"案件ID未登记",IF(OR(C294="",D294="",E294="",F294="",I294="",J294="",K294="",O294="",R294="",T294=""),"补命题、来源、立场、可得性或标注人",IF(AND(R294="条件必要",S294=""),"条件必要须写条件","格式已填；仍须人工复核")))))</x:f>
      </x:c>
    </x:row>
    <x:row r="295" ht="44"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12" t="str">
        <x:f>IF(A295="","",IF(COUNTIF($A$6:$A$505,A295)&gt;1,"记录ID重复",IF(COUNTIF('案件索引'!$A$6:$A$105,B295)=0,"案件ID未登记",IF(OR(C295="",D295="",E295="",F295="",I295="",J295="",K295="",O295="",R295="",T295=""),"补命题、来源、立场、可得性或标注人",IF(AND(R295="条件必要",S295=""),"条件必要须写条件","格式已填；仍须人工复核")))))</x:f>
      </x:c>
    </x:row>
    <x:row r="296" ht="44"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12" t="str">
        <x:f>IF(A296="","",IF(COUNTIF($A$6:$A$505,A296)&gt;1,"记录ID重复",IF(COUNTIF('案件索引'!$A$6:$A$105,B296)=0,"案件ID未登记",IF(OR(C296="",D296="",E296="",F296="",I296="",J296="",K296="",O296="",R296="",T296=""),"补命题、来源、立场、可得性或标注人",IF(AND(R296="条件必要",S296=""),"条件必要须写条件","格式已填；仍须人工复核")))))</x:f>
      </x:c>
    </x:row>
    <x:row r="297" ht="44"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12" t="str">
        <x:f>IF(A297="","",IF(COUNTIF($A$6:$A$505,A297)&gt;1,"记录ID重复",IF(COUNTIF('案件索引'!$A$6:$A$105,B297)=0,"案件ID未登记",IF(OR(C297="",D297="",E297="",F297="",I297="",J297="",K297="",O297="",R297="",T297=""),"补命题、来源、立场、可得性或标注人",IF(AND(R297="条件必要",S297=""),"条件必要须写条件","格式已填；仍须人工复核")))))</x:f>
      </x:c>
    </x:row>
    <x:row r="298" ht="44"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12" t="str">
        <x:f>IF(A298="","",IF(COUNTIF($A$6:$A$505,A298)&gt;1,"记录ID重复",IF(COUNTIF('案件索引'!$A$6:$A$105,B298)=0,"案件ID未登记",IF(OR(C298="",D298="",E298="",F298="",I298="",J298="",K298="",O298="",R298="",T298=""),"补命题、来源、立场、可得性或标注人",IF(AND(R298="条件必要",S298=""),"条件必要须写条件","格式已填；仍须人工复核")))))</x:f>
      </x:c>
    </x:row>
    <x:row r="299" ht="44"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12" t="str">
        <x:f>IF(A299="","",IF(COUNTIF($A$6:$A$505,A299)&gt;1,"记录ID重复",IF(COUNTIF('案件索引'!$A$6:$A$105,B299)=0,"案件ID未登记",IF(OR(C299="",D299="",E299="",F299="",I299="",J299="",K299="",O299="",R299="",T299=""),"补命题、来源、立场、可得性或标注人",IF(AND(R299="条件必要",S299=""),"条件必要须写条件","格式已填；仍须人工复核")))))</x:f>
      </x:c>
    </x:row>
    <x:row r="300" ht="44"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12" t="str">
        <x:f>IF(A300="","",IF(COUNTIF($A$6:$A$505,A300)&gt;1,"记录ID重复",IF(COUNTIF('案件索引'!$A$6:$A$105,B300)=0,"案件ID未登记",IF(OR(C300="",D300="",E300="",F300="",I300="",J300="",K300="",O300="",R300="",T300=""),"补命题、来源、立场、可得性或标注人",IF(AND(R300="条件必要",S300=""),"条件必要须写条件","格式已填；仍须人工复核")))))</x:f>
      </x:c>
    </x:row>
    <x:row r="301" ht="44"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12" t="str">
        <x:f>IF(A301="","",IF(COUNTIF($A$6:$A$505,A301)&gt;1,"记录ID重复",IF(COUNTIF('案件索引'!$A$6:$A$105,B301)=0,"案件ID未登记",IF(OR(C301="",D301="",E301="",F301="",I301="",J301="",K301="",O301="",R301="",T301=""),"补命题、来源、立场、可得性或标注人",IF(AND(R301="条件必要",S301=""),"条件必要须写条件","格式已填；仍须人工复核")))))</x:f>
      </x:c>
    </x:row>
    <x:row r="302" ht="44"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12" t="str">
        <x:f>IF(A302="","",IF(COUNTIF($A$6:$A$505,A302)&gt;1,"记录ID重复",IF(COUNTIF('案件索引'!$A$6:$A$105,B302)=0,"案件ID未登记",IF(OR(C302="",D302="",E302="",F302="",I302="",J302="",K302="",O302="",R302="",T302=""),"补命题、来源、立场、可得性或标注人",IF(AND(R302="条件必要",S302=""),"条件必要须写条件","格式已填；仍须人工复核")))))</x:f>
      </x:c>
    </x:row>
    <x:row r="303" ht="44"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12" t="str">
        <x:f>IF(A303="","",IF(COUNTIF($A$6:$A$505,A303)&gt;1,"记录ID重复",IF(COUNTIF('案件索引'!$A$6:$A$105,B303)=0,"案件ID未登记",IF(OR(C303="",D303="",E303="",F303="",I303="",J303="",K303="",O303="",R303="",T303=""),"补命题、来源、立场、可得性或标注人",IF(AND(R303="条件必要",S303=""),"条件必要须写条件","格式已填；仍须人工复核")))))</x:f>
      </x:c>
    </x:row>
    <x:row r="304" ht="44"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12" t="str">
        <x:f>IF(A304="","",IF(COUNTIF($A$6:$A$505,A304)&gt;1,"记录ID重复",IF(COUNTIF('案件索引'!$A$6:$A$105,B304)=0,"案件ID未登记",IF(OR(C304="",D304="",E304="",F304="",I304="",J304="",K304="",O304="",R304="",T304=""),"补命题、来源、立场、可得性或标注人",IF(AND(R304="条件必要",S304=""),"条件必要须写条件","格式已填；仍须人工复核")))))</x:f>
      </x:c>
    </x:row>
    <x:row r="305" ht="44"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12" t="str">
        <x:f>IF(A305="","",IF(COUNTIF($A$6:$A$505,A305)&gt;1,"记录ID重复",IF(COUNTIF('案件索引'!$A$6:$A$105,B305)=0,"案件ID未登记",IF(OR(C305="",D305="",E305="",F305="",I305="",J305="",K305="",O305="",R305="",T305=""),"补命题、来源、立场、可得性或标注人",IF(AND(R305="条件必要",S305=""),"条件必要须写条件","格式已填；仍须人工复核")))))</x:f>
      </x:c>
    </x:row>
    <x:row r="306" ht="44"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12" t="str">
        <x:f>IF(A306="","",IF(COUNTIF($A$6:$A$505,A306)&gt;1,"记录ID重复",IF(COUNTIF('案件索引'!$A$6:$A$105,B306)=0,"案件ID未登记",IF(OR(C306="",D306="",E306="",F306="",I306="",J306="",K306="",O306="",R306="",T306=""),"补命题、来源、立场、可得性或标注人",IF(AND(R306="条件必要",S306=""),"条件必要须写条件","格式已填；仍须人工复核")))))</x:f>
      </x:c>
    </x:row>
    <x:row r="307" ht="44"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12" t="str">
        <x:f>IF(A307="","",IF(COUNTIF($A$6:$A$505,A307)&gt;1,"记录ID重复",IF(COUNTIF('案件索引'!$A$6:$A$105,B307)=0,"案件ID未登记",IF(OR(C307="",D307="",E307="",F307="",I307="",J307="",K307="",O307="",R307="",T307=""),"补命题、来源、立场、可得性或标注人",IF(AND(R307="条件必要",S307=""),"条件必要须写条件","格式已填；仍须人工复核")))))</x:f>
      </x:c>
    </x:row>
    <x:row r="308" ht="44"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12" t="str">
        <x:f>IF(A308="","",IF(COUNTIF($A$6:$A$505,A308)&gt;1,"记录ID重复",IF(COUNTIF('案件索引'!$A$6:$A$105,B308)=0,"案件ID未登记",IF(OR(C308="",D308="",E308="",F308="",I308="",J308="",K308="",O308="",R308="",T308=""),"补命题、来源、立场、可得性或标注人",IF(AND(R308="条件必要",S308=""),"条件必要须写条件","格式已填；仍须人工复核")))))</x:f>
      </x:c>
    </x:row>
    <x:row r="309" ht="44"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12" t="str">
        <x:f>IF(A309="","",IF(COUNTIF($A$6:$A$505,A309)&gt;1,"记录ID重复",IF(COUNTIF('案件索引'!$A$6:$A$105,B309)=0,"案件ID未登记",IF(OR(C309="",D309="",E309="",F309="",I309="",J309="",K309="",O309="",R309="",T309=""),"补命题、来源、立场、可得性或标注人",IF(AND(R309="条件必要",S309=""),"条件必要须写条件","格式已填；仍须人工复核")))))</x:f>
      </x:c>
    </x:row>
    <x:row r="310" ht="44"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12" t="str">
        <x:f>IF(A310="","",IF(COUNTIF($A$6:$A$505,A310)&gt;1,"记录ID重复",IF(COUNTIF('案件索引'!$A$6:$A$105,B310)=0,"案件ID未登记",IF(OR(C310="",D310="",E310="",F310="",I310="",J310="",K310="",O310="",R310="",T310=""),"补命题、来源、立场、可得性或标注人",IF(AND(R310="条件必要",S310=""),"条件必要须写条件","格式已填；仍须人工复核")))))</x:f>
      </x:c>
    </x:row>
    <x:row r="311" ht="44"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12" t="str">
        <x:f>IF(A311="","",IF(COUNTIF($A$6:$A$505,A311)&gt;1,"记录ID重复",IF(COUNTIF('案件索引'!$A$6:$A$105,B311)=0,"案件ID未登记",IF(OR(C311="",D311="",E311="",F311="",I311="",J311="",K311="",O311="",R311="",T311=""),"补命题、来源、立场、可得性或标注人",IF(AND(R311="条件必要",S311=""),"条件必要须写条件","格式已填；仍须人工复核")))))</x:f>
      </x:c>
    </x:row>
    <x:row r="312" ht="44"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12" t="str">
        <x:f>IF(A312="","",IF(COUNTIF($A$6:$A$505,A312)&gt;1,"记录ID重复",IF(COUNTIF('案件索引'!$A$6:$A$105,B312)=0,"案件ID未登记",IF(OR(C312="",D312="",E312="",F312="",I312="",J312="",K312="",O312="",R312="",T312=""),"补命题、来源、立场、可得性或标注人",IF(AND(R312="条件必要",S312=""),"条件必要须写条件","格式已填；仍须人工复核")))))</x:f>
      </x:c>
    </x:row>
    <x:row r="313" ht="44"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12" t="str">
        <x:f>IF(A313="","",IF(COUNTIF($A$6:$A$505,A313)&gt;1,"记录ID重复",IF(COUNTIF('案件索引'!$A$6:$A$105,B313)=0,"案件ID未登记",IF(OR(C313="",D313="",E313="",F313="",I313="",J313="",K313="",O313="",R313="",T313=""),"补命题、来源、立场、可得性或标注人",IF(AND(R313="条件必要",S313=""),"条件必要须写条件","格式已填；仍须人工复核")))))</x:f>
      </x:c>
    </x:row>
    <x:row r="314" ht="44"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12" t="str">
        <x:f>IF(A314="","",IF(COUNTIF($A$6:$A$505,A314)&gt;1,"记录ID重复",IF(COUNTIF('案件索引'!$A$6:$A$105,B314)=0,"案件ID未登记",IF(OR(C314="",D314="",E314="",F314="",I314="",J314="",K314="",O314="",R314="",T314=""),"补命题、来源、立场、可得性或标注人",IF(AND(R314="条件必要",S314=""),"条件必要须写条件","格式已填；仍须人工复核")))))</x:f>
      </x:c>
    </x:row>
    <x:row r="315" ht="44"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12" t="str">
        <x:f>IF(A315="","",IF(COUNTIF($A$6:$A$505,A315)&gt;1,"记录ID重复",IF(COUNTIF('案件索引'!$A$6:$A$105,B315)=0,"案件ID未登记",IF(OR(C315="",D315="",E315="",F315="",I315="",J315="",K315="",O315="",R315="",T315=""),"补命题、来源、立场、可得性或标注人",IF(AND(R315="条件必要",S315=""),"条件必要须写条件","格式已填；仍须人工复核")))))</x:f>
      </x:c>
    </x:row>
    <x:row r="316" ht="44"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12" t="str">
        <x:f>IF(A316="","",IF(COUNTIF($A$6:$A$505,A316)&gt;1,"记录ID重复",IF(COUNTIF('案件索引'!$A$6:$A$105,B316)=0,"案件ID未登记",IF(OR(C316="",D316="",E316="",F316="",I316="",J316="",K316="",O316="",R316="",T316=""),"补命题、来源、立场、可得性或标注人",IF(AND(R316="条件必要",S316=""),"条件必要须写条件","格式已填；仍须人工复核")))))</x:f>
      </x:c>
    </x:row>
    <x:row r="317" ht="44"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12" t="str">
        <x:f>IF(A317="","",IF(COUNTIF($A$6:$A$505,A317)&gt;1,"记录ID重复",IF(COUNTIF('案件索引'!$A$6:$A$105,B317)=0,"案件ID未登记",IF(OR(C317="",D317="",E317="",F317="",I317="",J317="",K317="",O317="",R317="",T317=""),"补命题、来源、立场、可得性或标注人",IF(AND(R317="条件必要",S317=""),"条件必要须写条件","格式已填；仍须人工复核")))))</x:f>
      </x:c>
    </x:row>
    <x:row r="318" ht="44"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12" t="str">
        <x:f>IF(A318="","",IF(COUNTIF($A$6:$A$505,A318)&gt;1,"记录ID重复",IF(COUNTIF('案件索引'!$A$6:$A$105,B318)=0,"案件ID未登记",IF(OR(C318="",D318="",E318="",F318="",I318="",J318="",K318="",O318="",R318="",T318=""),"补命题、来源、立场、可得性或标注人",IF(AND(R318="条件必要",S318=""),"条件必要须写条件","格式已填；仍须人工复核")))))</x:f>
      </x:c>
    </x:row>
    <x:row r="319" ht="44"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12" t="str">
        <x:f>IF(A319="","",IF(COUNTIF($A$6:$A$505,A319)&gt;1,"记录ID重复",IF(COUNTIF('案件索引'!$A$6:$A$105,B319)=0,"案件ID未登记",IF(OR(C319="",D319="",E319="",F319="",I319="",J319="",K319="",O319="",R319="",T319=""),"补命题、来源、立场、可得性或标注人",IF(AND(R319="条件必要",S319=""),"条件必要须写条件","格式已填；仍须人工复核")))))</x:f>
      </x:c>
    </x:row>
    <x:row r="320" ht="44"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12" t="str">
        <x:f>IF(A320="","",IF(COUNTIF($A$6:$A$505,A320)&gt;1,"记录ID重复",IF(COUNTIF('案件索引'!$A$6:$A$105,B320)=0,"案件ID未登记",IF(OR(C320="",D320="",E320="",F320="",I320="",J320="",K320="",O320="",R320="",T320=""),"补命题、来源、立场、可得性或标注人",IF(AND(R320="条件必要",S320=""),"条件必要须写条件","格式已填；仍须人工复核")))))</x:f>
      </x:c>
    </x:row>
    <x:row r="321" ht="44"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12" t="str">
        <x:f>IF(A321="","",IF(COUNTIF($A$6:$A$505,A321)&gt;1,"记录ID重复",IF(COUNTIF('案件索引'!$A$6:$A$105,B321)=0,"案件ID未登记",IF(OR(C321="",D321="",E321="",F321="",I321="",J321="",K321="",O321="",R321="",T321=""),"补命题、来源、立场、可得性或标注人",IF(AND(R321="条件必要",S321=""),"条件必要须写条件","格式已填；仍须人工复核")))))</x:f>
      </x:c>
    </x:row>
    <x:row r="322" ht="44"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12" t="str">
        <x:f>IF(A322="","",IF(COUNTIF($A$6:$A$505,A322)&gt;1,"记录ID重复",IF(COUNTIF('案件索引'!$A$6:$A$105,B322)=0,"案件ID未登记",IF(OR(C322="",D322="",E322="",F322="",I322="",J322="",K322="",O322="",R322="",T322=""),"补命题、来源、立场、可得性或标注人",IF(AND(R322="条件必要",S322=""),"条件必要须写条件","格式已填；仍须人工复核")))))</x:f>
      </x:c>
    </x:row>
    <x:row r="323" ht="44"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12" t="str">
        <x:f>IF(A323="","",IF(COUNTIF($A$6:$A$505,A323)&gt;1,"记录ID重复",IF(COUNTIF('案件索引'!$A$6:$A$105,B323)=0,"案件ID未登记",IF(OR(C323="",D323="",E323="",F323="",I323="",J323="",K323="",O323="",R323="",T323=""),"补命题、来源、立场、可得性或标注人",IF(AND(R323="条件必要",S323=""),"条件必要须写条件","格式已填；仍须人工复核")))))</x:f>
      </x:c>
    </x:row>
    <x:row r="324" ht="44"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12" t="str">
        <x:f>IF(A324="","",IF(COUNTIF($A$6:$A$505,A324)&gt;1,"记录ID重复",IF(COUNTIF('案件索引'!$A$6:$A$105,B324)=0,"案件ID未登记",IF(OR(C324="",D324="",E324="",F324="",I324="",J324="",K324="",O324="",R324="",T324=""),"补命题、来源、立场、可得性或标注人",IF(AND(R324="条件必要",S324=""),"条件必要须写条件","格式已填；仍须人工复核")))))</x:f>
      </x:c>
    </x:row>
    <x:row r="325" ht="44"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12" t="str">
        <x:f>IF(A325="","",IF(COUNTIF($A$6:$A$505,A325)&gt;1,"记录ID重复",IF(COUNTIF('案件索引'!$A$6:$A$105,B325)=0,"案件ID未登记",IF(OR(C325="",D325="",E325="",F325="",I325="",J325="",K325="",O325="",R325="",T325=""),"补命题、来源、立场、可得性或标注人",IF(AND(R325="条件必要",S325=""),"条件必要须写条件","格式已填；仍须人工复核")))))</x:f>
      </x:c>
    </x:row>
    <x:row r="326" ht="44"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12" t="str">
        <x:f>IF(A326="","",IF(COUNTIF($A$6:$A$505,A326)&gt;1,"记录ID重复",IF(COUNTIF('案件索引'!$A$6:$A$105,B326)=0,"案件ID未登记",IF(OR(C326="",D326="",E326="",F326="",I326="",J326="",K326="",O326="",R326="",T326=""),"补命题、来源、立场、可得性或标注人",IF(AND(R326="条件必要",S326=""),"条件必要须写条件","格式已填；仍须人工复核")))))</x:f>
      </x:c>
    </x:row>
    <x:row r="327" ht="44"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12" t="str">
        <x:f>IF(A327="","",IF(COUNTIF($A$6:$A$505,A327)&gt;1,"记录ID重复",IF(COUNTIF('案件索引'!$A$6:$A$105,B327)=0,"案件ID未登记",IF(OR(C327="",D327="",E327="",F327="",I327="",J327="",K327="",O327="",R327="",T327=""),"补命题、来源、立场、可得性或标注人",IF(AND(R327="条件必要",S327=""),"条件必要须写条件","格式已填；仍须人工复核")))))</x:f>
      </x:c>
    </x:row>
    <x:row r="328" ht="44"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12" t="str">
        <x:f>IF(A328="","",IF(COUNTIF($A$6:$A$505,A328)&gt;1,"记录ID重复",IF(COUNTIF('案件索引'!$A$6:$A$105,B328)=0,"案件ID未登记",IF(OR(C328="",D328="",E328="",F328="",I328="",J328="",K328="",O328="",R328="",T328=""),"补命题、来源、立场、可得性或标注人",IF(AND(R328="条件必要",S328=""),"条件必要须写条件","格式已填；仍须人工复核")))))</x:f>
      </x:c>
    </x:row>
    <x:row r="329" ht="44"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12" t="str">
        <x:f>IF(A329="","",IF(COUNTIF($A$6:$A$505,A329)&gt;1,"记录ID重复",IF(COUNTIF('案件索引'!$A$6:$A$105,B329)=0,"案件ID未登记",IF(OR(C329="",D329="",E329="",F329="",I329="",J329="",K329="",O329="",R329="",T329=""),"补命题、来源、立场、可得性或标注人",IF(AND(R329="条件必要",S329=""),"条件必要须写条件","格式已填；仍须人工复核")))))</x:f>
      </x:c>
    </x:row>
    <x:row r="330" ht="44"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12" t="str">
        <x:f>IF(A330="","",IF(COUNTIF($A$6:$A$505,A330)&gt;1,"记录ID重复",IF(COUNTIF('案件索引'!$A$6:$A$105,B330)=0,"案件ID未登记",IF(OR(C330="",D330="",E330="",F330="",I330="",J330="",K330="",O330="",R330="",T330=""),"补命题、来源、立场、可得性或标注人",IF(AND(R330="条件必要",S330=""),"条件必要须写条件","格式已填；仍须人工复核")))))</x:f>
      </x:c>
    </x:row>
    <x:row r="331" ht="44"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12" t="str">
        <x:f>IF(A331="","",IF(COUNTIF($A$6:$A$505,A331)&gt;1,"记录ID重复",IF(COUNTIF('案件索引'!$A$6:$A$105,B331)=0,"案件ID未登记",IF(OR(C331="",D331="",E331="",F331="",I331="",J331="",K331="",O331="",R331="",T331=""),"补命题、来源、立场、可得性或标注人",IF(AND(R331="条件必要",S331=""),"条件必要须写条件","格式已填；仍须人工复核")))))</x:f>
      </x:c>
    </x:row>
    <x:row r="332" ht="44"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12" t="str">
        <x:f>IF(A332="","",IF(COUNTIF($A$6:$A$505,A332)&gt;1,"记录ID重复",IF(COUNTIF('案件索引'!$A$6:$A$105,B332)=0,"案件ID未登记",IF(OR(C332="",D332="",E332="",F332="",I332="",J332="",K332="",O332="",R332="",T332=""),"补命题、来源、立场、可得性或标注人",IF(AND(R332="条件必要",S332=""),"条件必要须写条件","格式已填；仍须人工复核")))))</x:f>
      </x:c>
    </x:row>
    <x:row r="333" ht="44"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12" t="str">
        <x:f>IF(A333="","",IF(COUNTIF($A$6:$A$505,A333)&gt;1,"记录ID重复",IF(COUNTIF('案件索引'!$A$6:$A$105,B333)=0,"案件ID未登记",IF(OR(C333="",D333="",E333="",F333="",I333="",J333="",K333="",O333="",R333="",T333=""),"补命题、来源、立场、可得性或标注人",IF(AND(R333="条件必要",S333=""),"条件必要须写条件","格式已填；仍须人工复核")))))</x:f>
      </x:c>
    </x:row>
    <x:row r="334" ht="44"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12" t="str">
        <x:f>IF(A334="","",IF(COUNTIF($A$6:$A$505,A334)&gt;1,"记录ID重复",IF(COUNTIF('案件索引'!$A$6:$A$105,B334)=0,"案件ID未登记",IF(OR(C334="",D334="",E334="",F334="",I334="",J334="",K334="",O334="",R334="",T334=""),"补命题、来源、立场、可得性或标注人",IF(AND(R334="条件必要",S334=""),"条件必要须写条件","格式已填；仍须人工复核")))))</x:f>
      </x:c>
    </x:row>
    <x:row r="335" ht="44"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12" t="str">
        <x:f>IF(A335="","",IF(COUNTIF($A$6:$A$505,A335)&gt;1,"记录ID重复",IF(COUNTIF('案件索引'!$A$6:$A$105,B335)=0,"案件ID未登记",IF(OR(C335="",D335="",E335="",F335="",I335="",J335="",K335="",O335="",R335="",T335=""),"补命题、来源、立场、可得性或标注人",IF(AND(R335="条件必要",S335=""),"条件必要须写条件","格式已填；仍须人工复核")))))</x:f>
      </x:c>
    </x:row>
    <x:row r="336" ht="44"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12" t="str">
        <x:f>IF(A336="","",IF(COUNTIF($A$6:$A$505,A336)&gt;1,"记录ID重复",IF(COUNTIF('案件索引'!$A$6:$A$105,B336)=0,"案件ID未登记",IF(OR(C336="",D336="",E336="",F336="",I336="",J336="",K336="",O336="",R336="",T336=""),"补命题、来源、立场、可得性或标注人",IF(AND(R336="条件必要",S336=""),"条件必要须写条件","格式已填；仍须人工复核")))))</x:f>
      </x:c>
    </x:row>
    <x:row r="337" ht="44"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12" t="str">
        <x:f>IF(A337="","",IF(COUNTIF($A$6:$A$505,A337)&gt;1,"记录ID重复",IF(COUNTIF('案件索引'!$A$6:$A$105,B337)=0,"案件ID未登记",IF(OR(C337="",D337="",E337="",F337="",I337="",J337="",K337="",O337="",R337="",T337=""),"补命题、来源、立场、可得性或标注人",IF(AND(R337="条件必要",S337=""),"条件必要须写条件","格式已填；仍须人工复核")))))</x:f>
      </x:c>
    </x:row>
    <x:row r="338" ht="44"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12" t="str">
        <x:f>IF(A338="","",IF(COUNTIF($A$6:$A$505,A338)&gt;1,"记录ID重复",IF(COUNTIF('案件索引'!$A$6:$A$105,B338)=0,"案件ID未登记",IF(OR(C338="",D338="",E338="",F338="",I338="",J338="",K338="",O338="",R338="",T338=""),"补命题、来源、立场、可得性或标注人",IF(AND(R338="条件必要",S338=""),"条件必要须写条件","格式已填；仍须人工复核")))))</x:f>
      </x:c>
    </x:row>
    <x:row r="339" ht="44"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12" t="str">
        <x:f>IF(A339="","",IF(COUNTIF($A$6:$A$505,A339)&gt;1,"记录ID重复",IF(COUNTIF('案件索引'!$A$6:$A$105,B339)=0,"案件ID未登记",IF(OR(C339="",D339="",E339="",F339="",I339="",J339="",K339="",O339="",R339="",T339=""),"补命题、来源、立场、可得性或标注人",IF(AND(R339="条件必要",S339=""),"条件必要须写条件","格式已填；仍须人工复核")))))</x:f>
      </x:c>
    </x:row>
    <x:row r="340" ht="44"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12" t="str">
        <x:f>IF(A340="","",IF(COUNTIF($A$6:$A$505,A340)&gt;1,"记录ID重复",IF(COUNTIF('案件索引'!$A$6:$A$105,B340)=0,"案件ID未登记",IF(OR(C340="",D340="",E340="",F340="",I340="",J340="",K340="",O340="",R340="",T340=""),"补命题、来源、立场、可得性或标注人",IF(AND(R340="条件必要",S340=""),"条件必要须写条件","格式已填；仍须人工复核")))))</x:f>
      </x:c>
    </x:row>
    <x:row r="341" ht="44"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12" t="str">
        <x:f>IF(A341="","",IF(COUNTIF($A$6:$A$505,A341)&gt;1,"记录ID重复",IF(COUNTIF('案件索引'!$A$6:$A$105,B341)=0,"案件ID未登记",IF(OR(C341="",D341="",E341="",F341="",I341="",J341="",K341="",O341="",R341="",T341=""),"补命题、来源、立场、可得性或标注人",IF(AND(R341="条件必要",S341=""),"条件必要须写条件","格式已填；仍须人工复核")))))</x:f>
      </x:c>
    </x:row>
    <x:row r="342" ht="44"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12" t="str">
        <x:f>IF(A342="","",IF(COUNTIF($A$6:$A$505,A342)&gt;1,"记录ID重复",IF(COUNTIF('案件索引'!$A$6:$A$105,B342)=0,"案件ID未登记",IF(OR(C342="",D342="",E342="",F342="",I342="",J342="",K342="",O342="",R342="",T342=""),"补命题、来源、立场、可得性或标注人",IF(AND(R342="条件必要",S342=""),"条件必要须写条件","格式已填；仍须人工复核")))))</x:f>
      </x:c>
    </x:row>
    <x:row r="343" ht="44"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12" t="str">
        <x:f>IF(A343="","",IF(COUNTIF($A$6:$A$505,A343)&gt;1,"记录ID重复",IF(COUNTIF('案件索引'!$A$6:$A$105,B343)=0,"案件ID未登记",IF(OR(C343="",D343="",E343="",F343="",I343="",J343="",K343="",O343="",R343="",T343=""),"补命题、来源、立场、可得性或标注人",IF(AND(R343="条件必要",S343=""),"条件必要须写条件","格式已填；仍须人工复核")))))</x:f>
      </x:c>
    </x:row>
    <x:row r="344" ht="44"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12" t="str">
        <x:f>IF(A344="","",IF(COUNTIF($A$6:$A$505,A344)&gt;1,"记录ID重复",IF(COUNTIF('案件索引'!$A$6:$A$105,B344)=0,"案件ID未登记",IF(OR(C344="",D344="",E344="",F344="",I344="",J344="",K344="",O344="",R344="",T344=""),"补命题、来源、立场、可得性或标注人",IF(AND(R344="条件必要",S344=""),"条件必要须写条件","格式已填；仍须人工复核")))))</x:f>
      </x:c>
    </x:row>
    <x:row r="345" ht="44"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12" t="str">
        <x:f>IF(A345="","",IF(COUNTIF($A$6:$A$505,A345)&gt;1,"记录ID重复",IF(COUNTIF('案件索引'!$A$6:$A$105,B345)=0,"案件ID未登记",IF(OR(C345="",D345="",E345="",F345="",I345="",J345="",K345="",O345="",R345="",T345=""),"补命题、来源、立场、可得性或标注人",IF(AND(R345="条件必要",S345=""),"条件必要须写条件","格式已填；仍须人工复核")))))</x:f>
      </x:c>
    </x:row>
    <x:row r="346" ht="44"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12" t="str">
        <x:f>IF(A346="","",IF(COUNTIF($A$6:$A$505,A346)&gt;1,"记录ID重复",IF(COUNTIF('案件索引'!$A$6:$A$105,B346)=0,"案件ID未登记",IF(OR(C346="",D346="",E346="",F346="",I346="",J346="",K346="",O346="",R346="",T346=""),"补命题、来源、立场、可得性或标注人",IF(AND(R346="条件必要",S346=""),"条件必要须写条件","格式已填；仍须人工复核")))))</x:f>
      </x:c>
    </x:row>
    <x:row r="347" ht="44"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12" t="str">
        <x:f>IF(A347="","",IF(COUNTIF($A$6:$A$505,A347)&gt;1,"记录ID重复",IF(COUNTIF('案件索引'!$A$6:$A$105,B347)=0,"案件ID未登记",IF(OR(C347="",D347="",E347="",F347="",I347="",J347="",K347="",O347="",R347="",T347=""),"补命题、来源、立场、可得性或标注人",IF(AND(R347="条件必要",S347=""),"条件必要须写条件","格式已填；仍须人工复核")))))</x:f>
      </x:c>
    </x:row>
    <x:row r="348" ht="44"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12" t="str">
        <x:f>IF(A348="","",IF(COUNTIF($A$6:$A$505,A348)&gt;1,"记录ID重复",IF(COUNTIF('案件索引'!$A$6:$A$105,B348)=0,"案件ID未登记",IF(OR(C348="",D348="",E348="",F348="",I348="",J348="",K348="",O348="",R348="",T348=""),"补命题、来源、立场、可得性或标注人",IF(AND(R348="条件必要",S348=""),"条件必要须写条件","格式已填；仍须人工复核")))))</x:f>
      </x:c>
    </x:row>
    <x:row r="349" ht="44"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12" t="str">
        <x:f>IF(A349="","",IF(COUNTIF($A$6:$A$505,A349)&gt;1,"记录ID重复",IF(COUNTIF('案件索引'!$A$6:$A$105,B349)=0,"案件ID未登记",IF(OR(C349="",D349="",E349="",F349="",I349="",J349="",K349="",O349="",R349="",T349=""),"补命题、来源、立场、可得性或标注人",IF(AND(R349="条件必要",S349=""),"条件必要须写条件","格式已填；仍须人工复核")))))</x:f>
      </x:c>
    </x:row>
    <x:row r="350" ht="44"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12" t="str">
        <x:f>IF(A350="","",IF(COUNTIF($A$6:$A$505,A350)&gt;1,"记录ID重复",IF(COUNTIF('案件索引'!$A$6:$A$105,B350)=0,"案件ID未登记",IF(OR(C350="",D350="",E350="",F350="",I350="",J350="",K350="",O350="",R350="",T350=""),"补命题、来源、立场、可得性或标注人",IF(AND(R350="条件必要",S350=""),"条件必要须写条件","格式已填；仍须人工复核")))))</x:f>
      </x:c>
    </x:row>
    <x:row r="351" ht="44"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12" t="str">
        <x:f>IF(A351="","",IF(COUNTIF($A$6:$A$505,A351)&gt;1,"记录ID重复",IF(COUNTIF('案件索引'!$A$6:$A$105,B351)=0,"案件ID未登记",IF(OR(C351="",D351="",E351="",F351="",I351="",J351="",K351="",O351="",R351="",T351=""),"补命题、来源、立场、可得性或标注人",IF(AND(R351="条件必要",S351=""),"条件必要须写条件","格式已填；仍须人工复核")))))</x:f>
      </x:c>
    </x:row>
    <x:row r="352" ht="44"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12" t="str">
        <x:f>IF(A352="","",IF(COUNTIF($A$6:$A$505,A352)&gt;1,"记录ID重复",IF(COUNTIF('案件索引'!$A$6:$A$105,B352)=0,"案件ID未登记",IF(OR(C352="",D352="",E352="",F352="",I352="",J352="",K352="",O352="",R352="",T352=""),"补命题、来源、立场、可得性或标注人",IF(AND(R352="条件必要",S352=""),"条件必要须写条件","格式已填；仍须人工复核")))))</x:f>
      </x:c>
    </x:row>
    <x:row r="353" ht="44"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12" t="str">
        <x:f>IF(A353="","",IF(COUNTIF($A$6:$A$505,A353)&gt;1,"记录ID重复",IF(COUNTIF('案件索引'!$A$6:$A$105,B353)=0,"案件ID未登记",IF(OR(C353="",D353="",E353="",F353="",I353="",J353="",K353="",O353="",R353="",T353=""),"补命题、来源、立场、可得性或标注人",IF(AND(R353="条件必要",S353=""),"条件必要须写条件","格式已填；仍须人工复核")))))</x:f>
      </x:c>
    </x:row>
    <x:row r="354" ht="44"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12" t="str">
        <x:f>IF(A354="","",IF(COUNTIF($A$6:$A$505,A354)&gt;1,"记录ID重复",IF(COUNTIF('案件索引'!$A$6:$A$105,B354)=0,"案件ID未登记",IF(OR(C354="",D354="",E354="",F354="",I354="",J354="",K354="",O354="",R354="",T354=""),"补命题、来源、立场、可得性或标注人",IF(AND(R354="条件必要",S354=""),"条件必要须写条件","格式已填；仍须人工复核")))))</x:f>
      </x:c>
    </x:row>
    <x:row r="355" ht="44"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12" t="str">
        <x:f>IF(A355="","",IF(COUNTIF($A$6:$A$505,A355)&gt;1,"记录ID重复",IF(COUNTIF('案件索引'!$A$6:$A$105,B355)=0,"案件ID未登记",IF(OR(C355="",D355="",E355="",F355="",I355="",J355="",K355="",O355="",R355="",T355=""),"补命题、来源、立场、可得性或标注人",IF(AND(R355="条件必要",S355=""),"条件必要须写条件","格式已填；仍须人工复核")))))</x:f>
      </x:c>
    </x:row>
    <x:row r="356" ht="44"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12" t="str">
        <x:f>IF(A356="","",IF(COUNTIF($A$6:$A$505,A356)&gt;1,"记录ID重复",IF(COUNTIF('案件索引'!$A$6:$A$105,B356)=0,"案件ID未登记",IF(OR(C356="",D356="",E356="",F356="",I356="",J356="",K356="",O356="",R356="",T356=""),"补命题、来源、立场、可得性或标注人",IF(AND(R356="条件必要",S356=""),"条件必要须写条件","格式已填；仍须人工复核")))))</x:f>
      </x:c>
    </x:row>
    <x:row r="357" ht="44"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12" t="str">
        <x:f>IF(A357="","",IF(COUNTIF($A$6:$A$505,A357)&gt;1,"记录ID重复",IF(COUNTIF('案件索引'!$A$6:$A$105,B357)=0,"案件ID未登记",IF(OR(C357="",D357="",E357="",F357="",I357="",J357="",K357="",O357="",R357="",T357=""),"补命题、来源、立场、可得性或标注人",IF(AND(R357="条件必要",S357=""),"条件必要须写条件","格式已填；仍须人工复核")))))</x:f>
      </x:c>
    </x:row>
    <x:row r="358" ht="44"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12" t="str">
        <x:f>IF(A358="","",IF(COUNTIF($A$6:$A$505,A358)&gt;1,"记录ID重复",IF(COUNTIF('案件索引'!$A$6:$A$105,B358)=0,"案件ID未登记",IF(OR(C358="",D358="",E358="",F358="",I358="",J358="",K358="",O358="",R358="",T358=""),"补命题、来源、立场、可得性或标注人",IF(AND(R358="条件必要",S358=""),"条件必要须写条件","格式已填；仍须人工复核")))))</x:f>
      </x:c>
    </x:row>
    <x:row r="359" ht="44"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12" t="str">
        <x:f>IF(A359="","",IF(COUNTIF($A$6:$A$505,A359)&gt;1,"记录ID重复",IF(COUNTIF('案件索引'!$A$6:$A$105,B359)=0,"案件ID未登记",IF(OR(C359="",D359="",E359="",F359="",I359="",J359="",K359="",O359="",R359="",T359=""),"补命题、来源、立场、可得性或标注人",IF(AND(R359="条件必要",S359=""),"条件必要须写条件","格式已填；仍须人工复核")))))</x:f>
      </x:c>
    </x:row>
    <x:row r="360" ht="44"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12" t="str">
        <x:f>IF(A360="","",IF(COUNTIF($A$6:$A$505,A360)&gt;1,"记录ID重复",IF(COUNTIF('案件索引'!$A$6:$A$105,B360)=0,"案件ID未登记",IF(OR(C360="",D360="",E360="",F360="",I360="",J360="",K360="",O360="",R360="",T360=""),"补命题、来源、立场、可得性或标注人",IF(AND(R360="条件必要",S360=""),"条件必要须写条件","格式已填；仍须人工复核")))))</x:f>
      </x:c>
    </x:row>
    <x:row r="361" ht="44"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12" t="str">
        <x:f>IF(A361="","",IF(COUNTIF($A$6:$A$505,A361)&gt;1,"记录ID重复",IF(COUNTIF('案件索引'!$A$6:$A$105,B361)=0,"案件ID未登记",IF(OR(C361="",D361="",E361="",F361="",I361="",J361="",K361="",O361="",R361="",T361=""),"补命题、来源、立场、可得性或标注人",IF(AND(R361="条件必要",S361=""),"条件必要须写条件","格式已填；仍须人工复核")))))</x:f>
      </x:c>
    </x:row>
    <x:row r="362" ht="44"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12" t="str">
        <x:f>IF(A362="","",IF(COUNTIF($A$6:$A$505,A362)&gt;1,"记录ID重复",IF(COUNTIF('案件索引'!$A$6:$A$105,B362)=0,"案件ID未登记",IF(OR(C362="",D362="",E362="",F362="",I362="",J362="",K362="",O362="",R362="",T362=""),"补命题、来源、立场、可得性或标注人",IF(AND(R362="条件必要",S362=""),"条件必要须写条件","格式已填；仍须人工复核")))))</x:f>
      </x:c>
    </x:row>
    <x:row r="363" ht="44"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12" t="str">
        <x:f>IF(A363="","",IF(COUNTIF($A$6:$A$505,A363)&gt;1,"记录ID重复",IF(COUNTIF('案件索引'!$A$6:$A$105,B363)=0,"案件ID未登记",IF(OR(C363="",D363="",E363="",F363="",I363="",J363="",K363="",O363="",R363="",T363=""),"补命题、来源、立场、可得性或标注人",IF(AND(R363="条件必要",S363=""),"条件必要须写条件","格式已填；仍须人工复核")))))</x:f>
      </x:c>
    </x:row>
    <x:row r="364" ht="44"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12" t="str">
        <x:f>IF(A364="","",IF(COUNTIF($A$6:$A$505,A364)&gt;1,"记录ID重复",IF(COUNTIF('案件索引'!$A$6:$A$105,B364)=0,"案件ID未登记",IF(OR(C364="",D364="",E364="",F364="",I364="",J364="",K364="",O364="",R364="",T364=""),"补命题、来源、立场、可得性或标注人",IF(AND(R364="条件必要",S364=""),"条件必要须写条件","格式已填；仍须人工复核")))))</x:f>
      </x:c>
    </x:row>
    <x:row r="365" ht="44"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12" t="str">
        <x:f>IF(A365="","",IF(COUNTIF($A$6:$A$505,A365)&gt;1,"记录ID重复",IF(COUNTIF('案件索引'!$A$6:$A$105,B365)=0,"案件ID未登记",IF(OR(C365="",D365="",E365="",F365="",I365="",J365="",K365="",O365="",R365="",T365=""),"补命题、来源、立场、可得性或标注人",IF(AND(R365="条件必要",S365=""),"条件必要须写条件","格式已填；仍须人工复核")))))</x:f>
      </x:c>
    </x:row>
    <x:row r="366" ht="44"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12" t="str">
        <x:f>IF(A366="","",IF(COUNTIF($A$6:$A$505,A366)&gt;1,"记录ID重复",IF(COUNTIF('案件索引'!$A$6:$A$105,B366)=0,"案件ID未登记",IF(OR(C366="",D366="",E366="",F366="",I366="",J366="",K366="",O366="",R366="",T366=""),"补命题、来源、立场、可得性或标注人",IF(AND(R366="条件必要",S366=""),"条件必要须写条件","格式已填；仍须人工复核")))))</x:f>
      </x:c>
    </x:row>
    <x:row r="367" ht="44"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12" t="str">
        <x:f>IF(A367="","",IF(COUNTIF($A$6:$A$505,A367)&gt;1,"记录ID重复",IF(COUNTIF('案件索引'!$A$6:$A$105,B367)=0,"案件ID未登记",IF(OR(C367="",D367="",E367="",F367="",I367="",J367="",K367="",O367="",R367="",T367=""),"补命题、来源、立场、可得性或标注人",IF(AND(R367="条件必要",S367=""),"条件必要须写条件","格式已填；仍须人工复核")))))</x:f>
      </x:c>
    </x:row>
    <x:row r="368" ht="44"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12" t="str">
        <x:f>IF(A368="","",IF(COUNTIF($A$6:$A$505,A368)&gt;1,"记录ID重复",IF(COUNTIF('案件索引'!$A$6:$A$105,B368)=0,"案件ID未登记",IF(OR(C368="",D368="",E368="",F368="",I368="",J368="",K368="",O368="",R368="",T368=""),"补命题、来源、立场、可得性或标注人",IF(AND(R368="条件必要",S368=""),"条件必要须写条件","格式已填；仍须人工复核")))))</x:f>
      </x:c>
    </x:row>
    <x:row r="369" ht="44"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12" t="str">
        <x:f>IF(A369="","",IF(COUNTIF($A$6:$A$505,A369)&gt;1,"记录ID重复",IF(COUNTIF('案件索引'!$A$6:$A$105,B369)=0,"案件ID未登记",IF(OR(C369="",D369="",E369="",F369="",I369="",J369="",K369="",O369="",R369="",T369=""),"补命题、来源、立场、可得性或标注人",IF(AND(R369="条件必要",S369=""),"条件必要须写条件","格式已填；仍须人工复核")))))</x:f>
      </x:c>
    </x:row>
    <x:row r="370" ht="44"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12" t="str">
        <x:f>IF(A370="","",IF(COUNTIF($A$6:$A$505,A370)&gt;1,"记录ID重复",IF(COUNTIF('案件索引'!$A$6:$A$105,B370)=0,"案件ID未登记",IF(OR(C370="",D370="",E370="",F370="",I370="",J370="",K370="",O370="",R370="",T370=""),"补命题、来源、立场、可得性或标注人",IF(AND(R370="条件必要",S370=""),"条件必要须写条件","格式已填；仍须人工复核")))))</x:f>
      </x:c>
    </x:row>
    <x:row r="371" ht="44"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12" t="str">
        <x:f>IF(A371="","",IF(COUNTIF($A$6:$A$505,A371)&gt;1,"记录ID重复",IF(COUNTIF('案件索引'!$A$6:$A$105,B371)=0,"案件ID未登记",IF(OR(C371="",D371="",E371="",F371="",I371="",J371="",K371="",O371="",R371="",T371=""),"补命题、来源、立场、可得性或标注人",IF(AND(R371="条件必要",S371=""),"条件必要须写条件","格式已填；仍须人工复核")))))</x:f>
      </x:c>
    </x:row>
    <x:row r="372" ht="44"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12" t="str">
        <x:f>IF(A372="","",IF(COUNTIF($A$6:$A$505,A372)&gt;1,"记录ID重复",IF(COUNTIF('案件索引'!$A$6:$A$105,B372)=0,"案件ID未登记",IF(OR(C372="",D372="",E372="",F372="",I372="",J372="",K372="",O372="",R372="",T372=""),"补命题、来源、立场、可得性或标注人",IF(AND(R372="条件必要",S372=""),"条件必要须写条件","格式已填；仍须人工复核")))))</x:f>
      </x:c>
    </x:row>
    <x:row r="373" ht="44"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12" t="str">
        <x:f>IF(A373="","",IF(COUNTIF($A$6:$A$505,A373)&gt;1,"记录ID重复",IF(COUNTIF('案件索引'!$A$6:$A$105,B373)=0,"案件ID未登记",IF(OR(C373="",D373="",E373="",F373="",I373="",J373="",K373="",O373="",R373="",T373=""),"补命题、来源、立场、可得性或标注人",IF(AND(R373="条件必要",S373=""),"条件必要须写条件","格式已填；仍须人工复核")))))</x:f>
      </x:c>
    </x:row>
    <x:row r="374" ht="44"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12" t="str">
        <x:f>IF(A374="","",IF(COUNTIF($A$6:$A$505,A374)&gt;1,"记录ID重复",IF(COUNTIF('案件索引'!$A$6:$A$105,B374)=0,"案件ID未登记",IF(OR(C374="",D374="",E374="",F374="",I374="",J374="",K374="",O374="",R374="",T374=""),"补命题、来源、立场、可得性或标注人",IF(AND(R374="条件必要",S374=""),"条件必要须写条件","格式已填；仍须人工复核")))))</x:f>
      </x:c>
    </x:row>
    <x:row r="375" ht="44"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12" t="str">
        <x:f>IF(A375="","",IF(COUNTIF($A$6:$A$505,A375)&gt;1,"记录ID重复",IF(COUNTIF('案件索引'!$A$6:$A$105,B375)=0,"案件ID未登记",IF(OR(C375="",D375="",E375="",F375="",I375="",J375="",K375="",O375="",R375="",T375=""),"补命题、来源、立场、可得性或标注人",IF(AND(R375="条件必要",S375=""),"条件必要须写条件","格式已填；仍须人工复核")))))</x:f>
      </x:c>
    </x:row>
    <x:row r="376" ht="44"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12" t="str">
        <x:f>IF(A376="","",IF(COUNTIF($A$6:$A$505,A376)&gt;1,"记录ID重复",IF(COUNTIF('案件索引'!$A$6:$A$105,B376)=0,"案件ID未登记",IF(OR(C376="",D376="",E376="",F376="",I376="",J376="",K376="",O376="",R376="",T376=""),"补命题、来源、立场、可得性或标注人",IF(AND(R376="条件必要",S376=""),"条件必要须写条件","格式已填；仍须人工复核")))))</x:f>
      </x:c>
    </x:row>
    <x:row r="377" ht="44"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12" t="str">
        <x:f>IF(A377="","",IF(COUNTIF($A$6:$A$505,A377)&gt;1,"记录ID重复",IF(COUNTIF('案件索引'!$A$6:$A$105,B377)=0,"案件ID未登记",IF(OR(C377="",D377="",E377="",F377="",I377="",J377="",K377="",O377="",R377="",T377=""),"补命题、来源、立场、可得性或标注人",IF(AND(R377="条件必要",S377=""),"条件必要须写条件","格式已填；仍须人工复核")))))</x:f>
      </x:c>
    </x:row>
    <x:row r="378" ht="44"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12" t="str">
        <x:f>IF(A378="","",IF(COUNTIF($A$6:$A$505,A378)&gt;1,"记录ID重复",IF(COUNTIF('案件索引'!$A$6:$A$105,B378)=0,"案件ID未登记",IF(OR(C378="",D378="",E378="",F378="",I378="",J378="",K378="",O378="",R378="",T378=""),"补命题、来源、立场、可得性或标注人",IF(AND(R378="条件必要",S378=""),"条件必要须写条件","格式已填；仍须人工复核")))))</x:f>
      </x:c>
    </x:row>
    <x:row r="379" ht="44"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12" t="str">
        <x:f>IF(A379="","",IF(COUNTIF($A$6:$A$505,A379)&gt;1,"记录ID重复",IF(COUNTIF('案件索引'!$A$6:$A$105,B379)=0,"案件ID未登记",IF(OR(C379="",D379="",E379="",F379="",I379="",J379="",K379="",O379="",R379="",T379=""),"补命题、来源、立场、可得性或标注人",IF(AND(R379="条件必要",S379=""),"条件必要须写条件","格式已填；仍须人工复核")))))</x:f>
      </x:c>
    </x:row>
    <x:row r="380" ht="44"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12" t="str">
        <x:f>IF(A380="","",IF(COUNTIF($A$6:$A$505,A380)&gt;1,"记录ID重复",IF(COUNTIF('案件索引'!$A$6:$A$105,B380)=0,"案件ID未登记",IF(OR(C380="",D380="",E380="",F380="",I380="",J380="",K380="",O380="",R380="",T380=""),"补命题、来源、立场、可得性或标注人",IF(AND(R380="条件必要",S380=""),"条件必要须写条件","格式已填；仍须人工复核")))))</x:f>
      </x:c>
    </x:row>
    <x:row r="381" ht="44"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12" t="str">
        <x:f>IF(A381="","",IF(COUNTIF($A$6:$A$505,A381)&gt;1,"记录ID重复",IF(COUNTIF('案件索引'!$A$6:$A$105,B381)=0,"案件ID未登记",IF(OR(C381="",D381="",E381="",F381="",I381="",J381="",K381="",O381="",R381="",T381=""),"补命题、来源、立场、可得性或标注人",IF(AND(R381="条件必要",S381=""),"条件必要须写条件","格式已填；仍须人工复核")))))</x:f>
      </x:c>
    </x:row>
    <x:row r="382" ht="44"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12" t="str">
        <x:f>IF(A382="","",IF(COUNTIF($A$6:$A$505,A382)&gt;1,"记录ID重复",IF(COUNTIF('案件索引'!$A$6:$A$105,B382)=0,"案件ID未登记",IF(OR(C382="",D382="",E382="",F382="",I382="",J382="",K382="",O382="",R382="",T382=""),"补命题、来源、立场、可得性或标注人",IF(AND(R382="条件必要",S382=""),"条件必要须写条件","格式已填；仍须人工复核")))))</x:f>
      </x:c>
    </x:row>
    <x:row r="383" ht="44"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12" t="str">
        <x:f>IF(A383="","",IF(COUNTIF($A$6:$A$505,A383)&gt;1,"记录ID重复",IF(COUNTIF('案件索引'!$A$6:$A$105,B383)=0,"案件ID未登记",IF(OR(C383="",D383="",E383="",F383="",I383="",J383="",K383="",O383="",R383="",T383=""),"补命题、来源、立场、可得性或标注人",IF(AND(R383="条件必要",S383=""),"条件必要须写条件","格式已填；仍须人工复核")))))</x:f>
      </x:c>
    </x:row>
    <x:row r="384" ht="44"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12" t="str">
        <x:f>IF(A384="","",IF(COUNTIF($A$6:$A$505,A384)&gt;1,"记录ID重复",IF(COUNTIF('案件索引'!$A$6:$A$105,B384)=0,"案件ID未登记",IF(OR(C384="",D384="",E384="",F384="",I384="",J384="",K384="",O384="",R384="",T384=""),"补命题、来源、立场、可得性或标注人",IF(AND(R384="条件必要",S384=""),"条件必要须写条件","格式已填；仍须人工复核")))))</x:f>
      </x:c>
    </x:row>
    <x:row r="385" ht="44"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12" t="str">
        <x:f>IF(A385="","",IF(COUNTIF($A$6:$A$505,A385)&gt;1,"记录ID重复",IF(COUNTIF('案件索引'!$A$6:$A$105,B385)=0,"案件ID未登记",IF(OR(C385="",D385="",E385="",F385="",I385="",J385="",K385="",O385="",R385="",T385=""),"补命题、来源、立场、可得性或标注人",IF(AND(R385="条件必要",S385=""),"条件必要须写条件","格式已填；仍须人工复核")))))</x:f>
      </x:c>
    </x:row>
    <x:row r="386" ht="44"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12" t="str">
        <x:f>IF(A386="","",IF(COUNTIF($A$6:$A$505,A386)&gt;1,"记录ID重复",IF(COUNTIF('案件索引'!$A$6:$A$105,B386)=0,"案件ID未登记",IF(OR(C386="",D386="",E386="",F386="",I386="",J386="",K386="",O386="",R386="",T386=""),"补命题、来源、立场、可得性或标注人",IF(AND(R386="条件必要",S386=""),"条件必要须写条件","格式已填；仍须人工复核")))))</x:f>
      </x:c>
    </x:row>
    <x:row r="387" ht="44"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12" t="str">
        <x:f>IF(A387="","",IF(COUNTIF($A$6:$A$505,A387)&gt;1,"记录ID重复",IF(COUNTIF('案件索引'!$A$6:$A$105,B387)=0,"案件ID未登记",IF(OR(C387="",D387="",E387="",F387="",I387="",J387="",K387="",O387="",R387="",T387=""),"补命题、来源、立场、可得性或标注人",IF(AND(R387="条件必要",S387=""),"条件必要须写条件","格式已填；仍须人工复核")))))</x:f>
      </x:c>
    </x:row>
    <x:row r="388" ht="44"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12" t="str">
        <x:f>IF(A388="","",IF(COUNTIF($A$6:$A$505,A388)&gt;1,"记录ID重复",IF(COUNTIF('案件索引'!$A$6:$A$105,B388)=0,"案件ID未登记",IF(OR(C388="",D388="",E388="",F388="",I388="",J388="",K388="",O388="",R388="",T388=""),"补命题、来源、立场、可得性或标注人",IF(AND(R388="条件必要",S388=""),"条件必要须写条件","格式已填；仍须人工复核")))))</x:f>
      </x:c>
    </x:row>
    <x:row r="389" ht="44"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12" t="str">
        <x:f>IF(A389="","",IF(COUNTIF($A$6:$A$505,A389)&gt;1,"记录ID重复",IF(COUNTIF('案件索引'!$A$6:$A$105,B389)=0,"案件ID未登记",IF(OR(C389="",D389="",E389="",F389="",I389="",J389="",K389="",O389="",R389="",T389=""),"补命题、来源、立场、可得性或标注人",IF(AND(R389="条件必要",S389=""),"条件必要须写条件","格式已填；仍须人工复核")))))</x:f>
      </x:c>
    </x:row>
    <x:row r="390" ht="44"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12" t="str">
        <x:f>IF(A390="","",IF(COUNTIF($A$6:$A$505,A390)&gt;1,"记录ID重复",IF(COUNTIF('案件索引'!$A$6:$A$105,B390)=0,"案件ID未登记",IF(OR(C390="",D390="",E390="",F390="",I390="",J390="",K390="",O390="",R390="",T390=""),"补命题、来源、立场、可得性或标注人",IF(AND(R390="条件必要",S390=""),"条件必要须写条件","格式已填；仍须人工复核")))))</x:f>
      </x:c>
    </x:row>
    <x:row r="391" ht="44"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12" t="str">
        <x:f>IF(A391="","",IF(COUNTIF($A$6:$A$505,A391)&gt;1,"记录ID重复",IF(COUNTIF('案件索引'!$A$6:$A$105,B391)=0,"案件ID未登记",IF(OR(C391="",D391="",E391="",F391="",I391="",J391="",K391="",O391="",R391="",T391=""),"补命题、来源、立场、可得性或标注人",IF(AND(R391="条件必要",S391=""),"条件必要须写条件","格式已填；仍须人工复核")))))</x:f>
      </x:c>
    </x:row>
    <x:row r="392" ht="44"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12" t="str">
        <x:f>IF(A392="","",IF(COUNTIF($A$6:$A$505,A392)&gt;1,"记录ID重复",IF(COUNTIF('案件索引'!$A$6:$A$105,B392)=0,"案件ID未登记",IF(OR(C392="",D392="",E392="",F392="",I392="",J392="",K392="",O392="",R392="",T392=""),"补命题、来源、立场、可得性或标注人",IF(AND(R392="条件必要",S392=""),"条件必要须写条件","格式已填；仍须人工复核")))))</x:f>
      </x:c>
    </x:row>
    <x:row r="393" ht="44"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12" t="str">
        <x:f>IF(A393="","",IF(COUNTIF($A$6:$A$505,A393)&gt;1,"记录ID重复",IF(COUNTIF('案件索引'!$A$6:$A$105,B393)=0,"案件ID未登记",IF(OR(C393="",D393="",E393="",F393="",I393="",J393="",K393="",O393="",R393="",T393=""),"补命题、来源、立场、可得性或标注人",IF(AND(R393="条件必要",S393=""),"条件必要须写条件","格式已填；仍须人工复核")))))</x:f>
      </x:c>
    </x:row>
    <x:row r="394" ht="44"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12" t="str">
        <x:f>IF(A394="","",IF(COUNTIF($A$6:$A$505,A394)&gt;1,"记录ID重复",IF(COUNTIF('案件索引'!$A$6:$A$105,B394)=0,"案件ID未登记",IF(OR(C394="",D394="",E394="",F394="",I394="",J394="",K394="",O394="",R394="",T394=""),"补命题、来源、立场、可得性或标注人",IF(AND(R394="条件必要",S394=""),"条件必要须写条件","格式已填；仍须人工复核")))))</x:f>
      </x:c>
    </x:row>
    <x:row r="395" ht="44"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12" t="str">
        <x:f>IF(A395="","",IF(COUNTIF($A$6:$A$505,A395)&gt;1,"记录ID重复",IF(COUNTIF('案件索引'!$A$6:$A$105,B395)=0,"案件ID未登记",IF(OR(C395="",D395="",E395="",F395="",I395="",J395="",K395="",O395="",R395="",T395=""),"补命题、来源、立场、可得性或标注人",IF(AND(R395="条件必要",S395=""),"条件必要须写条件","格式已填；仍须人工复核")))))</x:f>
      </x:c>
    </x:row>
    <x:row r="396" ht="44"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12" t="str">
        <x:f>IF(A396="","",IF(COUNTIF($A$6:$A$505,A396)&gt;1,"记录ID重复",IF(COUNTIF('案件索引'!$A$6:$A$105,B396)=0,"案件ID未登记",IF(OR(C396="",D396="",E396="",F396="",I396="",J396="",K396="",O396="",R396="",T396=""),"补命题、来源、立场、可得性或标注人",IF(AND(R396="条件必要",S396=""),"条件必要须写条件","格式已填；仍须人工复核")))))</x:f>
      </x:c>
    </x:row>
    <x:row r="397" ht="44"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12" t="str">
        <x:f>IF(A397="","",IF(COUNTIF($A$6:$A$505,A397)&gt;1,"记录ID重复",IF(COUNTIF('案件索引'!$A$6:$A$105,B397)=0,"案件ID未登记",IF(OR(C397="",D397="",E397="",F397="",I397="",J397="",K397="",O397="",R397="",T397=""),"补命题、来源、立场、可得性或标注人",IF(AND(R397="条件必要",S397=""),"条件必要须写条件","格式已填；仍须人工复核")))))</x:f>
      </x:c>
    </x:row>
    <x:row r="398" ht="44"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12" t="str">
        <x:f>IF(A398="","",IF(COUNTIF($A$6:$A$505,A398)&gt;1,"记录ID重复",IF(COUNTIF('案件索引'!$A$6:$A$105,B398)=0,"案件ID未登记",IF(OR(C398="",D398="",E398="",F398="",I398="",J398="",K398="",O398="",R398="",T398=""),"补命题、来源、立场、可得性或标注人",IF(AND(R398="条件必要",S398=""),"条件必要须写条件","格式已填；仍须人工复核")))))</x:f>
      </x:c>
    </x:row>
    <x:row r="399" ht="44"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12" t="str">
        <x:f>IF(A399="","",IF(COUNTIF($A$6:$A$505,A399)&gt;1,"记录ID重复",IF(COUNTIF('案件索引'!$A$6:$A$105,B399)=0,"案件ID未登记",IF(OR(C399="",D399="",E399="",F399="",I399="",J399="",K399="",O399="",R399="",T399=""),"补命题、来源、立场、可得性或标注人",IF(AND(R399="条件必要",S399=""),"条件必要须写条件","格式已填；仍须人工复核")))))</x:f>
      </x:c>
    </x:row>
    <x:row r="400" ht="44"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12" t="str">
        <x:f>IF(A400="","",IF(COUNTIF($A$6:$A$505,A400)&gt;1,"记录ID重复",IF(COUNTIF('案件索引'!$A$6:$A$105,B400)=0,"案件ID未登记",IF(OR(C400="",D400="",E400="",F400="",I400="",J400="",K400="",O400="",R400="",T400=""),"补命题、来源、立场、可得性或标注人",IF(AND(R400="条件必要",S400=""),"条件必要须写条件","格式已填；仍须人工复核")))))</x:f>
      </x:c>
    </x:row>
    <x:row r="401" ht="44"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12" t="str">
        <x:f>IF(A401="","",IF(COUNTIF($A$6:$A$505,A401)&gt;1,"记录ID重复",IF(COUNTIF('案件索引'!$A$6:$A$105,B401)=0,"案件ID未登记",IF(OR(C401="",D401="",E401="",F401="",I401="",J401="",K401="",O401="",R401="",T401=""),"补命题、来源、立场、可得性或标注人",IF(AND(R401="条件必要",S401=""),"条件必要须写条件","格式已填；仍须人工复核")))))</x:f>
      </x:c>
    </x:row>
    <x:row r="402" ht="44"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12" t="str">
        <x:f>IF(A402="","",IF(COUNTIF($A$6:$A$505,A402)&gt;1,"记录ID重复",IF(COUNTIF('案件索引'!$A$6:$A$105,B402)=0,"案件ID未登记",IF(OR(C402="",D402="",E402="",F402="",I402="",J402="",K402="",O402="",R402="",T402=""),"补命题、来源、立场、可得性或标注人",IF(AND(R402="条件必要",S402=""),"条件必要须写条件","格式已填；仍须人工复核")))))</x:f>
      </x:c>
    </x:row>
    <x:row r="403" ht="44"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12" t="str">
        <x:f>IF(A403="","",IF(COUNTIF($A$6:$A$505,A403)&gt;1,"记录ID重复",IF(COUNTIF('案件索引'!$A$6:$A$105,B403)=0,"案件ID未登记",IF(OR(C403="",D403="",E403="",F403="",I403="",J403="",K403="",O403="",R403="",T403=""),"补命题、来源、立场、可得性或标注人",IF(AND(R403="条件必要",S403=""),"条件必要须写条件","格式已填；仍须人工复核")))))</x:f>
      </x:c>
    </x:row>
    <x:row r="404" ht="44"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12" t="str">
        <x:f>IF(A404="","",IF(COUNTIF($A$6:$A$505,A404)&gt;1,"记录ID重复",IF(COUNTIF('案件索引'!$A$6:$A$105,B404)=0,"案件ID未登记",IF(OR(C404="",D404="",E404="",F404="",I404="",J404="",K404="",O404="",R404="",T404=""),"补命题、来源、立场、可得性或标注人",IF(AND(R404="条件必要",S404=""),"条件必要须写条件","格式已填；仍须人工复核")))))</x:f>
      </x:c>
    </x:row>
    <x:row r="405" ht="44"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12" t="str">
        <x:f>IF(A405="","",IF(COUNTIF($A$6:$A$505,A405)&gt;1,"记录ID重复",IF(COUNTIF('案件索引'!$A$6:$A$105,B405)=0,"案件ID未登记",IF(OR(C405="",D405="",E405="",F405="",I405="",J405="",K405="",O405="",R405="",T405=""),"补命题、来源、立场、可得性或标注人",IF(AND(R405="条件必要",S405=""),"条件必要须写条件","格式已填；仍须人工复核")))))</x:f>
      </x:c>
    </x:row>
    <x:row r="406" ht="44"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12" t="str">
        <x:f>IF(A406="","",IF(COUNTIF($A$6:$A$505,A406)&gt;1,"记录ID重复",IF(COUNTIF('案件索引'!$A$6:$A$105,B406)=0,"案件ID未登记",IF(OR(C406="",D406="",E406="",F406="",I406="",J406="",K406="",O406="",R406="",T406=""),"补命题、来源、立场、可得性或标注人",IF(AND(R406="条件必要",S406=""),"条件必要须写条件","格式已填；仍须人工复核")))))</x:f>
      </x:c>
    </x:row>
    <x:row r="407" ht="44"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12" t="str">
        <x:f>IF(A407="","",IF(COUNTIF($A$6:$A$505,A407)&gt;1,"记录ID重复",IF(COUNTIF('案件索引'!$A$6:$A$105,B407)=0,"案件ID未登记",IF(OR(C407="",D407="",E407="",F407="",I407="",J407="",K407="",O407="",R407="",T407=""),"补命题、来源、立场、可得性或标注人",IF(AND(R407="条件必要",S407=""),"条件必要须写条件","格式已填；仍须人工复核")))))</x:f>
      </x:c>
    </x:row>
    <x:row r="408" ht="44"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12" t="str">
        <x:f>IF(A408="","",IF(COUNTIF($A$6:$A$505,A408)&gt;1,"记录ID重复",IF(COUNTIF('案件索引'!$A$6:$A$105,B408)=0,"案件ID未登记",IF(OR(C408="",D408="",E408="",F408="",I408="",J408="",K408="",O408="",R408="",T408=""),"补命题、来源、立场、可得性或标注人",IF(AND(R408="条件必要",S408=""),"条件必要须写条件","格式已填；仍须人工复核")))))</x:f>
      </x:c>
    </x:row>
    <x:row r="409" ht="44"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12" t="str">
        <x:f>IF(A409="","",IF(COUNTIF($A$6:$A$505,A409)&gt;1,"记录ID重复",IF(COUNTIF('案件索引'!$A$6:$A$105,B409)=0,"案件ID未登记",IF(OR(C409="",D409="",E409="",F409="",I409="",J409="",K409="",O409="",R409="",T409=""),"补命题、来源、立场、可得性或标注人",IF(AND(R409="条件必要",S409=""),"条件必要须写条件","格式已填；仍须人工复核")))))</x:f>
      </x:c>
    </x:row>
    <x:row r="410" ht="44"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12" t="str">
        <x:f>IF(A410="","",IF(COUNTIF($A$6:$A$505,A410)&gt;1,"记录ID重复",IF(COUNTIF('案件索引'!$A$6:$A$105,B410)=0,"案件ID未登记",IF(OR(C410="",D410="",E410="",F410="",I410="",J410="",K410="",O410="",R410="",T410=""),"补命题、来源、立场、可得性或标注人",IF(AND(R410="条件必要",S410=""),"条件必要须写条件","格式已填；仍须人工复核")))))</x:f>
      </x:c>
    </x:row>
    <x:row r="411" ht="44"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12" t="str">
        <x:f>IF(A411="","",IF(COUNTIF($A$6:$A$505,A411)&gt;1,"记录ID重复",IF(COUNTIF('案件索引'!$A$6:$A$105,B411)=0,"案件ID未登记",IF(OR(C411="",D411="",E411="",F411="",I411="",J411="",K411="",O411="",R411="",T411=""),"补命题、来源、立场、可得性或标注人",IF(AND(R411="条件必要",S411=""),"条件必要须写条件","格式已填；仍须人工复核")))))</x:f>
      </x:c>
    </x:row>
    <x:row r="412" ht="44"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12" t="str">
        <x:f>IF(A412="","",IF(COUNTIF($A$6:$A$505,A412)&gt;1,"记录ID重复",IF(COUNTIF('案件索引'!$A$6:$A$105,B412)=0,"案件ID未登记",IF(OR(C412="",D412="",E412="",F412="",I412="",J412="",K412="",O412="",R412="",T412=""),"补命题、来源、立场、可得性或标注人",IF(AND(R412="条件必要",S412=""),"条件必要须写条件","格式已填；仍须人工复核")))))</x:f>
      </x:c>
    </x:row>
    <x:row r="413" ht="44"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12" t="str">
        <x:f>IF(A413="","",IF(COUNTIF($A$6:$A$505,A413)&gt;1,"记录ID重复",IF(COUNTIF('案件索引'!$A$6:$A$105,B413)=0,"案件ID未登记",IF(OR(C413="",D413="",E413="",F413="",I413="",J413="",K413="",O413="",R413="",T413=""),"补命题、来源、立场、可得性或标注人",IF(AND(R413="条件必要",S413=""),"条件必要须写条件","格式已填；仍须人工复核")))))</x:f>
      </x:c>
    </x:row>
    <x:row r="414" ht="44"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12" t="str">
        <x:f>IF(A414="","",IF(COUNTIF($A$6:$A$505,A414)&gt;1,"记录ID重复",IF(COUNTIF('案件索引'!$A$6:$A$105,B414)=0,"案件ID未登记",IF(OR(C414="",D414="",E414="",F414="",I414="",J414="",K414="",O414="",R414="",T414=""),"补命题、来源、立场、可得性或标注人",IF(AND(R414="条件必要",S414=""),"条件必要须写条件","格式已填；仍须人工复核")))))</x:f>
      </x:c>
    </x:row>
    <x:row r="415" ht="44"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12" t="str">
        <x:f>IF(A415="","",IF(COUNTIF($A$6:$A$505,A415)&gt;1,"记录ID重复",IF(COUNTIF('案件索引'!$A$6:$A$105,B415)=0,"案件ID未登记",IF(OR(C415="",D415="",E415="",F415="",I415="",J415="",K415="",O415="",R415="",T415=""),"补命题、来源、立场、可得性或标注人",IF(AND(R415="条件必要",S415=""),"条件必要须写条件","格式已填；仍须人工复核")))))</x:f>
      </x:c>
    </x:row>
    <x:row r="416" ht="44"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12" t="str">
        <x:f>IF(A416="","",IF(COUNTIF($A$6:$A$505,A416)&gt;1,"记录ID重复",IF(COUNTIF('案件索引'!$A$6:$A$105,B416)=0,"案件ID未登记",IF(OR(C416="",D416="",E416="",F416="",I416="",J416="",K416="",O416="",R416="",T416=""),"补命题、来源、立场、可得性或标注人",IF(AND(R416="条件必要",S416=""),"条件必要须写条件","格式已填；仍须人工复核")))))</x:f>
      </x:c>
    </x:row>
    <x:row r="417" ht="44"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12" t="str">
        <x:f>IF(A417="","",IF(COUNTIF($A$6:$A$505,A417)&gt;1,"记录ID重复",IF(COUNTIF('案件索引'!$A$6:$A$105,B417)=0,"案件ID未登记",IF(OR(C417="",D417="",E417="",F417="",I417="",J417="",K417="",O417="",R417="",T417=""),"补命题、来源、立场、可得性或标注人",IF(AND(R417="条件必要",S417=""),"条件必要须写条件","格式已填；仍须人工复核")))))</x:f>
      </x:c>
    </x:row>
    <x:row r="418" ht="44"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12" t="str">
        <x:f>IF(A418="","",IF(COUNTIF($A$6:$A$505,A418)&gt;1,"记录ID重复",IF(COUNTIF('案件索引'!$A$6:$A$105,B418)=0,"案件ID未登记",IF(OR(C418="",D418="",E418="",F418="",I418="",J418="",K418="",O418="",R418="",T418=""),"补命题、来源、立场、可得性或标注人",IF(AND(R418="条件必要",S418=""),"条件必要须写条件","格式已填；仍须人工复核")))))</x:f>
      </x:c>
    </x:row>
    <x:row r="419" ht="44"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12" t="str">
        <x:f>IF(A419="","",IF(COUNTIF($A$6:$A$505,A419)&gt;1,"记录ID重复",IF(COUNTIF('案件索引'!$A$6:$A$105,B419)=0,"案件ID未登记",IF(OR(C419="",D419="",E419="",F419="",I419="",J419="",K419="",O419="",R419="",T419=""),"补命题、来源、立场、可得性或标注人",IF(AND(R419="条件必要",S419=""),"条件必要须写条件","格式已填；仍须人工复核")))))</x:f>
      </x:c>
    </x:row>
    <x:row r="420" ht="44"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12" t="str">
        <x:f>IF(A420="","",IF(COUNTIF($A$6:$A$505,A420)&gt;1,"记录ID重复",IF(COUNTIF('案件索引'!$A$6:$A$105,B420)=0,"案件ID未登记",IF(OR(C420="",D420="",E420="",F420="",I420="",J420="",K420="",O420="",R420="",T420=""),"补命题、来源、立场、可得性或标注人",IF(AND(R420="条件必要",S420=""),"条件必要须写条件","格式已填；仍须人工复核")))))</x:f>
      </x:c>
    </x:row>
    <x:row r="421" ht="44"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12" t="str">
        <x:f>IF(A421="","",IF(COUNTIF($A$6:$A$505,A421)&gt;1,"记录ID重复",IF(COUNTIF('案件索引'!$A$6:$A$105,B421)=0,"案件ID未登记",IF(OR(C421="",D421="",E421="",F421="",I421="",J421="",K421="",O421="",R421="",T421=""),"补命题、来源、立场、可得性或标注人",IF(AND(R421="条件必要",S421=""),"条件必要须写条件","格式已填；仍须人工复核")))))</x:f>
      </x:c>
    </x:row>
    <x:row r="422" ht="44"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12" t="str">
        <x:f>IF(A422="","",IF(COUNTIF($A$6:$A$505,A422)&gt;1,"记录ID重复",IF(COUNTIF('案件索引'!$A$6:$A$105,B422)=0,"案件ID未登记",IF(OR(C422="",D422="",E422="",F422="",I422="",J422="",K422="",O422="",R422="",T422=""),"补命题、来源、立场、可得性或标注人",IF(AND(R422="条件必要",S422=""),"条件必要须写条件","格式已填；仍须人工复核")))))</x:f>
      </x:c>
    </x:row>
    <x:row r="423" ht="44"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12" t="str">
        <x:f>IF(A423="","",IF(COUNTIF($A$6:$A$505,A423)&gt;1,"记录ID重复",IF(COUNTIF('案件索引'!$A$6:$A$105,B423)=0,"案件ID未登记",IF(OR(C423="",D423="",E423="",F423="",I423="",J423="",K423="",O423="",R423="",T423=""),"补命题、来源、立场、可得性或标注人",IF(AND(R423="条件必要",S423=""),"条件必要须写条件","格式已填；仍须人工复核")))))</x:f>
      </x:c>
    </x:row>
    <x:row r="424" ht="44"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12" t="str">
        <x:f>IF(A424="","",IF(COUNTIF($A$6:$A$505,A424)&gt;1,"记录ID重复",IF(COUNTIF('案件索引'!$A$6:$A$105,B424)=0,"案件ID未登记",IF(OR(C424="",D424="",E424="",F424="",I424="",J424="",K424="",O424="",R424="",T424=""),"补命题、来源、立场、可得性或标注人",IF(AND(R424="条件必要",S424=""),"条件必要须写条件","格式已填；仍须人工复核")))))</x:f>
      </x:c>
    </x:row>
    <x:row r="425" ht="44"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12" t="str">
        <x:f>IF(A425="","",IF(COUNTIF($A$6:$A$505,A425)&gt;1,"记录ID重复",IF(COUNTIF('案件索引'!$A$6:$A$105,B425)=0,"案件ID未登记",IF(OR(C425="",D425="",E425="",F425="",I425="",J425="",K425="",O425="",R425="",T425=""),"补命题、来源、立场、可得性或标注人",IF(AND(R425="条件必要",S425=""),"条件必要须写条件","格式已填；仍须人工复核")))))</x:f>
      </x:c>
    </x:row>
    <x:row r="426" ht="44"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12" t="str">
        <x:f>IF(A426="","",IF(COUNTIF($A$6:$A$505,A426)&gt;1,"记录ID重复",IF(COUNTIF('案件索引'!$A$6:$A$105,B426)=0,"案件ID未登记",IF(OR(C426="",D426="",E426="",F426="",I426="",J426="",K426="",O426="",R426="",T426=""),"补命题、来源、立场、可得性或标注人",IF(AND(R426="条件必要",S426=""),"条件必要须写条件","格式已填；仍须人工复核")))))</x:f>
      </x:c>
    </x:row>
    <x:row r="427" ht="44"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12" t="str">
        <x:f>IF(A427="","",IF(COUNTIF($A$6:$A$505,A427)&gt;1,"记录ID重复",IF(COUNTIF('案件索引'!$A$6:$A$105,B427)=0,"案件ID未登记",IF(OR(C427="",D427="",E427="",F427="",I427="",J427="",K427="",O427="",R427="",T427=""),"补命题、来源、立场、可得性或标注人",IF(AND(R427="条件必要",S427=""),"条件必要须写条件","格式已填；仍须人工复核")))))</x:f>
      </x:c>
    </x:row>
    <x:row r="428" ht="44"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12" t="str">
        <x:f>IF(A428="","",IF(COUNTIF($A$6:$A$505,A428)&gt;1,"记录ID重复",IF(COUNTIF('案件索引'!$A$6:$A$105,B428)=0,"案件ID未登记",IF(OR(C428="",D428="",E428="",F428="",I428="",J428="",K428="",O428="",R428="",T428=""),"补命题、来源、立场、可得性或标注人",IF(AND(R428="条件必要",S428=""),"条件必要须写条件","格式已填；仍须人工复核")))))</x:f>
      </x:c>
    </x:row>
    <x:row r="429" ht="44"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12" t="str">
        <x:f>IF(A429="","",IF(COUNTIF($A$6:$A$505,A429)&gt;1,"记录ID重复",IF(COUNTIF('案件索引'!$A$6:$A$105,B429)=0,"案件ID未登记",IF(OR(C429="",D429="",E429="",F429="",I429="",J429="",K429="",O429="",R429="",T429=""),"补命题、来源、立场、可得性或标注人",IF(AND(R429="条件必要",S429=""),"条件必要须写条件","格式已填；仍须人工复核")))))</x:f>
      </x:c>
    </x:row>
    <x:row r="430" ht="44"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12" t="str">
        <x:f>IF(A430="","",IF(COUNTIF($A$6:$A$505,A430)&gt;1,"记录ID重复",IF(COUNTIF('案件索引'!$A$6:$A$105,B430)=0,"案件ID未登记",IF(OR(C430="",D430="",E430="",F430="",I430="",J430="",K430="",O430="",R430="",T430=""),"补命题、来源、立场、可得性或标注人",IF(AND(R430="条件必要",S430=""),"条件必要须写条件","格式已填；仍须人工复核")))))</x:f>
      </x:c>
    </x:row>
    <x:row r="431" ht="44"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12" t="str">
        <x:f>IF(A431="","",IF(COUNTIF($A$6:$A$505,A431)&gt;1,"记录ID重复",IF(COUNTIF('案件索引'!$A$6:$A$105,B431)=0,"案件ID未登记",IF(OR(C431="",D431="",E431="",F431="",I431="",J431="",K431="",O431="",R431="",T431=""),"补命题、来源、立场、可得性或标注人",IF(AND(R431="条件必要",S431=""),"条件必要须写条件","格式已填；仍须人工复核")))))</x:f>
      </x:c>
    </x:row>
    <x:row r="432" ht="44"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12" t="str">
        <x:f>IF(A432="","",IF(COUNTIF($A$6:$A$505,A432)&gt;1,"记录ID重复",IF(COUNTIF('案件索引'!$A$6:$A$105,B432)=0,"案件ID未登记",IF(OR(C432="",D432="",E432="",F432="",I432="",J432="",K432="",O432="",R432="",T432=""),"补命题、来源、立场、可得性或标注人",IF(AND(R432="条件必要",S432=""),"条件必要须写条件","格式已填；仍须人工复核")))))</x:f>
      </x:c>
    </x:row>
    <x:row r="433" ht="44"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12" t="str">
        <x:f>IF(A433="","",IF(COUNTIF($A$6:$A$505,A433)&gt;1,"记录ID重复",IF(COUNTIF('案件索引'!$A$6:$A$105,B433)=0,"案件ID未登记",IF(OR(C433="",D433="",E433="",F433="",I433="",J433="",K433="",O433="",R433="",T433=""),"补命题、来源、立场、可得性或标注人",IF(AND(R433="条件必要",S433=""),"条件必要须写条件","格式已填；仍须人工复核")))))</x:f>
      </x:c>
    </x:row>
    <x:row r="434" ht="44"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12" t="str">
        <x:f>IF(A434="","",IF(COUNTIF($A$6:$A$505,A434)&gt;1,"记录ID重复",IF(COUNTIF('案件索引'!$A$6:$A$105,B434)=0,"案件ID未登记",IF(OR(C434="",D434="",E434="",F434="",I434="",J434="",K434="",O434="",R434="",T434=""),"补命题、来源、立场、可得性或标注人",IF(AND(R434="条件必要",S434=""),"条件必要须写条件","格式已填；仍须人工复核")))))</x:f>
      </x:c>
    </x:row>
    <x:row r="435" ht="44"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12" t="str">
        <x:f>IF(A435="","",IF(COUNTIF($A$6:$A$505,A435)&gt;1,"记录ID重复",IF(COUNTIF('案件索引'!$A$6:$A$105,B435)=0,"案件ID未登记",IF(OR(C435="",D435="",E435="",F435="",I435="",J435="",K435="",O435="",R435="",T435=""),"补命题、来源、立场、可得性或标注人",IF(AND(R435="条件必要",S435=""),"条件必要须写条件","格式已填；仍须人工复核")))))</x:f>
      </x:c>
    </x:row>
    <x:row r="436" ht="44"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12" t="str">
        <x:f>IF(A436="","",IF(COUNTIF($A$6:$A$505,A436)&gt;1,"记录ID重复",IF(COUNTIF('案件索引'!$A$6:$A$105,B436)=0,"案件ID未登记",IF(OR(C436="",D436="",E436="",F436="",I436="",J436="",K436="",O436="",R436="",T436=""),"补命题、来源、立场、可得性或标注人",IF(AND(R436="条件必要",S436=""),"条件必要须写条件","格式已填；仍须人工复核")))))</x:f>
      </x:c>
    </x:row>
    <x:row r="437" ht="44"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12" t="str">
        <x:f>IF(A437="","",IF(COUNTIF($A$6:$A$505,A437)&gt;1,"记录ID重复",IF(COUNTIF('案件索引'!$A$6:$A$105,B437)=0,"案件ID未登记",IF(OR(C437="",D437="",E437="",F437="",I437="",J437="",K437="",O437="",R437="",T437=""),"补命题、来源、立场、可得性或标注人",IF(AND(R437="条件必要",S437=""),"条件必要须写条件","格式已填；仍须人工复核")))))</x:f>
      </x:c>
    </x:row>
    <x:row r="438" ht="44"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12" t="str">
        <x:f>IF(A438="","",IF(COUNTIF($A$6:$A$505,A438)&gt;1,"记录ID重复",IF(COUNTIF('案件索引'!$A$6:$A$105,B438)=0,"案件ID未登记",IF(OR(C438="",D438="",E438="",F438="",I438="",J438="",K438="",O438="",R438="",T438=""),"补命题、来源、立场、可得性或标注人",IF(AND(R438="条件必要",S438=""),"条件必要须写条件","格式已填；仍须人工复核")))))</x:f>
      </x:c>
    </x:row>
    <x:row r="439" ht="44"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12" t="str">
        <x:f>IF(A439="","",IF(COUNTIF($A$6:$A$505,A439)&gt;1,"记录ID重复",IF(COUNTIF('案件索引'!$A$6:$A$105,B439)=0,"案件ID未登记",IF(OR(C439="",D439="",E439="",F439="",I439="",J439="",K439="",O439="",R439="",T439=""),"补命题、来源、立场、可得性或标注人",IF(AND(R439="条件必要",S439=""),"条件必要须写条件","格式已填；仍须人工复核")))))</x:f>
      </x:c>
    </x:row>
    <x:row r="440" ht="44"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12" t="str">
        <x:f>IF(A440="","",IF(COUNTIF($A$6:$A$505,A440)&gt;1,"记录ID重复",IF(COUNTIF('案件索引'!$A$6:$A$105,B440)=0,"案件ID未登记",IF(OR(C440="",D440="",E440="",F440="",I440="",J440="",K440="",O440="",R440="",T440=""),"补命题、来源、立场、可得性或标注人",IF(AND(R440="条件必要",S440=""),"条件必要须写条件","格式已填；仍须人工复核")))))</x:f>
      </x:c>
    </x:row>
    <x:row r="441" ht="44"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12" t="str">
        <x:f>IF(A441="","",IF(COUNTIF($A$6:$A$505,A441)&gt;1,"记录ID重复",IF(COUNTIF('案件索引'!$A$6:$A$105,B441)=0,"案件ID未登记",IF(OR(C441="",D441="",E441="",F441="",I441="",J441="",K441="",O441="",R441="",T441=""),"补命题、来源、立场、可得性或标注人",IF(AND(R441="条件必要",S441=""),"条件必要须写条件","格式已填；仍须人工复核")))))</x:f>
      </x:c>
    </x:row>
    <x:row r="442" ht="44"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12" t="str">
        <x:f>IF(A442="","",IF(COUNTIF($A$6:$A$505,A442)&gt;1,"记录ID重复",IF(COUNTIF('案件索引'!$A$6:$A$105,B442)=0,"案件ID未登记",IF(OR(C442="",D442="",E442="",F442="",I442="",J442="",K442="",O442="",R442="",T442=""),"补命题、来源、立场、可得性或标注人",IF(AND(R442="条件必要",S442=""),"条件必要须写条件","格式已填；仍须人工复核")))))</x:f>
      </x:c>
    </x:row>
    <x:row r="443" ht="44"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12" t="str">
        <x:f>IF(A443="","",IF(COUNTIF($A$6:$A$505,A443)&gt;1,"记录ID重复",IF(COUNTIF('案件索引'!$A$6:$A$105,B443)=0,"案件ID未登记",IF(OR(C443="",D443="",E443="",F443="",I443="",J443="",K443="",O443="",R443="",T443=""),"补命题、来源、立场、可得性或标注人",IF(AND(R443="条件必要",S443=""),"条件必要须写条件","格式已填；仍须人工复核")))))</x:f>
      </x:c>
    </x:row>
    <x:row r="444" ht="44"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12" t="str">
        <x:f>IF(A444="","",IF(COUNTIF($A$6:$A$505,A444)&gt;1,"记录ID重复",IF(COUNTIF('案件索引'!$A$6:$A$105,B444)=0,"案件ID未登记",IF(OR(C444="",D444="",E444="",F444="",I444="",J444="",K444="",O444="",R444="",T444=""),"补命题、来源、立场、可得性或标注人",IF(AND(R444="条件必要",S444=""),"条件必要须写条件","格式已填；仍须人工复核")))))</x:f>
      </x:c>
    </x:row>
    <x:row r="445" ht="44"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12" t="str">
        <x:f>IF(A445="","",IF(COUNTIF($A$6:$A$505,A445)&gt;1,"记录ID重复",IF(COUNTIF('案件索引'!$A$6:$A$105,B445)=0,"案件ID未登记",IF(OR(C445="",D445="",E445="",F445="",I445="",J445="",K445="",O445="",R445="",T445=""),"补命题、来源、立场、可得性或标注人",IF(AND(R445="条件必要",S445=""),"条件必要须写条件","格式已填；仍须人工复核")))))</x:f>
      </x:c>
    </x:row>
    <x:row r="446" ht="44"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12" t="str">
        <x:f>IF(A446="","",IF(COUNTIF($A$6:$A$505,A446)&gt;1,"记录ID重复",IF(COUNTIF('案件索引'!$A$6:$A$105,B446)=0,"案件ID未登记",IF(OR(C446="",D446="",E446="",F446="",I446="",J446="",K446="",O446="",R446="",T446=""),"补命题、来源、立场、可得性或标注人",IF(AND(R446="条件必要",S446=""),"条件必要须写条件","格式已填；仍须人工复核")))))</x:f>
      </x:c>
    </x:row>
    <x:row r="447" ht="44"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12" t="str">
        <x:f>IF(A447="","",IF(COUNTIF($A$6:$A$505,A447)&gt;1,"记录ID重复",IF(COUNTIF('案件索引'!$A$6:$A$105,B447)=0,"案件ID未登记",IF(OR(C447="",D447="",E447="",F447="",I447="",J447="",K447="",O447="",R447="",T447=""),"补命题、来源、立场、可得性或标注人",IF(AND(R447="条件必要",S447=""),"条件必要须写条件","格式已填；仍须人工复核")))))</x:f>
      </x:c>
    </x:row>
    <x:row r="448" ht="44"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12" t="str">
        <x:f>IF(A448="","",IF(COUNTIF($A$6:$A$505,A448)&gt;1,"记录ID重复",IF(COUNTIF('案件索引'!$A$6:$A$105,B448)=0,"案件ID未登记",IF(OR(C448="",D448="",E448="",F448="",I448="",J448="",K448="",O448="",R448="",T448=""),"补命题、来源、立场、可得性或标注人",IF(AND(R448="条件必要",S448=""),"条件必要须写条件","格式已填；仍须人工复核")))))</x:f>
      </x:c>
    </x:row>
    <x:row r="449" ht="44"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12" t="str">
        <x:f>IF(A449="","",IF(COUNTIF($A$6:$A$505,A449)&gt;1,"记录ID重复",IF(COUNTIF('案件索引'!$A$6:$A$105,B449)=0,"案件ID未登记",IF(OR(C449="",D449="",E449="",F449="",I449="",J449="",K449="",O449="",R449="",T449=""),"补命题、来源、立场、可得性或标注人",IF(AND(R449="条件必要",S449=""),"条件必要须写条件","格式已填；仍须人工复核")))))</x:f>
      </x:c>
    </x:row>
    <x:row r="450" ht="44"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12" t="str">
        <x:f>IF(A450="","",IF(COUNTIF($A$6:$A$505,A450)&gt;1,"记录ID重复",IF(COUNTIF('案件索引'!$A$6:$A$105,B450)=0,"案件ID未登记",IF(OR(C450="",D450="",E450="",F450="",I450="",J450="",K450="",O450="",R450="",T450=""),"补命题、来源、立场、可得性或标注人",IF(AND(R450="条件必要",S450=""),"条件必要须写条件","格式已填；仍须人工复核")))))</x:f>
      </x:c>
    </x:row>
    <x:row r="451" ht="44"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12" t="str">
        <x:f>IF(A451="","",IF(COUNTIF($A$6:$A$505,A451)&gt;1,"记录ID重复",IF(COUNTIF('案件索引'!$A$6:$A$105,B451)=0,"案件ID未登记",IF(OR(C451="",D451="",E451="",F451="",I451="",J451="",K451="",O451="",R451="",T451=""),"补命题、来源、立场、可得性或标注人",IF(AND(R451="条件必要",S451=""),"条件必要须写条件","格式已填；仍须人工复核")))))</x:f>
      </x:c>
    </x:row>
    <x:row r="452" ht="44"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12" t="str">
        <x:f>IF(A452="","",IF(COUNTIF($A$6:$A$505,A452)&gt;1,"记录ID重复",IF(COUNTIF('案件索引'!$A$6:$A$105,B452)=0,"案件ID未登记",IF(OR(C452="",D452="",E452="",F452="",I452="",J452="",K452="",O452="",R452="",T452=""),"补命题、来源、立场、可得性或标注人",IF(AND(R452="条件必要",S452=""),"条件必要须写条件","格式已填；仍须人工复核")))))</x:f>
      </x:c>
    </x:row>
    <x:row r="453" ht="44"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12" t="str">
        <x:f>IF(A453="","",IF(COUNTIF($A$6:$A$505,A453)&gt;1,"记录ID重复",IF(COUNTIF('案件索引'!$A$6:$A$105,B453)=0,"案件ID未登记",IF(OR(C453="",D453="",E453="",F453="",I453="",J453="",K453="",O453="",R453="",T453=""),"补命题、来源、立场、可得性或标注人",IF(AND(R453="条件必要",S453=""),"条件必要须写条件","格式已填；仍须人工复核")))))</x:f>
      </x:c>
    </x:row>
    <x:row r="454" ht="44"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12" t="str">
        <x:f>IF(A454="","",IF(COUNTIF($A$6:$A$505,A454)&gt;1,"记录ID重复",IF(COUNTIF('案件索引'!$A$6:$A$105,B454)=0,"案件ID未登记",IF(OR(C454="",D454="",E454="",F454="",I454="",J454="",K454="",O454="",R454="",T454=""),"补命题、来源、立场、可得性或标注人",IF(AND(R454="条件必要",S454=""),"条件必要须写条件","格式已填；仍须人工复核")))))</x:f>
      </x:c>
    </x:row>
    <x:row r="455" ht="44"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12" t="str">
        <x:f>IF(A455="","",IF(COUNTIF($A$6:$A$505,A455)&gt;1,"记录ID重复",IF(COUNTIF('案件索引'!$A$6:$A$105,B455)=0,"案件ID未登记",IF(OR(C455="",D455="",E455="",F455="",I455="",J455="",K455="",O455="",R455="",T455=""),"补命题、来源、立场、可得性或标注人",IF(AND(R455="条件必要",S455=""),"条件必要须写条件","格式已填；仍须人工复核")))))</x:f>
      </x:c>
    </x:row>
    <x:row r="456" ht="44"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12" t="str">
        <x:f>IF(A456="","",IF(COUNTIF($A$6:$A$505,A456)&gt;1,"记录ID重复",IF(COUNTIF('案件索引'!$A$6:$A$105,B456)=0,"案件ID未登记",IF(OR(C456="",D456="",E456="",F456="",I456="",J456="",K456="",O456="",R456="",T456=""),"补命题、来源、立场、可得性或标注人",IF(AND(R456="条件必要",S456=""),"条件必要须写条件","格式已填；仍须人工复核")))))</x:f>
      </x:c>
    </x:row>
    <x:row r="457" ht="44"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12" t="str">
        <x:f>IF(A457="","",IF(COUNTIF($A$6:$A$505,A457)&gt;1,"记录ID重复",IF(COUNTIF('案件索引'!$A$6:$A$105,B457)=0,"案件ID未登记",IF(OR(C457="",D457="",E457="",F457="",I457="",J457="",K457="",O457="",R457="",T457=""),"补命题、来源、立场、可得性或标注人",IF(AND(R457="条件必要",S457=""),"条件必要须写条件","格式已填；仍须人工复核")))))</x:f>
      </x:c>
    </x:row>
    <x:row r="458" ht="44"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12" t="str">
        <x:f>IF(A458="","",IF(COUNTIF($A$6:$A$505,A458)&gt;1,"记录ID重复",IF(COUNTIF('案件索引'!$A$6:$A$105,B458)=0,"案件ID未登记",IF(OR(C458="",D458="",E458="",F458="",I458="",J458="",K458="",O458="",R458="",T458=""),"补命题、来源、立场、可得性或标注人",IF(AND(R458="条件必要",S458=""),"条件必要须写条件","格式已填；仍须人工复核")))))</x:f>
      </x:c>
    </x:row>
    <x:row r="459" ht="44"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12" t="str">
        <x:f>IF(A459="","",IF(COUNTIF($A$6:$A$505,A459)&gt;1,"记录ID重复",IF(COUNTIF('案件索引'!$A$6:$A$105,B459)=0,"案件ID未登记",IF(OR(C459="",D459="",E459="",F459="",I459="",J459="",K459="",O459="",R459="",T459=""),"补命题、来源、立场、可得性或标注人",IF(AND(R459="条件必要",S459=""),"条件必要须写条件","格式已填；仍须人工复核")))))</x:f>
      </x:c>
    </x:row>
    <x:row r="460" ht="44"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12" t="str">
        <x:f>IF(A460="","",IF(COUNTIF($A$6:$A$505,A460)&gt;1,"记录ID重复",IF(COUNTIF('案件索引'!$A$6:$A$105,B460)=0,"案件ID未登记",IF(OR(C460="",D460="",E460="",F460="",I460="",J460="",K460="",O460="",R460="",T460=""),"补命题、来源、立场、可得性或标注人",IF(AND(R460="条件必要",S460=""),"条件必要须写条件","格式已填；仍须人工复核")))))</x:f>
      </x:c>
    </x:row>
    <x:row r="461" ht="44"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12" t="str">
        <x:f>IF(A461="","",IF(COUNTIF($A$6:$A$505,A461)&gt;1,"记录ID重复",IF(COUNTIF('案件索引'!$A$6:$A$105,B461)=0,"案件ID未登记",IF(OR(C461="",D461="",E461="",F461="",I461="",J461="",K461="",O461="",R461="",T461=""),"补命题、来源、立场、可得性或标注人",IF(AND(R461="条件必要",S461=""),"条件必要须写条件","格式已填；仍须人工复核")))))</x:f>
      </x:c>
    </x:row>
    <x:row r="462" ht="44"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12" t="str">
        <x:f>IF(A462="","",IF(COUNTIF($A$6:$A$505,A462)&gt;1,"记录ID重复",IF(COUNTIF('案件索引'!$A$6:$A$105,B462)=0,"案件ID未登记",IF(OR(C462="",D462="",E462="",F462="",I462="",J462="",K462="",O462="",R462="",T462=""),"补命题、来源、立场、可得性或标注人",IF(AND(R462="条件必要",S462=""),"条件必要须写条件","格式已填；仍须人工复核")))))</x:f>
      </x:c>
    </x:row>
    <x:row r="463" ht="44"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12" t="str">
        <x:f>IF(A463="","",IF(COUNTIF($A$6:$A$505,A463)&gt;1,"记录ID重复",IF(COUNTIF('案件索引'!$A$6:$A$105,B463)=0,"案件ID未登记",IF(OR(C463="",D463="",E463="",F463="",I463="",J463="",K463="",O463="",R463="",T463=""),"补命题、来源、立场、可得性或标注人",IF(AND(R463="条件必要",S463=""),"条件必要须写条件","格式已填；仍须人工复核")))))</x:f>
      </x:c>
    </x:row>
    <x:row r="464" ht="44"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12" t="str">
        <x:f>IF(A464="","",IF(COUNTIF($A$6:$A$505,A464)&gt;1,"记录ID重复",IF(COUNTIF('案件索引'!$A$6:$A$105,B464)=0,"案件ID未登记",IF(OR(C464="",D464="",E464="",F464="",I464="",J464="",K464="",O464="",R464="",T464=""),"补命题、来源、立场、可得性或标注人",IF(AND(R464="条件必要",S464=""),"条件必要须写条件","格式已填；仍须人工复核")))))</x:f>
      </x:c>
    </x:row>
    <x:row r="465" ht="44"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12" t="str">
        <x:f>IF(A465="","",IF(COUNTIF($A$6:$A$505,A465)&gt;1,"记录ID重复",IF(COUNTIF('案件索引'!$A$6:$A$105,B465)=0,"案件ID未登记",IF(OR(C465="",D465="",E465="",F465="",I465="",J465="",K465="",O465="",R465="",T465=""),"补命题、来源、立场、可得性或标注人",IF(AND(R465="条件必要",S465=""),"条件必要须写条件","格式已填；仍须人工复核")))))</x:f>
      </x:c>
    </x:row>
    <x:row r="466" ht="44"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12" t="str">
        <x:f>IF(A466="","",IF(COUNTIF($A$6:$A$505,A466)&gt;1,"记录ID重复",IF(COUNTIF('案件索引'!$A$6:$A$105,B466)=0,"案件ID未登记",IF(OR(C466="",D466="",E466="",F466="",I466="",J466="",K466="",O466="",R466="",T466=""),"补命题、来源、立场、可得性或标注人",IF(AND(R466="条件必要",S466=""),"条件必要须写条件","格式已填；仍须人工复核")))))</x:f>
      </x:c>
    </x:row>
    <x:row r="467" ht="44"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12" t="str">
        <x:f>IF(A467="","",IF(COUNTIF($A$6:$A$505,A467)&gt;1,"记录ID重复",IF(COUNTIF('案件索引'!$A$6:$A$105,B467)=0,"案件ID未登记",IF(OR(C467="",D467="",E467="",F467="",I467="",J467="",K467="",O467="",R467="",T467=""),"补命题、来源、立场、可得性或标注人",IF(AND(R467="条件必要",S467=""),"条件必要须写条件","格式已填；仍须人工复核")))))</x:f>
      </x:c>
    </x:row>
    <x:row r="468" ht="44"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12" t="str">
        <x:f>IF(A468="","",IF(COUNTIF($A$6:$A$505,A468)&gt;1,"记录ID重复",IF(COUNTIF('案件索引'!$A$6:$A$105,B468)=0,"案件ID未登记",IF(OR(C468="",D468="",E468="",F468="",I468="",J468="",K468="",O468="",R468="",T468=""),"补命题、来源、立场、可得性或标注人",IF(AND(R468="条件必要",S468=""),"条件必要须写条件","格式已填；仍须人工复核")))))</x:f>
      </x:c>
    </x:row>
    <x:row r="469" ht="44"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12" t="str">
        <x:f>IF(A469="","",IF(COUNTIF($A$6:$A$505,A469)&gt;1,"记录ID重复",IF(COUNTIF('案件索引'!$A$6:$A$105,B469)=0,"案件ID未登记",IF(OR(C469="",D469="",E469="",F469="",I469="",J469="",K469="",O469="",R469="",T469=""),"补命题、来源、立场、可得性或标注人",IF(AND(R469="条件必要",S469=""),"条件必要须写条件","格式已填；仍须人工复核")))))</x:f>
      </x:c>
    </x:row>
    <x:row r="470" ht="44"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12" t="str">
        <x:f>IF(A470="","",IF(COUNTIF($A$6:$A$505,A470)&gt;1,"记录ID重复",IF(COUNTIF('案件索引'!$A$6:$A$105,B470)=0,"案件ID未登记",IF(OR(C470="",D470="",E470="",F470="",I470="",J470="",K470="",O470="",R470="",T470=""),"补命题、来源、立场、可得性或标注人",IF(AND(R470="条件必要",S470=""),"条件必要须写条件","格式已填；仍须人工复核")))))</x:f>
      </x:c>
    </x:row>
    <x:row r="471" ht="44"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12" t="str">
        <x:f>IF(A471="","",IF(COUNTIF($A$6:$A$505,A471)&gt;1,"记录ID重复",IF(COUNTIF('案件索引'!$A$6:$A$105,B471)=0,"案件ID未登记",IF(OR(C471="",D471="",E471="",F471="",I471="",J471="",K471="",O471="",R471="",T471=""),"补命题、来源、立场、可得性或标注人",IF(AND(R471="条件必要",S471=""),"条件必要须写条件","格式已填；仍须人工复核")))))</x:f>
      </x:c>
    </x:row>
    <x:row r="472" ht="44"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12" t="str">
        <x:f>IF(A472="","",IF(COUNTIF($A$6:$A$505,A472)&gt;1,"记录ID重复",IF(COUNTIF('案件索引'!$A$6:$A$105,B472)=0,"案件ID未登记",IF(OR(C472="",D472="",E472="",F472="",I472="",J472="",K472="",O472="",R472="",T472=""),"补命题、来源、立场、可得性或标注人",IF(AND(R472="条件必要",S472=""),"条件必要须写条件","格式已填；仍须人工复核")))))</x:f>
      </x:c>
    </x:row>
    <x:row r="473" ht="44"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12" t="str">
        <x:f>IF(A473="","",IF(COUNTIF($A$6:$A$505,A473)&gt;1,"记录ID重复",IF(COUNTIF('案件索引'!$A$6:$A$105,B473)=0,"案件ID未登记",IF(OR(C473="",D473="",E473="",F473="",I473="",J473="",K473="",O473="",R473="",T473=""),"补命题、来源、立场、可得性或标注人",IF(AND(R473="条件必要",S473=""),"条件必要须写条件","格式已填；仍须人工复核")))))</x:f>
      </x:c>
    </x:row>
    <x:row r="474" ht="44"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12" t="str">
        <x:f>IF(A474="","",IF(COUNTIF($A$6:$A$505,A474)&gt;1,"记录ID重复",IF(COUNTIF('案件索引'!$A$6:$A$105,B474)=0,"案件ID未登记",IF(OR(C474="",D474="",E474="",F474="",I474="",J474="",K474="",O474="",R474="",T474=""),"补命题、来源、立场、可得性或标注人",IF(AND(R474="条件必要",S474=""),"条件必要须写条件","格式已填；仍须人工复核")))))</x:f>
      </x:c>
    </x:row>
    <x:row r="475" ht="44"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12" t="str">
        <x:f>IF(A475="","",IF(COUNTIF($A$6:$A$505,A475)&gt;1,"记录ID重复",IF(COUNTIF('案件索引'!$A$6:$A$105,B475)=0,"案件ID未登记",IF(OR(C475="",D475="",E475="",F475="",I475="",J475="",K475="",O475="",R475="",T475=""),"补命题、来源、立场、可得性或标注人",IF(AND(R475="条件必要",S475=""),"条件必要须写条件","格式已填；仍须人工复核")))))</x:f>
      </x:c>
    </x:row>
    <x:row r="476" ht="44"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12" t="str">
        <x:f>IF(A476="","",IF(COUNTIF($A$6:$A$505,A476)&gt;1,"记录ID重复",IF(COUNTIF('案件索引'!$A$6:$A$105,B476)=0,"案件ID未登记",IF(OR(C476="",D476="",E476="",F476="",I476="",J476="",K476="",O476="",R476="",T476=""),"补命题、来源、立场、可得性或标注人",IF(AND(R476="条件必要",S476=""),"条件必要须写条件","格式已填；仍须人工复核")))))</x:f>
      </x:c>
    </x:row>
    <x:row r="477" ht="44"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12" t="str">
        <x:f>IF(A477="","",IF(COUNTIF($A$6:$A$505,A477)&gt;1,"记录ID重复",IF(COUNTIF('案件索引'!$A$6:$A$105,B477)=0,"案件ID未登记",IF(OR(C477="",D477="",E477="",F477="",I477="",J477="",K477="",O477="",R477="",T477=""),"补命题、来源、立场、可得性或标注人",IF(AND(R477="条件必要",S477=""),"条件必要须写条件","格式已填；仍须人工复核")))))</x:f>
      </x:c>
    </x:row>
    <x:row r="478" ht="44"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12" t="str">
        <x:f>IF(A478="","",IF(COUNTIF($A$6:$A$505,A478)&gt;1,"记录ID重复",IF(COUNTIF('案件索引'!$A$6:$A$105,B478)=0,"案件ID未登记",IF(OR(C478="",D478="",E478="",F478="",I478="",J478="",K478="",O478="",R478="",T478=""),"补命题、来源、立场、可得性或标注人",IF(AND(R478="条件必要",S478=""),"条件必要须写条件","格式已填；仍须人工复核")))))</x:f>
      </x:c>
    </x:row>
    <x:row r="479" ht="44"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12" t="str">
        <x:f>IF(A479="","",IF(COUNTIF($A$6:$A$505,A479)&gt;1,"记录ID重复",IF(COUNTIF('案件索引'!$A$6:$A$105,B479)=0,"案件ID未登记",IF(OR(C479="",D479="",E479="",F479="",I479="",J479="",K479="",O479="",R479="",T479=""),"补命题、来源、立场、可得性或标注人",IF(AND(R479="条件必要",S479=""),"条件必要须写条件","格式已填；仍须人工复核")))))</x:f>
      </x:c>
    </x:row>
    <x:row r="480" ht="44"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12" t="str">
        <x:f>IF(A480="","",IF(COUNTIF($A$6:$A$505,A480)&gt;1,"记录ID重复",IF(COUNTIF('案件索引'!$A$6:$A$105,B480)=0,"案件ID未登记",IF(OR(C480="",D480="",E480="",F480="",I480="",J480="",K480="",O480="",R480="",T480=""),"补命题、来源、立场、可得性或标注人",IF(AND(R480="条件必要",S480=""),"条件必要须写条件","格式已填；仍须人工复核")))))</x:f>
      </x:c>
    </x:row>
    <x:row r="481" ht="44"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12" t="str">
        <x:f>IF(A481="","",IF(COUNTIF($A$6:$A$505,A481)&gt;1,"记录ID重复",IF(COUNTIF('案件索引'!$A$6:$A$105,B481)=0,"案件ID未登记",IF(OR(C481="",D481="",E481="",F481="",I481="",J481="",K481="",O481="",R481="",T481=""),"补命题、来源、立场、可得性或标注人",IF(AND(R481="条件必要",S481=""),"条件必要须写条件","格式已填；仍须人工复核")))))</x:f>
      </x:c>
    </x:row>
    <x:row r="482" ht="44"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12" t="str">
        <x:f>IF(A482="","",IF(COUNTIF($A$6:$A$505,A482)&gt;1,"记录ID重复",IF(COUNTIF('案件索引'!$A$6:$A$105,B482)=0,"案件ID未登记",IF(OR(C482="",D482="",E482="",F482="",I482="",J482="",K482="",O482="",R482="",T482=""),"补命题、来源、立场、可得性或标注人",IF(AND(R482="条件必要",S482=""),"条件必要须写条件","格式已填；仍须人工复核")))))</x:f>
      </x:c>
    </x:row>
    <x:row r="483" ht="44"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12" t="str">
        <x:f>IF(A483="","",IF(COUNTIF($A$6:$A$505,A483)&gt;1,"记录ID重复",IF(COUNTIF('案件索引'!$A$6:$A$105,B483)=0,"案件ID未登记",IF(OR(C483="",D483="",E483="",F483="",I483="",J483="",K483="",O483="",R483="",T483=""),"补命题、来源、立场、可得性或标注人",IF(AND(R483="条件必要",S483=""),"条件必要须写条件","格式已填；仍须人工复核")))))</x:f>
      </x:c>
    </x:row>
    <x:row r="484" ht="44"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12" t="str">
        <x:f>IF(A484="","",IF(COUNTIF($A$6:$A$505,A484)&gt;1,"记录ID重复",IF(COUNTIF('案件索引'!$A$6:$A$105,B484)=0,"案件ID未登记",IF(OR(C484="",D484="",E484="",F484="",I484="",J484="",K484="",O484="",R484="",T484=""),"补命题、来源、立场、可得性或标注人",IF(AND(R484="条件必要",S484=""),"条件必要须写条件","格式已填；仍须人工复核")))))</x:f>
      </x:c>
    </x:row>
    <x:row r="485" ht="44"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12" t="str">
        <x:f>IF(A485="","",IF(COUNTIF($A$6:$A$505,A485)&gt;1,"记录ID重复",IF(COUNTIF('案件索引'!$A$6:$A$105,B485)=0,"案件ID未登记",IF(OR(C485="",D485="",E485="",F485="",I485="",J485="",K485="",O485="",R485="",T485=""),"补命题、来源、立场、可得性或标注人",IF(AND(R485="条件必要",S485=""),"条件必要须写条件","格式已填；仍须人工复核")))))</x:f>
      </x:c>
    </x:row>
    <x:row r="486" ht="44"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12" t="str">
        <x:f>IF(A486="","",IF(COUNTIF($A$6:$A$505,A486)&gt;1,"记录ID重复",IF(COUNTIF('案件索引'!$A$6:$A$105,B486)=0,"案件ID未登记",IF(OR(C486="",D486="",E486="",F486="",I486="",J486="",K486="",O486="",R486="",T486=""),"补命题、来源、立场、可得性或标注人",IF(AND(R486="条件必要",S486=""),"条件必要须写条件","格式已填；仍须人工复核")))))</x:f>
      </x:c>
    </x:row>
    <x:row r="487" ht="44"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12" t="str">
        <x:f>IF(A487="","",IF(COUNTIF($A$6:$A$505,A487)&gt;1,"记录ID重复",IF(COUNTIF('案件索引'!$A$6:$A$105,B487)=0,"案件ID未登记",IF(OR(C487="",D487="",E487="",F487="",I487="",J487="",K487="",O487="",R487="",T487=""),"补命题、来源、立场、可得性或标注人",IF(AND(R487="条件必要",S487=""),"条件必要须写条件","格式已填；仍须人工复核")))))</x:f>
      </x:c>
    </x:row>
    <x:row r="488" ht="44"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12" t="str">
        <x:f>IF(A488="","",IF(COUNTIF($A$6:$A$505,A488)&gt;1,"记录ID重复",IF(COUNTIF('案件索引'!$A$6:$A$105,B488)=0,"案件ID未登记",IF(OR(C488="",D488="",E488="",F488="",I488="",J488="",K488="",O488="",R488="",T488=""),"补命题、来源、立场、可得性或标注人",IF(AND(R488="条件必要",S488=""),"条件必要须写条件","格式已填；仍须人工复核")))))</x:f>
      </x:c>
    </x:row>
    <x:row r="489" ht="44"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12" t="str">
        <x:f>IF(A489="","",IF(COUNTIF($A$6:$A$505,A489)&gt;1,"记录ID重复",IF(COUNTIF('案件索引'!$A$6:$A$105,B489)=0,"案件ID未登记",IF(OR(C489="",D489="",E489="",F489="",I489="",J489="",K489="",O489="",R489="",T489=""),"补命题、来源、立场、可得性或标注人",IF(AND(R489="条件必要",S489=""),"条件必要须写条件","格式已填；仍须人工复核")))))</x:f>
      </x:c>
    </x:row>
    <x:row r="490" ht="44"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12" t="str">
        <x:f>IF(A490="","",IF(COUNTIF($A$6:$A$505,A490)&gt;1,"记录ID重复",IF(COUNTIF('案件索引'!$A$6:$A$105,B490)=0,"案件ID未登记",IF(OR(C490="",D490="",E490="",F490="",I490="",J490="",K490="",O490="",R490="",T490=""),"补命题、来源、立场、可得性或标注人",IF(AND(R490="条件必要",S490=""),"条件必要须写条件","格式已填；仍须人工复核")))))</x:f>
      </x:c>
    </x:row>
    <x:row r="491" ht="44"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12" t="str">
        <x:f>IF(A491="","",IF(COUNTIF($A$6:$A$505,A491)&gt;1,"记录ID重复",IF(COUNTIF('案件索引'!$A$6:$A$105,B491)=0,"案件ID未登记",IF(OR(C491="",D491="",E491="",F491="",I491="",J491="",K491="",O491="",R491="",T491=""),"补命题、来源、立场、可得性或标注人",IF(AND(R491="条件必要",S491=""),"条件必要须写条件","格式已填；仍须人工复核")))))</x:f>
      </x:c>
    </x:row>
    <x:row r="492" ht="44"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12" t="str">
        <x:f>IF(A492="","",IF(COUNTIF($A$6:$A$505,A492)&gt;1,"记录ID重复",IF(COUNTIF('案件索引'!$A$6:$A$105,B492)=0,"案件ID未登记",IF(OR(C492="",D492="",E492="",F492="",I492="",J492="",K492="",O492="",R492="",T492=""),"补命题、来源、立场、可得性或标注人",IF(AND(R492="条件必要",S492=""),"条件必要须写条件","格式已填；仍须人工复核")))))</x:f>
      </x:c>
    </x:row>
    <x:row r="493" ht="44"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12" t="str">
        <x:f>IF(A493="","",IF(COUNTIF($A$6:$A$505,A493)&gt;1,"记录ID重复",IF(COUNTIF('案件索引'!$A$6:$A$105,B493)=0,"案件ID未登记",IF(OR(C493="",D493="",E493="",F493="",I493="",J493="",K493="",O493="",R493="",T493=""),"补命题、来源、立场、可得性或标注人",IF(AND(R493="条件必要",S493=""),"条件必要须写条件","格式已填；仍须人工复核")))))</x:f>
      </x:c>
    </x:row>
    <x:row r="494" ht="44"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12" t="str">
        <x:f>IF(A494="","",IF(COUNTIF($A$6:$A$505,A494)&gt;1,"记录ID重复",IF(COUNTIF('案件索引'!$A$6:$A$105,B494)=0,"案件ID未登记",IF(OR(C494="",D494="",E494="",F494="",I494="",J494="",K494="",O494="",R494="",T494=""),"补命题、来源、立场、可得性或标注人",IF(AND(R494="条件必要",S494=""),"条件必要须写条件","格式已填；仍须人工复核")))))</x:f>
      </x:c>
    </x:row>
    <x:row r="495" ht="44"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12" t="str">
        <x:f>IF(A495="","",IF(COUNTIF($A$6:$A$505,A495)&gt;1,"记录ID重复",IF(COUNTIF('案件索引'!$A$6:$A$105,B495)=0,"案件ID未登记",IF(OR(C495="",D495="",E495="",F495="",I495="",J495="",K495="",O495="",R495="",T495=""),"补命题、来源、立场、可得性或标注人",IF(AND(R495="条件必要",S495=""),"条件必要须写条件","格式已填；仍须人工复核")))))</x:f>
      </x:c>
    </x:row>
    <x:row r="496" ht="44"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12" t="str">
        <x:f>IF(A496="","",IF(COUNTIF($A$6:$A$505,A496)&gt;1,"记录ID重复",IF(COUNTIF('案件索引'!$A$6:$A$105,B496)=0,"案件ID未登记",IF(OR(C496="",D496="",E496="",F496="",I496="",J496="",K496="",O496="",R496="",T496=""),"补命题、来源、立场、可得性或标注人",IF(AND(R496="条件必要",S496=""),"条件必要须写条件","格式已填；仍须人工复核")))))</x:f>
      </x:c>
    </x:row>
    <x:row r="497" ht="44"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12" t="str">
        <x:f>IF(A497="","",IF(COUNTIF($A$6:$A$505,A497)&gt;1,"记录ID重复",IF(COUNTIF('案件索引'!$A$6:$A$105,B497)=0,"案件ID未登记",IF(OR(C497="",D497="",E497="",F497="",I497="",J497="",K497="",O497="",R497="",T497=""),"补命题、来源、立场、可得性或标注人",IF(AND(R497="条件必要",S497=""),"条件必要须写条件","格式已填；仍须人工复核")))))</x:f>
      </x:c>
    </x:row>
    <x:row r="498" ht="44"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12" t="str">
        <x:f>IF(A498="","",IF(COUNTIF($A$6:$A$505,A498)&gt;1,"记录ID重复",IF(COUNTIF('案件索引'!$A$6:$A$105,B498)=0,"案件ID未登记",IF(OR(C498="",D498="",E498="",F498="",I498="",J498="",K498="",O498="",R498="",T498=""),"补命题、来源、立场、可得性或标注人",IF(AND(R498="条件必要",S498=""),"条件必要须写条件","格式已填；仍须人工复核")))))</x:f>
      </x:c>
    </x:row>
    <x:row r="499" ht="44"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12" t="str">
        <x:f>IF(A499="","",IF(COUNTIF($A$6:$A$505,A499)&gt;1,"记录ID重复",IF(COUNTIF('案件索引'!$A$6:$A$105,B499)=0,"案件ID未登记",IF(OR(C499="",D499="",E499="",F499="",I499="",J499="",K499="",O499="",R499="",T499=""),"补命题、来源、立场、可得性或标注人",IF(AND(R499="条件必要",S499=""),"条件必要须写条件","格式已填；仍须人工复核")))))</x:f>
      </x:c>
    </x:row>
    <x:row r="500" ht="44"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12" t="str">
        <x:f>IF(A500="","",IF(COUNTIF($A$6:$A$505,A500)&gt;1,"记录ID重复",IF(COUNTIF('案件索引'!$A$6:$A$105,B500)=0,"案件ID未登记",IF(OR(C500="",D500="",E500="",F500="",I500="",J500="",K500="",O500="",R500="",T500=""),"补命题、来源、立场、可得性或标注人",IF(AND(R500="条件必要",S500=""),"条件必要须写条件","格式已填；仍须人工复核")))))</x:f>
      </x:c>
    </x:row>
    <x:row r="501" ht="44"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12" t="str">
        <x:f>IF(A501="","",IF(COUNTIF($A$6:$A$505,A501)&gt;1,"记录ID重复",IF(COUNTIF('案件索引'!$A$6:$A$105,B501)=0,"案件ID未登记",IF(OR(C501="",D501="",E501="",F501="",I501="",J501="",K501="",O501="",R501="",T501=""),"补命题、来源、立场、可得性或标注人",IF(AND(R501="条件必要",S501=""),"条件必要须写条件","格式已填；仍须人工复核")))))</x:f>
      </x:c>
    </x:row>
    <x:row r="502" ht="44"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12" t="str">
        <x:f>IF(A502="","",IF(COUNTIF($A$6:$A$505,A502)&gt;1,"记录ID重复",IF(COUNTIF('案件索引'!$A$6:$A$105,B502)=0,"案件ID未登记",IF(OR(C502="",D502="",E502="",F502="",I502="",J502="",K502="",O502="",R502="",T502=""),"补命题、来源、立场、可得性或标注人",IF(AND(R502="条件必要",S502=""),"条件必要须写条件","格式已填；仍须人工复核")))))</x:f>
      </x:c>
    </x:row>
    <x:row r="503" ht="44"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12" t="str">
        <x:f>IF(A503="","",IF(COUNTIF($A$6:$A$505,A503)&gt;1,"记录ID重复",IF(COUNTIF('案件索引'!$A$6:$A$105,B503)=0,"案件ID未登记",IF(OR(C503="",D503="",E503="",F503="",I503="",J503="",K503="",O503="",R503="",T503=""),"补命题、来源、立场、可得性或标注人",IF(AND(R503="条件必要",S503=""),"条件必要须写条件","格式已填；仍须人工复核")))))</x:f>
      </x:c>
    </x:row>
    <x:row r="504" ht="44"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12" t="str">
        <x:f>IF(A504="","",IF(COUNTIF($A$6:$A$505,A504)&gt;1,"记录ID重复",IF(COUNTIF('案件索引'!$A$6:$A$105,B504)=0,"案件ID未登记",IF(OR(C504="",D504="",E504="",F504="",I504="",J504="",K504="",O504="",R504="",T504=""),"补命题、来源、立场、可得性或标注人",IF(AND(R504="条件必要",S504=""),"条件必要须写条件","格式已填；仍须人工复核")))))</x:f>
      </x:c>
    </x:row>
    <x:row r="505" ht="44"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12" t="str">
        <x:f>IF(A505="","",IF(COUNTIF($A$6:$A$505,A505)&gt;1,"记录ID重复",IF(COUNTIF('案件索引'!$A$6:$A$105,B505)=0,"案件ID未登记",IF(OR(C505="",D505="",E505="",F505="",I505="",J505="",K505="",O505="",R505="",T505=""),"补命题、来源、立场、可得性或标注人",IF(AND(R505="条件必要",S505=""),"条件必要须写条件","格式已填；仍须人工复核")))))</x:f>
      </x:c>
    </x:row>
  </x:sheetData>
  <x:mergeCells>
    <x:mergeCell ref="A1:H1"/>
    <x:mergeCell ref="A2:L2"/>
    <x:mergeCell ref="A3:L3"/>
  </x:mergeCells>
  <x:conditionalFormatting sqref="W6:W505">
    <x:cfRule type="containsText" dxfId="1" priority="1" operator="containsText" text="须"/>
  </x:conditionalFormatting>
  <x:dataValidations count="6">
    <x:dataValidation type="list" sqref="B6:B505">
      <x:formula1>'案件索引'!$A$6:$A$15</x:formula1>
    </x:dataValidation>
    <x:dataValidation type="list" sqref="G6:G505">
      <x:formula1>'标注选项'!$B$29:$B$36</x:formula1>
    </x:dataValidation>
    <x:dataValidation type="list" sqref="K6:K505">
      <x:formula1>'标注选项'!$B$37:$B$46</x:formula1>
    </x:dataValidation>
    <x:dataValidation type="list" sqref="O6:O505">
      <x:formula1>'标注选项'!$B$47:$B$51</x:formula1>
    </x:dataValidation>
    <x:dataValidation type="list" sqref="R6:R505">
      <x:formula1>'标注选项'!$B$52:$B$55</x:formula1>
    </x:dataValidation>
    <x:dataValidation type="list" sqref="V6:V505">
      <x:formula1>'标注选项'!$B$83:$B$87</x:formula1>
    </x:dataValidation>
  </x:dataValidations>
  <x:pageMargins left="0.7" right="0.7" top="0.75" bottom="0.75" header="0.3" footer="0.3"/>
  <x:legacyDrawing xmlns:r="http://schemas.openxmlformats.org/officeDocument/2006/relationships" r:id="R9c77257bea364789"/>
  <x:tableParts count="1">
    <x:tablePart xmlns:r="http://schemas.openxmlformats.org/officeDocument/2006/relationships" r:id="Re11ff60a97f547d7"/>
  </x:tableParts>
</x:worksheet>
</file>

<file path=xl/worksheets/sheet6.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22" hidden="0" customWidth="1"/>
    <x:col min="4" max="4" width="22" hidden="0" customWidth="1"/>
    <x:col min="5" max="5" width="38" hidden="0" customWidth="1"/>
    <x:col min="6" max="6" width="38" hidden="0" customWidth="1"/>
    <x:col min="7" max="7" width="38" hidden="0" customWidth="1"/>
    <x:col min="8" max="8" width="22" hidden="0" customWidth="1"/>
    <x:col min="9" max="9" width="38" hidden="0" customWidth="1"/>
    <x:col min="10" max="10" width="22" hidden="0" customWidth="1"/>
    <x:col min="11" max="11" width="58" hidden="0" customWidth="1"/>
    <x:col min="12" max="12" width="38" hidden="0" customWidth="1"/>
    <x:col min="13" max="13" width="38" hidden="0" customWidth="1"/>
    <x:col min="14" max="14" width="38" hidden="0" customWidth="1"/>
    <x:col min="15" max="15" width="38" hidden="0" customWidth="1"/>
    <x:col min="16" max="16" width="38" hidden="0" customWidth="1"/>
    <x:col min="17" max="17" width="22" hidden="0" customWidth="1"/>
    <x:col min="18" max="18" width="38" hidden="0" customWidth="1"/>
    <x:col min="19" max="19" width="58" hidden="0" customWidth="1"/>
    <x:col min="20" max="20" width="38" hidden="0" customWidth="1"/>
    <x:col min="21" max="21" width="22" hidden="0" customWidth="1"/>
    <x:col min="22" max="22" width="22" hidden="0" customWidth="1"/>
    <x:col min="23" max="23" width="40" hidden="0" customWidth="1"/>
  </x:cols>
  <x:sheetData>
    <x:row r="1" ht="38" customHeight="1">
      <x:c r="A1" s="5" t="str">
        <x:v>披露标注</x:v>
      </x:c>
      <x:c r="B1" s="5"/>
      <x:c r="C1" s="5"/>
      <x:c r="D1" s="5"/>
      <x:c r="E1" s="5"/>
      <x:c r="F1" s="5"/>
      <x:c r="G1" s="5"/>
      <x:c r="H1" s="5"/>
      <x:c r="I1" s="3"/>
      <x:c r="J1" s="3"/>
      <x:c r="K1" s="3"/>
      <x:c r="L1" s="3"/>
      <x:c r="M1" s="3"/>
      <x:c r="N1" s="3"/>
      <x:c r="O1" s="3"/>
      <x:c r="P1" s="3"/>
      <x:c r="Q1" s="3"/>
      <x:c r="R1" s="3"/>
      <x:c r="S1" s="3"/>
      <x:c r="T1" s="3"/>
      <x:c r="U1" s="3"/>
      <x:c r="V1" s="3"/>
      <x:c r="W1" s="3"/>
    </x:row>
    <x:row r="2" ht="36" customHeight="1">
      <x:c r="A2" s="6" t="str">
        <x:v>一行对应一个信息片段×任务×接收环境；必要性、精度、转换和限制分别填写。</x:v>
      </x:c>
      <x:c r="B2" s="6"/>
      <x:c r="C2" s="6"/>
      <x:c r="D2" s="6"/>
      <x:c r="E2" s="6"/>
      <x:c r="F2" s="6"/>
      <x:c r="G2" s="6"/>
      <x:c r="H2" s="6"/>
      <x:c r="I2" s="6"/>
      <x:c r="J2" s="6"/>
      <x:c r="K2" s="6"/>
      <x:c r="L2" s="6"/>
      <x:c r="M2" s="6"/>
      <x:c r="N2" s="6"/>
      <x:c r="O2" s="6"/>
      <x:c r="P2" s="6"/>
      <x:c r="Q2" s="6"/>
      <x:c r="R2" s="6"/>
      <x:c r="S2" s="6"/>
      <x:c r="T2" s="6"/>
      <x:c r="U2" s="6"/>
      <x:c r="V2" s="6"/>
      <x:c r="W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c r="P3" s="7"/>
      <x:c r="Q3" s="7"/>
      <x:c r="R3" s="7"/>
      <x:c r="S3" s="7"/>
      <x:c r="T3" s="7"/>
      <x:c r="U3" s="7"/>
      <x:c r="V3" s="7"/>
      <x:c r="W3" s="7"/>
    </x:row>
    <x:row r="4" ht="44" customHeight="1">
      <x:c r="A4" s="3"/>
      <x:c r="B4" s="3"/>
      <x:c r="C4" s="3"/>
      <x:c r="D4" s="3"/>
      <x:c r="E4" s="3"/>
      <x:c r="F4" s="3"/>
      <x:c r="G4" s="3"/>
      <x:c r="H4" s="3"/>
      <x:c r="I4" s="3"/>
      <x:c r="J4" s="3"/>
      <x:c r="K4" s="3"/>
      <x:c r="L4" s="3"/>
      <x:c r="M4" s="3"/>
      <x:c r="N4" s="3"/>
      <x:c r="O4" s="3"/>
      <x:c r="P4" s="3"/>
      <x:c r="Q4" s="3"/>
      <x:c r="R4" s="3"/>
      <x:c r="S4" s="3"/>
      <x:c r="T4" s="3"/>
      <x:c r="U4" s="3"/>
      <x:c r="V4" s="3"/>
      <x:c r="W4" s="3"/>
    </x:row>
    <x:row r="5" ht="48" customHeight="1">
      <x:c r="A5" s="10" t="str">
        <x:v>披露记录ID</x:v>
      </x:c>
      <x:c r="B5" s="10" t="str">
        <x:v>案件ID</x:v>
      </x:c>
      <x:c r="C5" s="10" t="str">
        <x:v>关联事实或主体ID</x:v>
      </x:c>
      <x:c r="D5" s="10" t="str">
        <x:v>来源材料ID与锚点</x:v>
      </x:c>
      <x:c r="E5" s="10" t="str">
        <x:v>待处理原值</x:v>
      </x:c>
      <x:c r="F5" s="10" t="str">
        <x:v>保护对象</x:v>
      </x:c>
      <x:c r="G5" s="10" t="str">
        <x:v>任务目的</x:v>
      </x:c>
      <x:c r="H5" s="10" t="str">
        <x:v>任务必要性</x:v>
      </x:c>
      <x:c r="I5" s="10" t="str">
        <x:v>保留精度</x:v>
      </x:c>
      <x:c r="J5" s="10" t="str">
        <x:v>转换动作</x:v>
      </x:c>
      <x:c r="K5" s="10" t="str">
        <x:v>期望处理结果</x:v>
      </x:c>
      <x:c r="L5" s="10" t="str">
        <x:v>触发条件</x:v>
      </x:c>
      <x:c r="M5" s="10" t="str">
        <x:v>条件满足情况</x:v>
      </x:c>
      <x:c r="N5" s="10" t="str">
        <x:v>处理环境</x:v>
      </x:c>
      <x:c r="O5" s="10" t="str">
        <x:v>权限与服务条件证据</x:v>
      </x:c>
      <x:c r="P5" s="10" t="str">
        <x:v>限制性质</x:v>
      </x:c>
      <x:c r="Q5" s="10" t="str">
        <x:v>规则与法源ID</x:v>
      </x:c>
      <x:c r="R5" s="10" t="str">
        <x:v>拟披露结论</x:v>
      </x:c>
      <x:c r="S5" s="10" t="str">
        <x:v>复核问题</x:v>
      </x:c>
      <x:c r="T5" s="10" t="str">
        <x:v>标注人</x:v>
      </x:c>
      <x:c r="U5" s="10" t="str">
        <x:v>批次</x:v>
      </x:c>
      <x:c r="V5" s="10" t="str">
        <x:v>复核状态</x:v>
      </x:c>
      <x:c r="W5" s="10" t="str">
        <x:v>质检提示</x:v>
      </x:c>
    </x:row>
    <x:row r="6" ht="44" customHeight="1">
      <x:c r="A6" s="9"/>
      <x:c r="B6" s="9"/>
      <x:c r="C6" s="9"/>
      <x:c r="D6" s="9"/>
      <x:c r="E6" s="9"/>
      <x:c r="F6" s="9"/>
      <x:c r="G6" s="9"/>
      <x:c r="H6" s="9"/>
      <x:c r="I6" s="9"/>
      <x:c r="J6" s="9"/>
      <x:c r="K6" s="9"/>
      <x:c r="L6" s="9"/>
      <x:c r="M6" s="9"/>
      <x:c r="N6" s="9"/>
      <x:c r="O6" s="9"/>
      <x:c r="P6" s="9"/>
      <x:c r="Q6" s="9"/>
      <x:c r="R6" s="9"/>
      <x:c r="S6" s="9"/>
      <x:c r="T6" s="9"/>
      <x:c r="U6" s="9"/>
      <x:c r="V6" s="9"/>
      <x:c r="W6" s="12" t="str">
        <x:f>IF(A6="","",IF(COUNTIF($A$6:$A$505,A6)&gt;1,"记录ID重复",IF(COUNTIF('案件索引'!$A$6:$A$105,B6)=0,"案件ID未登记",IF(OR(C6="",D6="",F6="",G6="",H6="",I6="",J6="",K6="",M6="",N6="",Q6="",R6="",T6=""),"补对象、必要性、结果、依据或标注人",IF(AND(H6="条件必要",L6=""),"条件必要须写条件",IF(AND(R6="条件通过待执行核验",OR(M6="未知",M6="未满足",O6="",O6="未提供")),"条件或权限证据不足，退回核验","格式已填；仍须人工复核"))))))</x:f>
      </x:c>
    </x:row>
    <x:row r="7" ht="44" customHeight="1">
      <x:c r="A7" s="9"/>
      <x:c r="B7" s="9"/>
      <x:c r="C7" s="9"/>
      <x:c r="D7" s="9"/>
      <x:c r="E7" s="9"/>
      <x:c r="F7" s="9"/>
      <x:c r="G7" s="9"/>
      <x:c r="H7" s="9"/>
      <x:c r="I7" s="9"/>
      <x:c r="J7" s="9"/>
      <x:c r="K7" s="9"/>
      <x:c r="L7" s="9"/>
      <x:c r="M7" s="9"/>
      <x:c r="N7" s="9"/>
      <x:c r="O7" s="9"/>
      <x:c r="P7" s="9"/>
      <x:c r="Q7" s="9"/>
      <x:c r="R7" s="9"/>
      <x:c r="S7" s="9"/>
      <x:c r="T7" s="9"/>
      <x:c r="U7" s="9"/>
      <x:c r="V7" s="9"/>
      <x:c r="W7" s="12" t="str">
        <x:f>IF(A7="","",IF(COUNTIF($A$6:$A$505,A7)&gt;1,"记录ID重复",IF(COUNTIF('案件索引'!$A$6:$A$105,B7)=0,"案件ID未登记",IF(OR(C7="",D7="",F7="",G7="",H7="",I7="",J7="",K7="",M7="",N7="",Q7="",R7="",T7=""),"补对象、必要性、结果、依据或标注人",IF(AND(H7="条件必要",L7=""),"条件必要须写条件",IF(AND(R7="条件通过待执行核验",OR(M7="未知",M7="未满足",O7="",O7="未提供")),"条件或权限证据不足，退回核验","格式已填；仍须人工复核"))))))</x:f>
      </x:c>
    </x:row>
    <x:row r="8" ht="44" customHeight="1">
      <x:c r="A8" s="9"/>
      <x:c r="B8" s="9"/>
      <x:c r="C8" s="9"/>
      <x:c r="D8" s="9"/>
      <x:c r="E8" s="9"/>
      <x:c r="F8" s="9"/>
      <x:c r="G8" s="9"/>
      <x:c r="H8" s="9"/>
      <x:c r="I8" s="9"/>
      <x:c r="J8" s="9"/>
      <x:c r="K8" s="9"/>
      <x:c r="L8" s="9"/>
      <x:c r="M8" s="9"/>
      <x:c r="N8" s="9"/>
      <x:c r="O8" s="9"/>
      <x:c r="P8" s="9"/>
      <x:c r="Q8" s="9"/>
      <x:c r="R8" s="9"/>
      <x:c r="S8" s="9"/>
      <x:c r="T8" s="9"/>
      <x:c r="U8" s="9"/>
      <x:c r="V8" s="9"/>
      <x:c r="W8" s="12" t="str">
        <x:f>IF(A8="","",IF(COUNTIF($A$6:$A$505,A8)&gt;1,"记录ID重复",IF(COUNTIF('案件索引'!$A$6:$A$105,B8)=0,"案件ID未登记",IF(OR(C8="",D8="",F8="",G8="",H8="",I8="",J8="",K8="",M8="",N8="",Q8="",R8="",T8=""),"补对象、必要性、结果、依据或标注人",IF(AND(H8="条件必要",L8=""),"条件必要须写条件",IF(AND(R8="条件通过待执行核验",OR(M8="未知",M8="未满足",O8="",O8="未提供")),"条件或权限证据不足，退回核验","格式已填；仍须人工复核"))))))</x:f>
      </x:c>
    </x:row>
    <x:row r="9" ht="44" customHeight="1">
      <x:c r="A9" s="9"/>
      <x:c r="B9" s="9"/>
      <x:c r="C9" s="9"/>
      <x:c r="D9" s="9"/>
      <x:c r="E9" s="9"/>
      <x:c r="F9" s="9"/>
      <x:c r="G9" s="9"/>
      <x:c r="H9" s="9"/>
      <x:c r="I9" s="9"/>
      <x:c r="J9" s="9"/>
      <x:c r="K9" s="9"/>
      <x:c r="L9" s="9"/>
      <x:c r="M9" s="9"/>
      <x:c r="N9" s="9"/>
      <x:c r="O9" s="9"/>
      <x:c r="P9" s="9"/>
      <x:c r="Q9" s="9"/>
      <x:c r="R9" s="9"/>
      <x:c r="S9" s="9"/>
      <x:c r="T9" s="9"/>
      <x:c r="U9" s="9"/>
      <x:c r="V9" s="9"/>
      <x:c r="W9" s="12" t="str">
        <x:f>IF(A9="","",IF(COUNTIF($A$6:$A$505,A9)&gt;1,"记录ID重复",IF(COUNTIF('案件索引'!$A$6:$A$105,B9)=0,"案件ID未登记",IF(OR(C9="",D9="",F9="",G9="",H9="",I9="",J9="",K9="",M9="",N9="",Q9="",R9="",T9=""),"补对象、必要性、结果、依据或标注人",IF(AND(H9="条件必要",L9=""),"条件必要须写条件",IF(AND(R9="条件通过待执行核验",OR(M9="未知",M9="未满足",O9="",O9="未提供")),"条件或权限证据不足，退回核验","格式已填；仍须人工复核"))))))</x:f>
      </x:c>
    </x:row>
    <x:row r="10" ht="44" customHeight="1">
      <x:c r="A10" s="9"/>
      <x:c r="B10" s="9"/>
      <x:c r="C10" s="9"/>
      <x:c r="D10" s="9"/>
      <x:c r="E10" s="9"/>
      <x:c r="F10" s="9"/>
      <x:c r="G10" s="9"/>
      <x:c r="H10" s="9"/>
      <x:c r="I10" s="9"/>
      <x:c r="J10" s="9"/>
      <x:c r="K10" s="9"/>
      <x:c r="L10" s="9"/>
      <x:c r="M10" s="9"/>
      <x:c r="N10" s="9"/>
      <x:c r="O10" s="9"/>
      <x:c r="P10" s="9"/>
      <x:c r="Q10" s="9"/>
      <x:c r="R10" s="9"/>
      <x:c r="S10" s="9"/>
      <x:c r="T10" s="9"/>
      <x:c r="U10" s="9"/>
      <x:c r="V10" s="9"/>
      <x:c r="W10" s="12" t="str">
        <x:f>IF(A10="","",IF(COUNTIF($A$6:$A$505,A10)&gt;1,"记录ID重复",IF(COUNTIF('案件索引'!$A$6:$A$105,B10)=0,"案件ID未登记",IF(OR(C10="",D10="",F10="",G10="",H10="",I10="",J10="",K10="",M10="",N10="",Q10="",R10="",T10=""),"补对象、必要性、结果、依据或标注人",IF(AND(H10="条件必要",L10=""),"条件必要须写条件",IF(AND(R10="条件通过待执行核验",OR(M10="未知",M10="未满足",O10="",O10="未提供")),"条件或权限证据不足，退回核验","格式已填；仍须人工复核"))))))</x:f>
      </x:c>
    </x:row>
    <x:row r="11" ht="44" customHeight="1">
      <x:c r="A11" s="9"/>
      <x:c r="B11" s="9"/>
      <x:c r="C11" s="9"/>
      <x:c r="D11" s="9"/>
      <x:c r="E11" s="9"/>
      <x:c r="F11" s="9"/>
      <x:c r="G11" s="9"/>
      <x:c r="H11" s="9"/>
      <x:c r="I11" s="9"/>
      <x:c r="J11" s="9"/>
      <x:c r="K11" s="9"/>
      <x:c r="L11" s="9"/>
      <x:c r="M11" s="9"/>
      <x:c r="N11" s="9"/>
      <x:c r="O11" s="9"/>
      <x:c r="P11" s="9"/>
      <x:c r="Q11" s="9"/>
      <x:c r="R11" s="9"/>
      <x:c r="S11" s="9"/>
      <x:c r="T11" s="9"/>
      <x:c r="U11" s="9"/>
      <x:c r="V11" s="9"/>
      <x:c r="W11" s="12" t="str">
        <x:f>IF(A11="","",IF(COUNTIF($A$6:$A$505,A11)&gt;1,"记录ID重复",IF(COUNTIF('案件索引'!$A$6:$A$105,B11)=0,"案件ID未登记",IF(OR(C11="",D11="",F11="",G11="",H11="",I11="",J11="",K11="",M11="",N11="",Q11="",R11="",T11=""),"补对象、必要性、结果、依据或标注人",IF(AND(H11="条件必要",L11=""),"条件必要须写条件",IF(AND(R11="条件通过待执行核验",OR(M11="未知",M11="未满足",O11="",O11="未提供")),"条件或权限证据不足，退回核验","格式已填；仍须人工复核"))))))</x:f>
      </x:c>
    </x:row>
    <x:row r="12" ht="44" customHeight="1">
      <x:c r="A12" s="9"/>
      <x:c r="B12" s="9"/>
      <x:c r="C12" s="9"/>
      <x:c r="D12" s="9"/>
      <x:c r="E12" s="9"/>
      <x:c r="F12" s="9"/>
      <x:c r="G12" s="9"/>
      <x:c r="H12" s="9"/>
      <x:c r="I12" s="9"/>
      <x:c r="J12" s="9"/>
      <x:c r="K12" s="9"/>
      <x:c r="L12" s="9"/>
      <x:c r="M12" s="9"/>
      <x:c r="N12" s="9"/>
      <x:c r="O12" s="9"/>
      <x:c r="P12" s="9"/>
      <x:c r="Q12" s="9"/>
      <x:c r="R12" s="9"/>
      <x:c r="S12" s="9"/>
      <x:c r="T12" s="9"/>
      <x:c r="U12" s="9"/>
      <x:c r="V12" s="9"/>
      <x:c r="W12" s="12" t="str">
        <x:f>IF(A12="","",IF(COUNTIF($A$6:$A$505,A12)&gt;1,"记录ID重复",IF(COUNTIF('案件索引'!$A$6:$A$105,B12)=0,"案件ID未登记",IF(OR(C12="",D12="",F12="",G12="",H12="",I12="",J12="",K12="",M12="",N12="",Q12="",R12="",T12=""),"补对象、必要性、结果、依据或标注人",IF(AND(H12="条件必要",L12=""),"条件必要须写条件",IF(AND(R12="条件通过待执行核验",OR(M12="未知",M12="未满足",O12="",O12="未提供")),"条件或权限证据不足，退回核验","格式已填；仍须人工复核"))))))</x:f>
      </x:c>
    </x:row>
    <x:row r="13" ht="44" customHeight="1">
      <x:c r="A13" s="9"/>
      <x:c r="B13" s="9"/>
      <x:c r="C13" s="9"/>
      <x:c r="D13" s="9"/>
      <x:c r="E13" s="9"/>
      <x:c r="F13" s="9"/>
      <x:c r="G13" s="9"/>
      <x:c r="H13" s="9"/>
      <x:c r="I13" s="9"/>
      <x:c r="J13" s="9"/>
      <x:c r="K13" s="9"/>
      <x:c r="L13" s="9"/>
      <x:c r="M13" s="9"/>
      <x:c r="N13" s="9"/>
      <x:c r="O13" s="9"/>
      <x:c r="P13" s="9"/>
      <x:c r="Q13" s="9"/>
      <x:c r="R13" s="9"/>
      <x:c r="S13" s="9"/>
      <x:c r="T13" s="9"/>
      <x:c r="U13" s="9"/>
      <x:c r="V13" s="9"/>
      <x:c r="W13" s="12" t="str">
        <x:f>IF(A13="","",IF(COUNTIF($A$6:$A$505,A13)&gt;1,"记录ID重复",IF(COUNTIF('案件索引'!$A$6:$A$105,B13)=0,"案件ID未登记",IF(OR(C13="",D13="",F13="",G13="",H13="",I13="",J13="",K13="",M13="",N13="",Q13="",R13="",T13=""),"补对象、必要性、结果、依据或标注人",IF(AND(H13="条件必要",L13=""),"条件必要须写条件",IF(AND(R13="条件通过待执行核验",OR(M13="未知",M13="未满足",O13="",O13="未提供")),"条件或权限证据不足，退回核验","格式已填；仍须人工复核"))))))</x:f>
      </x:c>
    </x:row>
    <x:row r="14" ht="44" customHeight="1">
      <x:c r="A14" s="9"/>
      <x:c r="B14" s="9"/>
      <x:c r="C14" s="9"/>
      <x:c r="D14" s="9"/>
      <x:c r="E14" s="9"/>
      <x:c r="F14" s="9"/>
      <x:c r="G14" s="9"/>
      <x:c r="H14" s="9"/>
      <x:c r="I14" s="9"/>
      <x:c r="J14" s="9"/>
      <x:c r="K14" s="9"/>
      <x:c r="L14" s="9"/>
      <x:c r="M14" s="9"/>
      <x:c r="N14" s="9"/>
      <x:c r="O14" s="9"/>
      <x:c r="P14" s="9"/>
      <x:c r="Q14" s="9"/>
      <x:c r="R14" s="9"/>
      <x:c r="S14" s="9"/>
      <x:c r="T14" s="9"/>
      <x:c r="U14" s="9"/>
      <x:c r="V14" s="9"/>
      <x:c r="W14" s="12" t="str">
        <x:f>IF(A14="","",IF(COUNTIF($A$6:$A$505,A14)&gt;1,"记录ID重复",IF(COUNTIF('案件索引'!$A$6:$A$105,B14)=0,"案件ID未登记",IF(OR(C14="",D14="",F14="",G14="",H14="",I14="",J14="",K14="",M14="",N14="",Q14="",R14="",T14=""),"补对象、必要性、结果、依据或标注人",IF(AND(H14="条件必要",L14=""),"条件必要须写条件",IF(AND(R14="条件通过待执行核验",OR(M14="未知",M14="未满足",O14="",O14="未提供")),"条件或权限证据不足，退回核验","格式已填；仍须人工复核"))))))</x:f>
      </x:c>
    </x:row>
    <x:row r="15" ht="44" customHeight="1">
      <x:c r="A15" s="9"/>
      <x:c r="B15" s="9"/>
      <x:c r="C15" s="9"/>
      <x:c r="D15" s="9"/>
      <x:c r="E15" s="9"/>
      <x:c r="F15" s="9"/>
      <x:c r="G15" s="9"/>
      <x:c r="H15" s="9"/>
      <x:c r="I15" s="9"/>
      <x:c r="J15" s="9"/>
      <x:c r="K15" s="9"/>
      <x:c r="L15" s="9"/>
      <x:c r="M15" s="9"/>
      <x:c r="N15" s="9"/>
      <x:c r="O15" s="9"/>
      <x:c r="P15" s="9"/>
      <x:c r="Q15" s="9"/>
      <x:c r="R15" s="9"/>
      <x:c r="S15" s="9"/>
      <x:c r="T15" s="9"/>
      <x:c r="U15" s="9"/>
      <x:c r="V15" s="9"/>
      <x:c r="W15" s="12" t="str">
        <x:f>IF(A15="","",IF(COUNTIF($A$6:$A$505,A15)&gt;1,"记录ID重复",IF(COUNTIF('案件索引'!$A$6:$A$105,B15)=0,"案件ID未登记",IF(OR(C15="",D15="",F15="",G15="",H15="",I15="",J15="",K15="",M15="",N15="",Q15="",R15="",T15=""),"补对象、必要性、结果、依据或标注人",IF(AND(H15="条件必要",L15=""),"条件必要须写条件",IF(AND(R15="条件通过待执行核验",OR(M15="未知",M15="未满足",O15="",O15="未提供")),"条件或权限证据不足，退回核验","格式已填；仍须人工复核"))))))</x:f>
      </x:c>
    </x:row>
    <x:row r="16" ht="44" customHeight="1">
      <x:c r="A16" s="9"/>
      <x:c r="B16" s="9"/>
      <x:c r="C16" s="9"/>
      <x:c r="D16" s="9"/>
      <x:c r="E16" s="9"/>
      <x:c r="F16" s="9"/>
      <x:c r="G16" s="9"/>
      <x:c r="H16" s="9"/>
      <x:c r="I16" s="9"/>
      <x:c r="J16" s="9"/>
      <x:c r="K16" s="9"/>
      <x:c r="L16" s="9"/>
      <x:c r="M16" s="9"/>
      <x:c r="N16" s="9"/>
      <x:c r="O16" s="9"/>
      <x:c r="P16" s="9"/>
      <x:c r="Q16" s="9"/>
      <x:c r="R16" s="9"/>
      <x:c r="S16" s="9"/>
      <x:c r="T16" s="9"/>
      <x:c r="U16" s="9"/>
      <x:c r="V16" s="9"/>
      <x:c r="W16" s="12" t="str">
        <x:f>IF(A16="","",IF(COUNTIF($A$6:$A$505,A16)&gt;1,"记录ID重复",IF(COUNTIF('案件索引'!$A$6:$A$105,B16)=0,"案件ID未登记",IF(OR(C16="",D16="",F16="",G16="",H16="",I16="",J16="",K16="",M16="",N16="",Q16="",R16="",T16=""),"补对象、必要性、结果、依据或标注人",IF(AND(H16="条件必要",L16=""),"条件必要须写条件",IF(AND(R16="条件通过待执行核验",OR(M16="未知",M16="未满足",O16="",O16="未提供")),"条件或权限证据不足，退回核验","格式已填；仍须人工复核"))))))</x:f>
      </x:c>
    </x:row>
    <x:row r="17" ht="44" customHeight="1">
      <x:c r="A17" s="9"/>
      <x:c r="B17" s="9"/>
      <x:c r="C17" s="9"/>
      <x:c r="D17" s="9"/>
      <x:c r="E17" s="9"/>
      <x:c r="F17" s="9"/>
      <x:c r="G17" s="9"/>
      <x:c r="H17" s="9"/>
      <x:c r="I17" s="9"/>
      <x:c r="J17" s="9"/>
      <x:c r="K17" s="9"/>
      <x:c r="L17" s="9"/>
      <x:c r="M17" s="9"/>
      <x:c r="N17" s="9"/>
      <x:c r="O17" s="9"/>
      <x:c r="P17" s="9"/>
      <x:c r="Q17" s="9"/>
      <x:c r="R17" s="9"/>
      <x:c r="S17" s="9"/>
      <x:c r="T17" s="9"/>
      <x:c r="U17" s="9"/>
      <x:c r="V17" s="9"/>
      <x:c r="W17" s="12" t="str">
        <x:f>IF(A17="","",IF(COUNTIF($A$6:$A$505,A17)&gt;1,"记录ID重复",IF(COUNTIF('案件索引'!$A$6:$A$105,B17)=0,"案件ID未登记",IF(OR(C17="",D17="",F17="",G17="",H17="",I17="",J17="",K17="",M17="",N17="",Q17="",R17="",T17=""),"补对象、必要性、结果、依据或标注人",IF(AND(H17="条件必要",L17=""),"条件必要须写条件",IF(AND(R17="条件通过待执行核验",OR(M17="未知",M17="未满足",O17="",O17="未提供")),"条件或权限证据不足，退回核验","格式已填；仍须人工复核"))))))</x:f>
      </x:c>
    </x:row>
    <x:row r="18" ht="44" customHeight="1">
      <x:c r="A18" s="9"/>
      <x:c r="B18" s="9"/>
      <x:c r="C18" s="9"/>
      <x:c r="D18" s="9"/>
      <x:c r="E18" s="9"/>
      <x:c r="F18" s="9"/>
      <x:c r="G18" s="9"/>
      <x:c r="H18" s="9"/>
      <x:c r="I18" s="9"/>
      <x:c r="J18" s="9"/>
      <x:c r="K18" s="9"/>
      <x:c r="L18" s="9"/>
      <x:c r="M18" s="9"/>
      <x:c r="N18" s="9"/>
      <x:c r="O18" s="9"/>
      <x:c r="P18" s="9"/>
      <x:c r="Q18" s="9"/>
      <x:c r="R18" s="9"/>
      <x:c r="S18" s="9"/>
      <x:c r="T18" s="9"/>
      <x:c r="U18" s="9"/>
      <x:c r="V18" s="9"/>
      <x:c r="W18" s="12" t="str">
        <x:f>IF(A18="","",IF(COUNTIF($A$6:$A$505,A18)&gt;1,"记录ID重复",IF(COUNTIF('案件索引'!$A$6:$A$105,B18)=0,"案件ID未登记",IF(OR(C18="",D18="",F18="",G18="",H18="",I18="",J18="",K18="",M18="",N18="",Q18="",R18="",T18=""),"补对象、必要性、结果、依据或标注人",IF(AND(H18="条件必要",L18=""),"条件必要须写条件",IF(AND(R18="条件通过待执行核验",OR(M18="未知",M18="未满足",O18="",O18="未提供")),"条件或权限证据不足，退回核验","格式已填；仍须人工复核"))))))</x:f>
      </x:c>
    </x:row>
    <x:row r="19" ht="44" customHeight="1">
      <x:c r="A19" s="9"/>
      <x:c r="B19" s="9"/>
      <x:c r="C19" s="9"/>
      <x:c r="D19" s="9"/>
      <x:c r="E19" s="9"/>
      <x:c r="F19" s="9"/>
      <x:c r="G19" s="9"/>
      <x:c r="H19" s="9"/>
      <x:c r="I19" s="9"/>
      <x:c r="J19" s="9"/>
      <x:c r="K19" s="9"/>
      <x:c r="L19" s="9"/>
      <x:c r="M19" s="9"/>
      <x:c r="N19" s="9"/>
      <x:c r="O19" s="9"/>
      <x:c r="P19" s="9"/>
      <x:c r="Q19" s="9"/>
      <x:c r="R19" s="9"/>
      <x:c r="S19" s="9"/>
      <x:c r="T19" s="9"/>
      <x:c r="U19" s="9"/>
      <x:c r="V19" s="9"/>
      <x:c r="W19" s="12" t="str">
        <x:f>IF(A19="","",IF(COUNTIF($A$6:$A$505,A19)&gt;1,"记录ID重复",IF(COUNTIF('案件索引'!$A$6:$A$105,B19)=0,"案件ID未登记",IF(OR(C19="",D19="",F19="",G19="",H19="",I19="",J19="",K19="",M19="",N19="",Q19="",R19="",T19=""),"补对象、必要性、结果、依据或标注人",IF(AND(H19="条件必要",L19=""),"条件必要须写条件",IF(AND(R19="条件通过待执行核验",OR(M19="未知",M19="未满足",O19="",O19="未提供")),"条件或权限证据不足，退回核验","格式已填；仍须人工复核"))))))</x:f>
      </x:c>
    </x:row>
    <x:row r="20" ht="44" customHeight="1">
      <x:c r="A20" s="9"/>
      <x:c r="B20" s="9"/>
      <x:c r="C20" s="9"/>
      <x:c r="D20" s="9"/>
      <x:c r="E20" s="9"/>
      <x:c r="F20" s="9"/>
      <x:c r="G20" s="9"/>
      <x:c r="H20" s="9"/>
      <x:c r="I20" s="9"/>
      <x:c r="J20" s="9"/>
      <x:c r="K20" s="9"/>
      <x:c r="L20" s="9"/>
      <x:c r="M20" s="9"/>
      <x:c r="N20" s="9"/>
      <x:c r="O20" s="9"/>
      <x:c r="P20" s="9"/>
      <x:c r="Q20" s="9"/>
      <x:c r="R20" s="9"/>
      <x:c r="S20" s="9"/>
      <x:c r="T20" s="9"/>
      <x:c r="U20" s="9"/>
      <x:c r="V20" s="9"/>
      <x:c r="W20" s="12" t="str">
        <x:f>IF(A20="","",IF(COUNTIF($A$6:$A$505,A20)&gt;1,"记录ID重复",IF(COUNTIF('案件索引'!$A$6:$A$105,B20)=0,"案件ID未登记",IF(OR(C20="",D20="",F20="",G20="",H20="",I20="",J20="",K20="",M20="",N20="",Q20="",R20="",T20=""),"补对象、必要性、结果、依据或标注人",IF(AND(H20="条件必要",L20=""),"条件必要须写条件",IF(AND(R20="条件通过待执行核验",OR(M20="未知",M20="未满足",O20="",O20="未提供")),"条件或权限证据不足，退回核验","格式已填；仍须人工复核"))))))</x:f>
      </x:c>
    </x:row>
    <x:row r="21" ht="44" customHeight="1">
      <x:c r="A21" s="9"/>
      <x:c r="B21" s="9"/>
      <x:c r="C21" s="9"/>
      <x:c r="D21" s="9"/>
      <x:c r="E21" s="9"/>
      <x:c r="F21" s="9"/>
      <x:c r="G21" s="9"/>
      <x:c r="H21" s="9"/>
      <x:c r="I21" s="9"/>
      <x:c r="J21" s="9"/>
      <x:c r="K21" s="9"/>
      <x:c r="L21" s="9"/>
      <x:c r="M21" s="9"/>
      <x:c r="N21" s="9"/>
      <x:c r="O21" s="9"/>
      <x:c r="P21" s="9"/>
      <x:c r="Q21" s="9"/>
      <x:c r="R21" s="9"/>
      <x:c r="S21" s="9"/>
      <x:c r="T21" s="9"/>
      <x:c r="U21" s="9"/>
      <x:c r="V21" s="9"/>
      <x:c r="W21" s="12" t="str">
        <x:f>IF(A21="","",IF(COUNTIF($A$6:$A$505,A21)&gt;1,"记录ID重复",IF(COUNTIF('案件索引'!$A$6:$A$105,B21)=0,"案件ID未登记",IF(OR(C21="",D21="",F21="",G21="",H21="",I21="",J21="",K21="",M21="",N21="",Q21="",R21="",T21=""),"补对象、必要性、结果、依据或标注人",IF(AND(H21="条件必要",L21=""),"条件必要须写条件",IF(AND(R21="条件通过待执行核验",OR(M21="未知",M21="未满足",O21="",O21="未提供")),"条件或权限证据不足，退回核验","格式已填；仍须人工复核"))))))</x:f>
      </x:c>
    </x:row>
    <x:row r="22" ht="44" customHeight="1">
      <x:c r="A22" s="9"/>
      <x:c r="B22" s="9"/>
      <x:c r="C22" s="9"/>
      <x:c r="D22" s="9"/>
      <x:c r="E22" s="9"/>
      <x:c r="F22" s="9"/>
      <x:c r="G22" s="9"/>
      <x:c r="H22" s="9"/>
      <x:c r="I22" s="9"/>
      <x:c r="J22" s="9"/>
      <x:c r="K22" s="9"/>
      <x:c r="L22" s="9"/>
      <x:c r="M22" s="9"/>
      <x:c r="N22" s="9"/>
      <x:c r="O22" s="9"/>
      <x:c r="P22" s="9"/>
      <x:c r="Q22" s="9"/>
      <x:c r="R22" s="9"/>
      <x:c r="S22" s="9"/>
      <x:c r="T22" s="9"/>
      <x:c r="U22" s="9"/>
      <x:c r="V22" s="9"/>
      <x:c r="W22" s="12" t="str">
        <x:f>IF(A22="","",IF(COUNTIF($A$6:$A$505,A22)&gt;1,"记录ID重复",IF(COUNTIF('案件索引'!$A$6:$A$105,B22)=0,"案件ID未登记",IF(OR(C22="",D22="",F22="",G22="",H22="",I22="",J22="",K22="",M22="",N22="",Q22="",R22="",T22=""),"补对象、必要性、结果、依据或标注人",IF(AND(H22="条件必要",L22=""),"条件必要须写条件",IF(AND(R22="条件通过待执行核验",OR(M22="未知",M22="未满足",O22="",O22="未提供")),"条件或权限证据不足，退回核验","格式已填；仍须人工复核"))))))</x:f>
      </x:c>
    </x:row>
    <x:row r="23" ht="44" customHeight="1">
      <x:c r="A23" s="9"/>
      <x:c r="B23" s="9"/>
      <x:c r="C23" s="9"/>
      <x:c r="D23" s="9"/>
      <x:c r="E23" s="9"/>
      <x:c r="F23" s="9"/>
      <x:c r="G23" s="9"/>
      <x:c r="H23" s="9"/>
      <x:c r="I23" s="9"/>
      <x:c r="J23" s="9"/>
      <x:c r="K23" s="9"/>
      <x:c r="L23" s="9"/>
      <x:c r="M23" s="9"/>
      <x:c r="N23" s="9"/>
      <x:c r="O23" s="9"/>
      <x:c r="P23" s="9"/>
      <x:c r="Q23" s="9"/>
      <x:c r="R23" s="9"/>
      <x:c r="S23" s="9"/>
      <x:c r="T23" s="9"/>
      <x:c r="U23" s="9"/>
      <x:c r="V23" s="9"/>
      <x:c r="W23" s="12" t="str">
        <x:f>IF(A23="","",IF(COUNTIF($A$6:$A$505,A23)&gt;1,"记录ID重复",IF(COUNTIF('案件索引'!$A$6:$A$105,B23)=0,"案件ID未登记",IF(OR(C23="",D23="",F23="",G23="",H23="",I23="",J23="",K23="",M23="",N23="",Q23="",R23="",T23=""),"补对象、必要性、结果、依据或标注人",IF(AND(H23="条件必要",L23=""),"条件必要须写条件",IF(AND(R23="条件通过待执行核验",OR(M23="未知",M23="未满足",O23="",O23="未提供")),"条件或权限证据不足，退回核验","格式已填；仍须人工复核"))))))</x:f>
      </x:c>
    </x:row>
    <x:row r="24" ht="44" customHeight="1">
      <x:c r="A24" s="9"/>
      <x:c r="B24" s="9"/>
      <x:c r="C24" s="9"/>
      <x:c r="D24" s="9"/>
      <x:c r="E24" s="9"/>
      <x:c r="F24" s="9"/>
      <x:c r="G24" s="9"/>
      <x:c r="H24" s="9"/>
      <x:c r="I24" s="9"/>
      <x:c r="J24" s="9"/>
      <x:c r="K24" s="9"/>
      <x:c r="L24" s="9"/>
      <x:c r="M24" s="9"/>
      <x:c r="N24" s="9"/>
      <x:c r="O24" s="9"/>
      <x:c r="P24" s="9"/>
      <x:c r="Q24" s="9"/>
      <x:c r="R24" s="9"/>
      <x:c r="S24" s="9"/>
      <x:c r="T24" s="9"/>
      <x:c r="U24" s="9"/>
      <x:c r="V24" s="9"/>
      <x:c r="W24" s="12" t="str">
        <x:f>IF(A24="","",IF(COUNTIF($A$6:$A$505,A24)&gt;1,"记录ID重复",IF(COUNTIF('案件索引'!$A$6:$A$105,B24)=0,"案件ID未登记",IF(OR(C24="",D24="",F24="",G24="",H24="",I24="",J24="",K24="",M24="",N24="",Q24="",R24="",T24=""),"补对象、必要性、结果、依据或标注人",IF(AND(H24="条件必要",L24=""),"条件必要须写条件",IF(AND(R24="条件通过待执行核验",OR(M24="未知",M24="未满足",O24="",O24="未提供")),"条件或权限证据不足，退回核验","格式已填；仍须人工复核"))))))</x:f>
      </x:c>
    </x:row>
    <x:row r="25" ht="44" customHeight="1">
      <x:c r="A25" s="9"/>
      <x:c r="B25" s="9"/>
      <x:c r="C25" s="9"/>
      <x:c r="D25" s="9"/>
      <x:c r="E25" s="9"/>
      <x:c r="F25" s="9"/>
      <x:c r="G25" s="9"/>
      <x:c r="H25" s="9"/>
      <x:c r="I25" s="9"/>
      <x:c r="J25" s="9"/>
      <x:c r="K25" s="9"/>
      <x:c r="L25" s="9"/>
      <x:c r="M25" s="9"/>
      <x:c r="N25" s="9"/>
      <x:c r="O25" s="9"/>
      <x:c r="P25" s="9"/>
      <x:c r="Q25" s="9"/>
      <x:c r="R25" s="9"/>
      <x:c r="S25" s="9"/>
      <x:c r="T25" s="9"/>
      <x:c r="U25" s="9"/>
      <x:c r="V25" s="9"/>
      <x:c r="W25" s="12" t="str">
        <x:f>IF(A25="","",IF(COUNTIF($A$6:$A$505,A25)&gt;1,"记录ID重复",IF(COUNTIF('案件索引'!$A$6:$A$105,B25)=0,"案件ID未登记",IF(OR(C25="",D25="",F25="",G25="",H25="",I25="",J25="",K25="",M25="",N25="",Q25="",R25="",T25=""),"补对象、必要性、结果、依据或标注人",IF(AND(H25="条件必要",L25=""),"条件必要须写条件",IF(AND(R25="条件通过待执行核验",OR(M25="未知",M25="未满足",O25="",O25="未提供")),"条件或权限证据不足，退回核验","格式已填；仍须人工复核"))))))</x:f>
      </x:c>
    </x:row>
    <x:row r="26" ht="44" customHeight="1">
      <x:c r="A26" s="9"/>
      <x:c r="B26" s="9"/>
      <x:c r="C26" s="9"/>
      <x:c r="D26" s="9"/>
      <x:c r="E26" s="9"/>
      <x:c r="F26" s="9"/>
      <x:c r="G26" s="9"/>
      <x:c r="H26" s="9"/>
      <x:c r="I26" s="9"/>
      <x:c r="J26" s="9"/>
      <x:c r="K26" s="9"/>
      <x:c r="L26" s="9"/>
      <x:c r="M26" s="9"/>
      <x:c r="N26" s="9"/>
      <x:c r="O26" s="9"/>
      <x:c r="P26" s="9"/>
      <x:c r="Q26" s="9"/>
      <x:c r="R26" s="9"/>
      <x:c r="S26" s="9"/>
      <x:c r="T26" s="9"/>
      <x:c r="U26" s="9"/>
      <x:c r="V26" s="9"/>
      <x:c r="W26" s="12" t="str">
        <x:f>IF(A26="","",IF(COUNTIF($A$6:$A$505,A26)&gt;1,"记录ID重复",IF(COUNTIF('案件索引'!$A$6:$A$105,B26)=0,"案件ID未登记",IF(OR(C26="",D26="",F26="",G26="",H26="",I26="",J26="",K26="",M26="",N26="",Q26="",R26="",T26=""),"补对象、必要性、结果、依据或标注人",IF(AND(H26="条件必要",L26=""),"条件必要须写条件",IF(AND(R26="条件通过待执行核验",OR(M26="未知",M26="未满足",O26="",O26="未提供")),"条件或权限证据不足，退回核验","格式已填；仍须人工复核"))))))</x:f>
      </x:c>
    </x:row>
    <x:row r="27" ht="44" customHeight="1">
      <x:c r="A27" s="9"/>
      <x:c r="B27" s="9"/>
      <x:c r="C27" s="9"/>
      <x:c r="D27" s="9"/>
      <x:c r="E27" s="9"/>
      <x:c r="F27" s="9"/>
      <x:c r="G27" s="9"/>
      <x:c r="H27" s="9"/>
      <x:c r="I27" s="9"/>
      <x:c r="J27" s="9"/>
      <x:c r="K27" s="9"/>
      <x:c r="L27" s="9"/>
      <x:c r="M27" s="9"/>
      <x:c r="N27" s="9"/>
      <x:c r="O27" s="9"/>
      <x:c r="P27" s="9"/>
      <x:c r="Q27" s="9"/>
      <x:c r="R27" s="9"/>
      <x:c r="S27" s="9"/>
      <x:c r="T27" s="9"/>
      <x:c r="U27" s="9"/>
      <x:c r="V27" s="9"/>
      <x:c r="W27" s="12" t="str">
        <x:f>IF(A27="","",IF(COUNTIF($A$6:$A$505,A27)&gt;1,"记录ID重复",IF(COUNTIF('案件索引'!$A$6:$A$105,B27)=0,"案件ID未登记",IF(OR(C27="",D27="",F27="",G27="",H27="",I27="",J27="",K27="",M27="",N27="",Q27="",R27="",T27=""),"补对象、必要性、结果、依据或标注人",IF(AND(H27="条件必要",L27=""),"条件必要须写条件",IF(AND(R27="条件通过待执行核验",OR(M27="未知",M27="未满足",O27="",O27="未提供")),"条件或权限证据不足，退回核验","格式已填；仍须人工复核"))))))</x:f>
      </x:c>
    </x:row>
    <x:row r="28" ht="44" customHeight="1">
      <x:c r="A28" s="9"/>
      <x:c r="B28" s="9"/>
      <x:c r="C28" s="9"/>
      <x:c r="D28" s="9"/>
      <x:c r="E28" s="9"/>
      <x:c r="F28" s="9"/>
      <x:c r="G28" s="9"/>
      <x:c r="H28" s="9"/>
      <x:c r="I28" s="9"/>
      <x:c r="J28" s="9"/>
      <x:c r="K28" s="9"/>
      <x:c r="L28" s="9"/>
      <x:c r="M28" s="9"/>
      <x:c r="N28" s="9"/>
      <x:c r="O28" s="9"/>
      <x:c r="P28" s="9"/>
      <x:c r="Q28" s="9"/>
      <x:c r="R28" s="9"/>
      <x:c r="S28" s="9"/>
      <x:c r="T28" s="9"/>
      <x:c r="U28" s="9"/>
      <x:c r="V28" s="9"/>
      <x:c r="W28" s="12" t="str">
        <x:f>IF(A28="","",IF(COUNTIF($A$6:$A$505,A28)&gt;1,"记录ID重复",IF(COUNTIF('案件索引'!$A$6:$A$105,B28)=0,"案件ID未登记",IF(OR(C28="",D28="",F28="",G28="",H28="",I28="",J28="",K28="",M28="",N28="",Q28="",R28="",T28=""),"补对象、必要性、结果、依据或标注人",IF(AND(H28="条件必要",L28=""),"条件必要须写条件",IF(AND(R28="条件通过待执行核验",OR(M28="未知",M28="未满足",O28="",O28="未提供")),"条件或权限证据不足，退回核验","格式已填；仍须人工复核"))))))</x:f>
      </x:c>
    </x:row>
    <x:row r="29" ht="44" customHeight="1">
      <x:c r="A29" s="9"/>
      <x:c r="B29" s="9"/>
      <x:c r="C29" s="9"/>
      <x:c r="D29" s="9"/>
      <x:c r="E29" s="9"/>
      <x:c r="F29" s="9"/>
      <x:c r="G29" s="9"/>
      <x:c r="H29" s="9"/>
      <x:c r="I29" s="9"/>
      <x:c r="J29" s="9"/>
      <x:c r="K29" s="9"/>
      <x:c r="L29" s="9"/>
      <x:c r="M29" s="9"/>
      <x:c r="N29" s="9"/>
      <x:c r="O29" s="9"/>
      <x:c r="P29" s="9"/>
      <x:c r="Q29" s="9"/>
      <x:c r="R29" s="9"/>
      <x:c r="S29" s="9"/>
      <x:c r="T29" s="9"/>
      <x:c r="U29" s="9"/>
      <x:c r="V29" s="9"/>
      <x:c r="W29" s="12" t="str">
        <x:f>IF(A29="","",IF(COUNTIF($A$6:$A$505,A29)&gt;1,"记录ID重复",IF(COUNTIF('案件索引'!$A$6:$A$105,B29)=0,"案件ID未登记",IF(OR(C29="",D29="",F29="",G29="",H29="",I29="",J29="",K29="",M29="",N29="",Q29="",R29="",T29=""),"补对象、必要性、结果、依据或标注人",IF(AND(H29="条件必要",L29=""),"条件必要须写条件",IF(AND(R29="条件通过待执行核验",OR(M29="未知",M29="未满足",O29="",O29="未提供")),"条件或权限证据不足，退回核验","格式已填；仍须人工复核"))))))</x:f>
      </x:c>
    </x:row>
    <x:row r="30" ht="44" customHeight="1">
      <x:c r="A30" s="9"/>
      <x:c r="B30" s="9"/>
      <x:c r="C30" s="9"/>
      <x:c r="D30" s="9"/>
      <x:c r="E30" s="9"/>
      <x:c r="F30" s="9"/>
      <x:c r="G30" s="9"/>
      <x:c r="H30" s="9"/>
      <x:c r="I30" s="9"/>
      <x:c r="J30" s="9"/>
      <x:c r="K30" s="9"/>
      <x:c r="L30" s="9"/>
      <x:c r="M30" s="9"/>
      <x:c r="N30" s="9"/>
      <x:c r="O30" s="9"/>
      <x:c r="P30" s="9"/>
      <x:c r="Q30" s="9"/>
      <x:c r="R30" s="9"/>
      <x:c r="S30" s="9"/>
      <x:c r="T30" s="9"/>
      <x:c r="U30" s="9"/>
      <x:c r="V30" s="9"/>
      <x:c r="W30" s="12" t="str">
        <x:f>IF(A30="","",IF(COUNTIF($A$6:$A$505,A30)&gt;1,"记录ID重复",IF(COUNTIF('案件索引'!$A$6:$A$105,B30)=0,"案件ID未登记",IF(OR(C30="",D30="",F30="",G30="",H30="",I30="",J30="",K30="",M30="",N30="",Q30="",R30="",T30=""),"补对象、必要性、结果、依据或标注人",IF(AND(H30="条件必要",L30=""),"条件必要须写条件",IF(AND(R30="条件通过待执行核验",OR(M30="未知",M30="未满足",O30="",O30="未提供")),"条件或权限证据不足，退回核验","格式已填；仍须人工复核"))))))</x:f>
      </x:c>
    </x:row>
    <x:row r="31" ht="44" customHeight="1">
      <x:c r="A31" s="9"/>
      <x:c r="B31" s="9"/>
      <x:c r="C31" s="9"/>
      <x:c r="D31" s="9"/>
      <x:c r="E31" s="9"/>
      <x:c r="F31" s="9"/>
      <x:c r="G31" s="9"/>
      <x:c r="H31" s="9"/>
      <x:c r="I31" s="9"/>
      <x:c r="J31" s="9"/>
      <x:c r="K31" s="9"/>
      <x:c r="L31" s="9"/>
      <x:c r="M31" s="9"/>
      <x:c r="N31" s="9"/>
      <x:c r="O31" s="9"/>
      <x:c r="P31" s="9"/>
      <x:c r="Q31" s="9"/>
      <x:c r="R31" s="9"/>
      <x:c r="S31" s="9"/>
      <x:c r="T31" s="9"/>
      <x:c r="U31" s="9"/>
      <x:c r="V31" s="9"/>
      <x:c r="W31" s="12" t="str">
        <x:f>IF(A31="","",IF(COUNTIF($A$6:$A$505,A31)&gt;1,"记录ID重复",IF(COUNTIF('案件索引'!$A$6:$A$105,B31)=0,"案件ID未登记",IF(OR(C31="",D31="",F31="",G31="",H31="",I31="",J31="",K31="",M31="",N31="",Q31="",R31="",T31=""),"补对象、必要性、结果、依据或标注人",IF(AND(H31="条件必要",L31=""),"条件必要须写条件",IF(AND(R31="条件通过待执行核验",OR(M31="未知",M31="未满足",O31="",O31="未提供")),"条件或权限证据不足，退回核验","格式已填；仍须人工复核"))))))</x:f>
      </x:c>
    </x:row>
    <x:row r="32" ht="44" customHeight="1">
      <x:c r="A32" s="9"/>
      <x:c r="B32" s="9"/>
      <x:c r="C32" s="9"/>
      <x:c r="D32" s="9"/>
      <x:c r="E32" s="9"/>
      <x:c r="F32" s="9"/>
      <x:c r="G32" s="9"/>
      <x:c r="H32" s="9"/>
      <x:c r="I32" s="9"/>
      <x:c r="J32" s="9"/>
      <x:c r="K32" s="9"/>
      <x:c r="L32" s="9"/>
      <x:c r="M32" s="9"/>
      <x:c r="N32" s="9"/>
      <x:c r="O32" s="9"/>
      <x:c r="P32" s="9"/>
      <x:c r="Q32" s="9"/>
      <x:c r="R32" s="9"/>
      <x:c r="S32" s="9"/>
      <x:c r="T32" s="9"/>
      <x:c r="U32" s="9"/>
      <x:c r="V32" s="9"/>
      <x:c r="W32" s="12" t="str">
        <x:f>IF(A32="","",IF(COUNTIF($A$6:$A$505,A32)&gt;1,"记录ID重复",IF(COUNTIF('案件索引'!$A$6:$A$105,B32)=0,"案件ID未登记",IF(OR(C32="",D32="",F32="",G32="",H32="",I32="",J32="",K32="",M32="",N32="",Q32="",R32="",T32=""),"补对象、必要性、结果、依据或标注人",IF(AND(H32="条件必要",L32=""),"条件必要须写条件",IF(AND(R32="条件通过待执行核验",OR(M32="未知",M32="未满足",O32="",O32="未提供")),"条件或权限证据不足，退回核验","格式已填；仍须人工复核"))))))</x:f>
      </x:c>
    </x:row>
    <x:row r="33" ht="44" customHeight="1">
      <x:c r="A33" s="9"/>
      <x:c r="B33" s="9"/>
      <x:c r="C33" s="9"/>
      <x:c r="D33" s="9"/>
      <x:c r="E33" s="9"/>
      <x:c r="F33" s="9"/>
      <x:c r="G33" s="9"/>
      <x:c r="H33" s="9"/>
      <x:c r="I33" s="9"/>
      <x:c r="J33" s="9"/>
      <x:c r="K33" s="9"/>
      <x:c r="L33" s="9"/>
      <x:c r="M33" s="9"/>
      <x:c r="N33" s="9"/>
      <x:c r="O33" s="9"/>
      <x:c r="P33" s="9"/>
      <x:c r="Q33" s="9"/>
      <x:c r="R33" s="9"/>
      <x:c r="S33" s="9"/>
      <x:c r="T33" s="9"/>
      <x:c r="U33" s="9"/>
      <x:c r="V33" s="9"/>
      <x:c r="W33" s="12" t="str">
        <x:f>IF(A33="","",IF(COUNTIF($A$6:$A$505,A33)&gt;1,"记录ID重复",IF(COUNTIF('案件索引'!$A$6:$A$105,B33)=0,"案件ID未登记",IF(OR(C33="",D33="",F33="",G33="",H33="",I33="",J33="",K33="",M33="",N33="",Q33="",R33="",T33=""),"补对象、必要性、结果、依据或标注人",IF(AND(H33="条件必要",L33=""),"条件必要须写条件",IF(AND(R33="条件通过待执行核验",OR(M33="未知",M33="未满足",O33="",O33="未提供")),"条件或权限证据不足，退回核验","格式已填；仍须人工复核"))))))</x:f>
      </x:c>
    </x:row>
    <x:row r="34" ht="44" customHeight="1">
      <x:c r="A34" s="9"/>
      <x:c r="B34" s="9"/>
      <x:c r="C34" s="9"/>
      <x:c r="D34" s="9"/>
      <x:c r="E34" s="9"/>
      <x:c r="F34" s="9"/>
      <x:c r="G34" s="9"/>
      <x:c r="H34" s="9"/>
      <x:c r="I34" s="9"/>
      <x:c r="J34" s="9"/>
      <x:c r="K34" s="9"/>
      <x:c r="L34" s="9"/>
      <x:c r="M34" s="9"/>
      <x:c r="N34" s="9"/>
      <x:c r="O34" s="9"/>
      <x:c r="P34" s="9"/>
      <x:c r="Q34" s="9"/>
      <x:c r="R34" s="9"/>
      <x:c r="S34" s="9"/>
      <x:c r="T34" s="9"/>
      <x:c r="U34" s="9"/>
      <x:c r="V34" s="9"/>
      <x:c r="W34" s="12" t="str">
        <x:f>IF(A34="","",IF(COUNTIF($A$6:$A$505,A34)&gt;1,"记录ID重复",IF(COUNTIF('案件索引'!$A$6:$A$105,B34)=0,"案件ID未登记",IF(OR(C34="",D34="",F34="",G34="",H34="",I34="",J34="",K34="",M34="",N34="",Q34="",R34="",T34=""),"补对象、必要性、结果、依据或标注人",IF(AND(H34="条件必要",L34=""),"条件必要须写条件",IF(AND(R34="条件通过待执行核验",OR(M34="未知",M34="未满足",O34="",O34="未提供")),"条件或权限证据不足，退回核验","格式已填；仍须人工复核"))))))</x:f>
      </x:c>
    </x:row>
    <x:row r="35" ht="44" customHeight="1">
      <x:c r="A35" s="9"/>
      <x:c r="B35" s="9"/>
      <x:c r="C35" s="9"/>
      <x:c r="D35" s="9"/>
      <x:c r="E35" s="9"/>
      <x:c r="F35" s="9"/>
      <x:c r="G35" s="9"/>
      <x:c r="H35" s="9"/>
      <x:c r="I35" s="9"/>
      <x:c r="J35" s="9"/>
      <x:c r="K35" s="9"/>
      <x:c r="L35" s="9"/>
      <x:c r="M35" s="9"/>
      <x:c r="N35" s="9"/>
      <x:c r="O35" s="9"/>
      <x:c r="P35" s="9"/>
      <x:c r="Q35" s="9"/>
      <x:c r="R35" s="9"/>
      <x:c r="S35" s="9"/>
      <x:c r="T35" s="9"/>
      <x:c r="U35" s="9"/>
      <x:c r="V35" s="9"/>
      <x:c r="W35" s="12" t="str">
        <x:f>IF(A35="","",IF(COUNTIF($A$6:$A$505,A35)&gt;1,"记录ID重复",IF(COUNTIF('案件索引'!$A$6:$A$105,B35)=0,"案件ID未登记",IF(OR(C35="",D35="",F35="",G35="",H35="",I35="",J35="",K35="",M35="",N35="",Q35="",R35="",T35=""),"补对象、必要性、结果、依据或标注人",IF(AND(H35="条件必要",L35=""),"条件必要须写条件",IF(AND(R35="条件通过待执行核验",OR(M35="未知",M35="未满足",O35="",O35="未提供")),"条件或权限证据不足，退回核验","格式已填；仍须人工复核"))))))</x:f>
      </x:c>
    </x:row>
    <x:row r="36" ht="44" customHeight="1">
      <x:c r="A36" s="9"/>
      <x:c r="B36" s="9"/>
      <x:c r="C36" s="9"/>
      <x:c r="D36" s="9"/>
      <x:c r="E36" s="9"/>
      <x:c r="F36" s="9"/>
      <x:c r="G36" s="9"/>
      <x:c r="H36" s="9"/>
      <x:c r="I36" s="9"/>
      <x:c r="J36" s="9"/>
      <x:c r="K36" s="9"/>
      <x:c r="L36" s="9"/>
      <x:c r="M36" s="9"/>
      <x:c r="N36" s="9"/>
      <x:c r="O36" s="9"/>
      <x:c r="P36" s="9"/>
      <x:c r="Q36" s="9"/>
      <x:c r="R36" s="9"/>
      <x:c r="S36" s="9"/>
      <x:c r="T36" s="9"/>
      <x:c r="U36" s="9"/>
      <x:c r="V36" s="9"/>
      <x:c r="W36" s="12" t="str">
        <x:f>IF(A36="","",IF(COUNTIF($A$6:$A$505,A36)&gt;1,"记录ID重复",IF(COUNTIF('案件索引'!$A$6:$A$105,B36)=0,"案件ID未登记",IF(OR(C36="",D36="",F36="",G36="",H36="",I36="",J36="",K36="",M36="",N36="",Q36="",R36="",T36=""),"补对象、必要性、结果、依据或标注人",IF(AND(H36="条件必要",L36=""),"条件必要须写条件",IF(AND(R36="条件通过待执行核验",OR(M36="未知",M36="未满足",O36="",O36="未提供")),"条件或权限证据不足，退回核验","格式已填；仍须人工复核"))))))</x:f>
      </x:c>
    </x:row>
    <x:row r="37" ht="44" customHeight="1">
      <x:c r="A37" s="9"/>
      <x:c r="B37" s="9"/>
      <x:c r="C37" s="9"/>
      <x:c r="D37" s="9"/>
      <x:c r="E37" s="9"/>
      <x:c r="F37" s="9"/>
      <x:c r="G37" s="9"/>
      <x:c r="H37" s="9"/>
      <x:c r="I37" s="9"/>
      <x:c r="J37" s="9"/>
      <x:c r="K37" s="9"/>
      <x:c r="L37" s="9"/>
      <x:c r="M37" s="9"/>
      <x:c r="N37" s="9"/>
      <x:c r="O37" s="9"/>
      <x:c r="P37" s="9"/>
      <x:c r="Q37" s="9"/>
      <x:c r="R37" s="9"/>
      <x:c r="S37" s="9"/>
      <x:c r="T37" s="9"/>
      <x:c r="U37" s="9"/>
      <x:c r="V37" s="9"/>
      <x:c r="W37" s="12" t="str">
        <x:f>IF(A37="","",IF(COUNTIF($A$6:$A$505,A37)&gt;1,"记录ID重复",IF(COUNTIF('案件索引'!$A$6:$A$105,B37)=0,"案件ID未登记",IF(OR(C37="",D37="",F37="",G37="",H37="",I37="",J37="",K37="",M37="",N37="",Q37="",R37="",T37=""),"补对象、必要性、结果、依据或标注人",IF(AND(H37="条件必要",L37=""),"条件必要须写条件",IF(AND(R37="条件通过待执行核验",OR(M37="未知",M37="未满足",O37="",O37="未提供")),"条件或权限证据不足，退回核验","格式已填；仍须人工复核"))))))</x:f>
      </x:c>
    </x:row>
    <x:row r="38" ht="44" customHeight="1">
      <x:c r="A38" s="9"/>
      <x:c r="B38" s="9"/>
      <x:c r="C38" s="9"/>
      <x:c r="D38" s="9"/>
      <x:c r="E38" s="9"/>
      <x:c r="F38" s="9"/>
      <x:c r="G38" s="9"/>
      <x:c r="H38" s="9"/>
      <x:c r="I38" s="9"/>
      <x:c r="J38" s="9"/>
      <x:c r="K38" s="9"/>
      <x:c r="L38" s="9"/>
      <x:c r="M38" s="9"/>
      <x:c r="N38" s="9"/>
      <x:c r="O38" s="9"/>
      <x:c r="P38" s="9"/>
      <x:c r="Q38" s="9"/>
      <x:c r="R38" s="9"/>
      <x:c r="S38" s="9"/>
      <x:c r="T38" s="9"/>
      <x:c r="U38" s="9"/>
      <x:c r="V38" s="9"/>
      <x:c r="W38" s="12" t="str">
        <x:f>IF(A38="","",IF(COUNTIF($A$6:$A$505,A38)&gt;1,"记录ID重复",IF(COUNTIF('案件索引'!$A$6:$A$105,B38)=0,"案件ID未登记",IF(OR(C38="",D38="",F38="",G38="",H38="",I38="",J38="",K38="",M38="",N38="",Q38="",R38="",T38=""),"补对象、必要性、结果、依据或标注人",IF(AND(H38="条件必要",L38=""),"条件必要须写条件",IF(AND(R38="条件通过待执行核验",OR(M38="未知",M38="未满足",O38="",O38="未提供")),"条件或权限证据不足，退回核验","格式已填；仍须人工复核"))))))</x:f>
      </x:c>
    </x:row>
    <x:row r="39" ht="44" customHeight="1">
      <x:c r="A39" s="9"/>
      <x:c r="B39" s="9"/>
      <x:c r="C39" s="9"/>
      <x:c r="D39" s="9"/>
      <x:c r="E39" s="9"/>
      <x:c r="F39" s="9"/>
      <x:c r="G39" s="9"/>
      <x:c r="H39" s="9"/>
      <x:c r="I39" s="9"/>
      <x:c r="J39" s="9"/>
      <x:c r="K39" s="9"/>
      <x:c r="L39" s="9"/>
      <x:c r="M39" s="9"/>
      <x:c r="N39" s="9"/>
      <x:c r="O39" s="9"/>
      <x:c r="P39" s="9"/>
      <x:c r="Q39" s="9"/>
      <x:c r="R39" s="9"/>
      <x:c r="S39" s="9"/>
      <x:c r="T39" s="9"/>
      <x:c r="U39" s="9"/>
      <x:c r="V39" s="9"/>
      <x:c r="W39" s="12" t="str">
        <x:f>IF(A39="","",IF(COUNTIF($A$6:$A$505,A39)&gt;1,"记录ID重复",IF(COUNTIF('案件索引'!$A$6:$A$105,B39)=0,"案件ID未登记",IF(OR(C39="",D39="",F39="",G39="",H39="",I39="",J39="",K39="",M39="",N39="",Q39="",R39="",T39=""),"补对象、必要性、结果、依据或标注人",IF(AND(H39="条件必要",L39=""),"条件必要须写条件",IF(AND(R39="条件通过待执行核验",OR(M39="未知",M39="未满足",O39="",O39="未提供")),"条件或权限证据不足，退回核验","格式已填；仍须人工复核"))))))</x:f>
      </x:c>
    </x:row>
    <x:row r="40" ht="44" customHeight="1">
      <x:c r="A40" s="9"/>
      <x:c r="B40" s="9"/>
      <x:c r="C40" s="9"/>
      <x:c r="D40" s="9"/>
      <x:c r="E40" s="9"/>
      <x:c r="F40" s="9"/>
      <x:c r="G40" s="9"/>
      <x:c r="H40" s="9"/>
      <x:c r="I40" s="9"/>
      <x:c r="J40" s="9"/>
      <x:c r="K40" s="9"/>
      <x:c r="L40" s="9"/>
      <x:c r="M40" s="9"/>
      <x:c r="N40" s="9"/>
      <x:c r="O40" s="9"/>
      <x:c r="P40" s="9"/>
      <x:c r="Q40" s="9"/>
      <x:c r="R40" s="9"/>
      <x:c r="S40" s="9"/>
      <x:c r="T40" s="9"/>
      <x:c r="U40" s="9"/>
      <x:c r="V40" s="9"/>
      <x:c r="W40" s="12" t="str">
        <x:f>IF(A40="","",IF(COUNTIF($A$6:$A$505,A40)&gt;1,"记录ID重复",IF(COUNTIF('案件索引'!$A$6:$A$105,B40)=0,"案件ID未登记",IF(OR(C40="",D40="",F40="",G40="",H40="",I40="",J40="",K40="",M40="",N40="",Q40="",R40="",T40=""),"补对象、必要性、结果、依据或标注人",IF(AND(H40="条件必要",L40=""),"条件必要须写条件",IF(AND(R40="条件通过待执行核验",OR(M40="未知",M40="未满足",O40="",O40="未提供")),"条件或权限证据不足，退回核验","格式已填；仍须人工复核"))))))</x:f>
      </x:c>
    </x:row>
    <x:row r="41" ht="44" customHeight="1">
      <x:c r="A41" s="9"/>
      <x:c r="B41" s="9"/>
      <x:c r="C41" s="9"/>
      <x:c r="D41" s="9"/>
      <x:c r="E41" s="9"/>
      <x:c r="F41" s="9"/>
      <x:c r="G41" s="9"/>
      <x:c r="H41" s="9"/>
      <x:c r="I41" s="9"/>
      <x:c r="J41" s="9"/>
      <x:c r="K41" s="9"/>
      <x:c r="L41" s="9"/>
      <x:c r="M41" s="9"/>
      <x:c r="N41" s="9"/>
      <x:c r="O41" s="9"/>
      <x:c r="P41" s="9"/>
      <x:c r="Q41" s="9"/>
      <x:c r="R41" s="9"/>
      <x:c r="S41" s="9"/>
      <x:c r="T41" s="9"/>
      <x:c r="U41" s="9"/>
      <x:c r="V41" s="9"/>
      <x:c r="W41" s="12" t="str">
        <x:f>IF(A41="","",IF(COUNTIF($A$6:$A$505,A41)&gt;1,"记录ID重复",IF(COUNTIF('案件索引'!$A$6:$A$105,B41)=0,"案件ID未登记",IF(OR(C41="",D41="",F41="",G41="",H41="",I41="",J41="",K41="",M41="",N41="",Q41="",R41="",T41=""),"补对象、必要性、结果、依据或标注人",IF(AND(H41="条件必要",L41=""),"条件必要须写条件",IF(AND(R41="条件通过待执行核验",OR(M41="未知",M41="未满足",O41="",O41="未提供")),"条件或权限证据不足，退回核验","格式已填；仍须人工复核"))))))</x:f>
      </x:c>
    </x:row>
    <x:row r="42" ht="44" customHeight="1">
      <x:c r="A42" s="9"/>
      <x:c r="B42" s="9"/>
      <x:c r="C42" s="9"/>
      <x:c r="D42" s="9"/>
      <x:c r="E42" s="9"/>
      <x:c r="F42" s="9"/>
      <x:c r="G42" s="9"/>
      <x:c r="H42" s="9"/>
      <x:c r="I42" s="9"/>
      <x:c r="J42" s="9"/>
      <x:c r="K42" s="9"/>
      <x:c r="L42" s="9"/>
      <x:c r="M42" s="9"/>
      <x:c r="N42" s="9"/>
      <x:c r="O42" s="9"/>
      <x:c r="P42" s="9"/>
      <x:c r="Q42" s="9"/>
      <x:c r="R42" s="9"/>
      <x:c r="S42" s="9"/>
      <x:c r="T42" s="9"/>
      <x:c r="U42" s="9"/>
      <x:c r="V42" s="9"/>
      <x:c r="W42" s="12" t="str">
        <x:f>IF(A42="","",IF(COUNTIF($A$6:$A$505,A42)&gt;1,"记录ID重复",IF(COUNTIF('案件索引'!$A$6:$A$105,B42)=0,"案件ID未登记",IF(OR(C42="",D42="",F42="",G42="",H42="",I42="",J42="",K42="",M42="",N42="",Q42="",R42="",T42=""),"补对象、必要性、结果、依据或标注人",IF(AND(H42="条件必要",L42=""),"条件必要须写条件",IF(AND(R42="条件通过待执行核验",OR(M42="未知",M42="未满足",O42="",O42="未提供")),"条件或权限证据不足，退回核验","格式已填；仍须人工复核"))))))</x:f>
      </x:c>
    </x:row>
    <x:row r="43" ht="44" customHeight="1">
      <x:c r="A43" s="9"/>
      <x:c r="B43" s="9"/>
      <x:c r="C43" s="9"/>
      <x:c r="D43" s="9"/>
      <x:c r="E43" s="9"/>
      <x:c r="F43" s="9"/>
      <x:c r="G43" s="9"/>
      <x:c r="H43" s="9"/>
      <x:c r="I43" s="9"/>
      <x:c r="J43" s="9"/>
      <x:c r="K43" s="9"/>
      <x:c r="L43" s="9"/>
      <x:c r="M43" s="9"/>
      <x:c r="N43" s="9"/>
      <x:c r="O43" s="9"/>
      <x:c r="P43" s="9"/>
      <x:c r="Q43" s="9"/>
      <x:c r="R43" s="9"/>
      <x:c r="S43" s="9"/>
      <x:c r="T43" s="9"/>
      <x:c r="U43" s="9"/>
      <x:c r="V43" s="9"/>
      <x:c r="W43" s="12" t="str">
        <x:f>IF(A43="","",IF(COUNTIF($A$6:$A$505,A43)&gt;1,"记录ID重复",IF(COUNTIF('案件索引'!$A$6:$A$105,B43)=0,"案件ID未登记",IF(OR(C43="",D43="",F43="",G43="",H43="",I43="",J43="",K43="",M43="",N43="",Q43="",R43="",T43=""),"补对象、必要性、结果、依据或标注人",IF(AND(H43="条件必要",L43=""),"条件必要须写条件",IF(AND(R43="条件通过待执行核验",OR(M43="未知",M43="未满足",O43="",O43="未提供")),"条件或权限证据不足，退回核验","格式已填；仍须人工复核"))))))</x:f>
      </x:c>
    </x:row>
    <x:row r="44" ht="44" customHeight="1">
      <x:c r="A44" s="9"/>
      <x:c r="B44" s="9"/>
      <x:c r="C44" s="9"/>
      <x:c r="D44" s="9"/>
      <x:c r="E44" s="9"/>
      <x:c r="F44" s="9"/>
      <x:c r="G44" s="9"/>
      <x:c r="H44" s="9"/>
      <x:c r="I44" s="9"/>
      <x:c r="J44" s="9"/>
      <x:c r="K44" s="9"/>
      <x:c r="L44" s="9"/>
      <x:c r="M44" s="9"/>
      <x:c r="N44" s="9"/>
      <x:c r="O44" s="9"/>
      <x:c r="P44" s="9"/>
      <x:c r="Q44" s="9"/>
      <x:c r="R44" s="9"/>
      <x:c r="S44" s="9"/>
      <x:c r="T44" s="9"/>
      <x:c r="U44" s="9"/>
      <x:c r="V44" s="9"/>
      <x:c r="W44" s="12" t="str">
        <x:f>IF(A44="","",IF(COUNTIF($A$6:$A$505,A44)&gt;1,"记录ID重复",IF(COUNTIF('案件索引'!$A$6:$A$105,B44)=0,"案件ID未登记",IF(OR(C44="",D44="",F44="",G44="",H44="",I44="",J44="",K44="",M44="",N44="",Q44="",R44="",T44=""),"补对象、必要性、结果、依据或标注人",IF(AND(H44="条件必要",L44=""),"条件必要须写条件",IF(AND(R44="条件通过待执行核验",OR(M44="未知",M44="未满足",O44="",O44="未提供")),"条件或权限证据不足，退回核验","格式已填；仍须人工复核"))))))</x:f>
      </x:c>
    </x:row>
    <x:row r="45" ht="44" customHeight="1">
      <x:c r="A45" s="9"/>
      <x:c r="B45" s="9"/>
      <x:c r="C45" s="9"/>
      <x:c r="D45" s="9"/>
      <x:c r="E45" s="9"/>
      <x:c r="F45" s="9"/>
      <x:c r="G45" s="9"/>
      <x:c r="H45" s="9"/>
      <x:c r="I45" s="9"/>
      <x:c r="J45" s="9"/>
      <x:c r="K45" s="9"/>
      <x:c r="L45" s="9"/>
      <x:c r="M45" s="9"/>
      <x:c r="N45" s="9"/>
      <x:c r="O45" s="9"/>
      <x:c r="P45" s="9"/>
      <x:c r="Q45" s="9"/>
      <x:c r="R45" s="9"/>
      <x:c r="S45" s="9"/>
      <x:c r="T45" s="9"/>
      <x:c r="U45" s="9"/>
      <x:c r="V45" s="9"/>
      <x:c r="W45" s="12" t="str">
        <x:f>IF(A45="","",IF(COUNTIF($A$6:$A$505,A45)&gt;1,"记录ID重复",IF(COUNTIF('案件索引'!$A$6:$A$105,B45)=0,"案件ID未登记",IF(OR(C45="",D45="",F45="",G45="",H45="",I45="",J45="",K45="",M45="",N45="",Q45="",R45="",T45=""),"补对象、必要性、结果、依据或标注人",IF(AND(H45="条件必要",L45=""),"条件必要须写条件",IF(AND(R45="条件通过待执行核验",OR(M45="未知",M45="未满足",O45="",O45="未提供")),"条件或权限证据不足，退回核验","格式已填；仍须人工复核"))))))</x:f>
      </x:c>
    </x:row>
    <x:row r="46" ht="44" customHeight="1">
      <x:c r="A46" s="9"/>
      <x:c r="B46" s="9"/>
      <x:c r="C46" s="9"/>
      <x:c r="D46" s="9"/>
      <x:c r="E46" s="9"/>
      <x:c r="F46" s="9"/>
      <x:c r="G46" s="9"/>
      <x:c r="H46" s="9"/>
      <x:c r="I46" s="9"/>
      <x:c r="J46" s="9"/>
      <x:c r="K46" s="9"/>
      <x:c r="L46" s="9"/>
      <x:c r="M46" s="9"/>
      <x:c r="N46" s="9"/>
      <x:c r="O46" s="9"/>
      <x:c r="P46" s="9"/>
      <x:c r="Q46" s="9"/>
      <x:c r="R46" s="9"/>
      <x:c r="S46" s="9"/>
      <x:c r="T46" s="9"/>
      <x:c r="U46" s="9"/>
      <x:c r="V46" s="9"/>
      <x:c r="W46" s="12" t="str">
        <x:f>IF(A46="","",IF(COUNTIF($A$6:$A$505,A46)&gt;1,"记录ID重复",IF(COUNTIF('案件索引'!$A$6:$A$105,B46)=0,"案件ID未登记",IF(OR(C46="",D46="",F46="",G46="",H46="",I46="",J46="",K46="",M46="",N46="",Q46="",R46="",T46=""),"补对象、必要性、结果、依据或标注人",IF(AND(H46="条件必要",L46=""),"条件必要须写条件",IF(AND(R46="条件通过待执行核验",OR(M46="未知",M46="未满足",O46="",O46="未提供")),"条件或权限证据不足，退回核验","格式已填；仍须人工复核"))))))</x:f>
      </x:c>
    </x:row>
    <x:row r="47" ht="44" customHeight="1">
      <x:c r="A47" s="9"/>
      <x:c r="B47" s="9"/>
      <x:c r="C47" s="9"/>
      <x:c r="D47" s="9"/>
      <x:c r="E47" s="9"/>
      <x:c r="F47" s="9"/>
      <x:c r="G47" s="9"/>
      <x:c r="H47" s="9"/>
      <x:c r="I47" s="9"/>
      <x:c r="J47" s="9"/>
      <x:c r="K47" s="9"/>
      <x:c r="L47" s="9"/>
      <x:c r="M47" s="9"/>
      <x:c r="N47" s="9"/>
      <x:c r="O47" s="9"/>
      <x:c r="P47" s="9"/>
      <x:c r="Q47" s="9"/>
      <x:c r="R47" s="9"/>
      <x:c r="S47" s="9"/>
      <x:c r="T47" s="9"/>
      <x:c r="U47" s="9"/>
      <x:c r="V47" s="9"/>
      <x:c r="W47" s="12" t="str">
        <x:f>IF(A47="","",IF(COUNTIF($A$6:$A$505,A47)&gt;1,"记录ID重复",IF(COUNTIF('案件索引'!$A$6:$A$105,B47)=0,"案件ID未登记",IF(OR(C47="",D47="",F47="",G47="",H47="",I47="",J47="",K47="",M47="",N47="",Q47="",R47="",T47=""),"补对象、必要性、结果、依据或标注人",IF(AND(H47="条件必要",L47=""),"条件必要须写条件",IF(AND(R47="条件通过待执行核验",OR(M47="未知",M47="未满足",O47="",O47="未提供")),"条件或权限证据不足，退回核验","格式已填；仍须人工复核"))))))</x:f>
      </x:c>
    </x:row>
    <x:row r="48" ht="44" customHeight="1">
      <x:c r="A48" s="9"/>
      <x:c r="B48" s="9"/>
      <x:c r="C48" s="9"/>
      <x:c r="D48" s="9"/>
      <x:c r="E48" s="9"/>
      <x:c r="F48" s="9"/>
      <x:c r="G48" s="9"/>
      <x:c r="H48" s="9"/>
      <x:c r="I48" s="9"/>
      <x:c r="J48" s="9"/>
      <x:c r="K48" s="9"/>
      <x:c r="L48" s="9"/>
      <x:c r="M48" s="9"/>
      <x:c r="N48" s="9"/>
      <x:c r="O48" s="9"/>
      <x:c r="P48" s="9"/>
      <x:c r="Q48" s="9"/>
      <x:c r="R48" s="9"/>
      <x:c r="S48" s="9"/>
      <x:c r="T48" s="9"/>
      <x:c r="U48" s="9"/>
      <x:c r="V48" s="9"/>
      <x:c r="W48" s="12" t="str">
        <x:f>IF(A48="","",IF(COUNTIF($A$6:$A$505,A48)&gt;1,"记录ID重复",IF(COUNTIF('案件索引'!$A$6:$A$105,B48)=0,"案件ID未登记",IF(OR(C48="",D48="",F48="",G48="",H48="",I48="",J48="",K48="",M48="",N48="",Q48="",R48="",T48=""),"补对象、必要性、结果、依据或标注人",IF(AND(H48="条件必要",L48=""),"条件必要须写条件",IF(AND(R48="条件通过待执行核验",OR(M48="未知",M48="未满足",O48="",O48="未提供")),"条件或权限证据不足，退回核验","格式已填；仍须人工复核"))))))</x:f>
      </x:c>
    </x:row>
    <x:row r="49" ht="44" customHeight="1">
      <x:c r="A49" s="9"/>
      <x:c r="B49" s="9"/>
      <x:c r="C49" s="9"/>
      <x:c r="D49" s="9"/>
      <x:c r="E49" s="9"/>
      <x:c r="F49" s="9"/>
      <x:c r="G49" s="9"/>
      <x:c r="H49" s="9"/>
      <x:c r="I49" s="9"/>
      <x:c r="J49" s="9"/>
      <x:c r="K49" s="9"/>
      <x:c r="L49" s="9"/>
      <x:c r="M49" s="9"/>
      <x:c r="N49" s="9"/>
      <x:c r="O49" s="9"/>
      <x:c r="P49" s="9"/>
      <x:c r="Q49" s="9"/>
      <x:c r="R49" s="9"/>
      <x:c r="S49" s="9"/>
      <x:c r="T49" s="9"/>
      <x:c r="U49" s="9"/>
      <x:c r="V49" s="9"/>
      <x:c r="W49" s="12" t="str">
        <x:f>IF(A49="","",IF(COUNTIF($A$6:$A$505,A49)&gt;1,"记录ID重复",IF(COUNTIF('案件索引'!$A$6:$A$105,B49)=0,"案件ID未登记",IF(OR(C49="",D49="",F49="",G49="",H49="",I49="",J49="",K49="",M49="",N49="",Q49="",R49="",T49=""),"补对象、必要性、结果、依据或标注人",IF(AND(H49="条件必要",L49=""),"条件必要须写条件",IF(AND(R49="条件通过待执行核验",OR(M49="未知",M49="未满足",O49="",O49="未提供")),"条件或权限证据不足，退回核验","格式已填；仍须人工复核"))))))</x:f>
      </x:c>
    </x:row>
    <x:row r="50" ht="44" customHeight="1">
      <x:c r="A50" s="9"/>
      <x:c r="B50" s="9"/>
      <x:c r="C50" s="9"/>
      <x:c r="D50" s="9"/>
      <x:c r="E50" s="9"/>
      <x:c r="F50" s="9"/>
      <x:c r="G50" s="9"/>
      <x:c r="H50" s="9"/>
      <x:c r="I50" s="9"/>
      <x:c r="J50" s="9"/>
      <x:c r="K50" s="9"/>
      <x:c r="L50" s="9"/>
      <x:c r="M50" s="9"/>
      <x:c r="N50" s="9"/>
      <x:c r="O50" s="9"/>
      <x:c r="P50" s="9"/>
      <x:c r="Q50" s="9"/>
      <x:c r="R50" s="9"/>
      <x:c r="S50" s="9"/>
      <x:c r="T50" s="9"/>
      <x:c r="U50" s="9"/>
      <x:c r="V50" s="9"/>
      <x:c r="W50" s="12" t="str">
        <x:f>IF(A50="","",IF(COUNTIF($A$6:$A$505,A50)&gt;1,"记录ID重复",IF(COUNTIF('案件索引'!$A$6:$A$105,B50)=0,"案件ID未登记",IF(OR(C50="",D50="",F50="",G50="",H50="",I50="",J50="",K50="",M50="",N50="",Q50="",R50="",T50=""),"补对象、必要性、结果、依据或标注人",IF(AND(H50="条件必要",L50=""),"条件必要须写条件",IF(AND(R50="条件通过待执行核验",OR(M50="未知",M50="未满足",O50="",O50="未提供")),"条件或权限证据不足，退回核验","格式已填；仍须人工复核"))))))</x:f>
      </x:c>
    </x:row>
    <x:row r="51" ht="44" customHeight="1">
      <x:c r="A51" s="9"/>
      <x:c r="B51" s="9"/>
      <x:c r="C51" s="9"/>
      <x:c r="D51" s="9"/>
      <x:c r="E51" s="9"/>
      <x:c r="F51" s="9"/>
      <x:c r="G51" s="9"/>
      <x:c r="H51" s="9"/>
      <x:c r="I51" s="9"/>
      <x:c r="J51" s="9"/>
      <x:c r="K51" s="9"/>
      <x:c r="L51" s="9"/>
      <x:c r="M51" s="9"/>
      <x:c r="N51" s="9"/>
      <x:c r="O51" s="9"/>
      <x:c r="P51" s="9"/>
      <x:c r="Q51" s="9"/>
      <x:c r="R51" s="9"/>
      <x:c r="S51" s="9"/>
      <x:c r="T51" s="9"/>
      <x:c r="U51" s="9"/>
      <x:c r="V51" s="9"/>
      <x:c r="W51" s="12" t="str">
        <x:f>IF(A51="","",IF(COUNTIF($A$6:$A$505,A51)&gt;1,"记录ID重复",IF(COUNTIF('案件索引'!$A$6:$A$105,B51)=0,"案件ID未登记",IF(OR(C51="",D51="",F51="",G51="",H51="",I51="",J51="",K51="",M51="",N51="",Q51="",R51="",T51=""),"补对象、必要性、结果、依据或标注人",IF(AND(H51="条件必要",L51=""),"条件必要须写条件",IF(AND(R51="条件通过待执行核验",OR(M51="未知",M51="未满足",O51="",O51="未提供")),"条件或权限证据不足，退回核验","格式已填；仍须人工复核"))))))</x:f>
      </x:c>
    </x:row>
    <x:row r="52" ht="44" customHeight="1">
      <x:c r="A52" s="9"/>
      <x:c r="B52" s="9"/>
      <x:c r="C52" s="9"/>
      <x:c r="D52" s="9"/>
      <x:c r="E52" s="9"/>
      <x:c r="F52" s="9"/>
      <x:c r="G52" s="9"/>
      <x:c r="H52" s="9"/>
      <x:c r="I52" s="9"/>
      <x:c r="J52" s="9"/>
      <x:c r="K52" s="9"/>
      <x:c r="L52" s="9"/>
      <x:c r="M52" s="9"/>
      <x:c r="N52" s="9"/>
      <x:c r="O52" s="9"/>
      <x:c r="P52" s="9"/>
      <x:c r="Q52" s="9"/>
      <x:c r="R52" s="9"/>
      <x:c r="S52" s="9"/>
      <x:c r="T52" s="9"/>
      <x:c r="U52" s="9"/>
      <x:c r="V52" s="9"/>
      <x:c r="W52" s="12" t="str">
        <x:f>IF(A52="","",IF(COUNTIF($A$6:$A$505,A52)&gt;1,"记录ID重复",IF(COUNTIF('案件索引'!$A$6:$A$105,B52)=0,"案件ID未登记",IF(OR(C52="",D52="",F52="",G52="",H52="",I52="",J52="",K52="",M52="",N52="",Q52="",R52="",T52=""),"补对象、必要性、结果、依据或标注人",IF(AND(H52="条件必要",L52=""),"条件必要须写条件",IF(AND(R52="条件通过待执行核验",OR(M52="未知",M52="未满足",O52="",O52="未提供")),"条件或权限证据不足，退回核验","格式已填；仍须人工复核"))))))</x:f>
      </x:c>
    </x:row>
    <x:row r="53" ht="44" customHeight="1">
      <x:c r="A53" s="9"/>
      <x:c r="B53" s="9"/>
      <x:c r="C53" s="9"/>
      <x:c r="D53" s="9"/>
      <x:c r="E53" s="9"/>
      <x:c r="F53" s="9"/>
      <x:c r="G53" s="9"/>
      <x:c r="H53" s="9"/>
      <x:c r="I53" s="9"/>
      <x:c r="J53" s="9"/>
      <x:c r="K53" s="9"/>
      <x:c r="L53" s="9"/>
      <x:c r="M53" s="9"/>
      <x:c r="N53" s="9"/>
      <x:c r="O53" s="9"/>
      <x:c r="P53" s="9"/>
      <x:c r="Q53" s="9"/>
      <x:c r="R53" s="9"/>
      <x:c r="S53" s="9"/>
      <x:c r="T53" s="9"/>
      <x:c r="U53" s="9"/>
      <x:c r="V53" s="9"/>
      <x:c r="W53" s="12" t="str">
        <x:f>IF(A53="","",IF(COUNTIF($A$6:$A$505,A53)&gt;1,"记录ID重复",IF(COUNTIF('案件索引'!$A$6:$A$105,B53)=0,"案件ID未登记",IF(OR(C53="",D53="",F53="",G53="",H53="",I53="",J53="",K53="",M53="",N53="",Q53="",R53="",T53=""),"补对象、必要性、结果、依据或标注人",IF(AND(H53="条件必要",L53=""),"条件必要须写条件",IF(AND(R53="条件通过待执行核验",OR(M53="未知",M53="未满足",O53="",O53="未提供")),"条件或权限证据不足，退回核验","格式已填；仍须人工复核"))))))</x:f>
      </x:c>
    </x:row>
    <x:row r="54" ht="44" customHeight="1">
      <x:c r="A54" s="9"/>
      <x:c r="B54" s="9"/>
      <x:c r="C54" s="9"/>
      <x:c r="D54" s="9"/>
      <x:c r="E54" s="9"/>
      <x:c r="F54" s="9"/>
      <x:c r="G54" s="9"/>
      <x:c r="H54" s="9"/>
      <x:c r="I54" s="9"/>
      <x:c r="J54" s="9"/>
      <x:c r="K54" s="9"/>
      <x:c r="L54" s="9"/>
      <x:c r="M54" s="9"/>
      <x:c r="N54" s="9"/>
      <x:c r="O54" s="9"/>
      <x:c r="P54" s="9"/>
      <x:c r="Q54" s="9"/>
      <x:c r="R54" s="9"/>
      <x:c r="S54" s="9"/>
      <x:c r="T54" s="9"/>
      <x:c r="U54" s="9"/>
      <x:c r="V54" s="9"/>
      <x:c r="W54" s="12" t="str">
        <x:f>IF(A54="","",IF(COUNTIF($A$6:$A$505,A54)&gt;1,"记录ID重复",IF(COUNTIF('案件索引'!$A$6:$A$105,B54)=0,"案件ID未登记",IF(OR(C54="",D54="",F54="",G54="",H54="",I54="",J54="",K54="",M54="",N54="",Q54="",R54="",T54=""),"补对象、必要性、结果、依据或标注人",IF(AND(H54="条件必要",L54=""),"条件必要须写条件",IF(AND(R54="条件通过待执行核验",OR(M54="未知",M54="未满足",O54="",O54="未提供")),"条件或权限证据不足，退回核验","格式已填；仍须人工复核"))))))</x:f>
      </x:c>
    </x:row>
    <x:row r="55" ht="44" customHeight="1">
      <x:c r="A55" s="9"/>
      <x:c r="B55" s="9"/>
      <x:c r="C55" s="9"/>
      <x:c r="D55" s="9"/>
      <x:c r="E55" s="9"/>
      <x:c r="F55" s="9"/>
      <x:c r="G55" s="9"/>
      <x:c r="H55" s="9"/>
      <x:c r="I55" s="9"/>
      <x:c r="J55" s="9"/>
      <x:c r="K55" s="9"/>
      <x:c r="L55" s="9"/>
      <x:c r="M55" s="9"/>
      <x:c r="N55" s="9"/>
      <x:c r="O55" s="9"/>
      <x:c r="P55" s="9"/>
      <x:c r="Q55" s="9"/>
      <x:c r="R55" s="9"/>
      <x:c r="S55" s="9"/>
      <x:c r="T55" s="9"/>
      <x:c r="U55" s="9"/>
      <x:c r="V55" s="9"/>
      <x:c r="W55" s="12" t="str">
        <x:f>IF(A55="","",IF(COUNTIF($A$6:$A$505,A55)&gt;1,"记录ID重复",IF(COUNTIF('案件索引'!$A$6:$A$105,B55)=0,"案件ID未登记",IF(OR(C55="",D55="",F55="",G55="",H55="",I55="",J55="",K55="",M55="",N55="",Q55="",R55="",T55=""),"补对象、必要性、结果、依据或标注人",IF(AND(H55="条件必要",L55=""),"条件必要须写条件",IF(AND(R55="条件通过待执行核验",OR(M55="未知",M55="未满足",O55="",O55="未提供")),"条件或权限证据不足，退回核验","格式已填；仍须人工复核"))))))</x:f>
      </x:c>
    </x:row>
    <x:row r="56" ht="44" customHeight="1">
      <x:c r="A56" s="9"/>
      <x:c r="B56" s="9"/>
      <x:c r="C56" s="9"/>
      <x:c r="D56" s="9"/>
      <x:c r="E56" s="9"/>
      <x:c r="F56" s="9"/>
      <x:c r="G56" s="9"/>
      <x:c r="H56" s="9"/>
      <x:c r="I56" s="9"/>
      <x:c r="J56" s="9"/>
      <x:c r="K56" s="9"/>
      <x:c r="L56" s="9"/>
      <x:c r="M56" s="9"/>
      <x:c r="N56" s="9"/>
      <x:c r="O56" s="9"/>
      <x:c r="P56" s="9"/>
      <x:c r="Q56" s="9"/>
      <x:c r="R56" s="9"/>
      <x:c r="S56" s="9"/>
      <x:c r="T56" s="9"/>
      <x:c r="U56" s="9"/>
      <x:c r="V56" s="9"/>
      <x:c r="W56" s="12" t="str">
        <x:f>IF(A56="","",IF(COUNTIF($A$6:$A$505,A56)&gt;1,"记录ID重复",IF(COUNTIF('案件索引'!$A$6:$A$105,B56)=0,"案件ID未登记",IF(OR(C56="",D56="",F56="",G56="",H56="",I56="",J56="",K56="",M56="",N56="",Q56="",R56="",T56=""),"补对象、必要性、结果、依据或标注人",IF(AND(H56="条件必要",L56=""),"条件必要须写条件",IF(AND(R56="条件通过待执行核验",OR(M56="未知",M56="未满足",O56="",O56="未提供")),"条件或权限证据不足，退回核验","格式已填；仍须人工复核"))))))</x:f>
      </x:c>
    </x:row>
    <x:row r="57" ht="44" customHeight="1">
      <x:c r="A57" s="9"/>
      <x:c r="B57" s="9"/>
      <x:c r="C57" s="9"/>
      <x:c r="D57" s="9"/>
      <x:c r="E57" s="9"/>
      <x:c r="F57" s="9"/>
      <x:c r="G57" s="9"/>
      <x:c r="H57" s="9"/>
      <x:c r="I57" s="9"/>
      <x:c r="J57" s="9"/>
      <x:c r="K57" s="9"/>
      <x:c r="L57" s="9"/>
      <x:c r="M57" s="9"/>
      <x:c r="N57" s="9"/>
      <x:c r="O57" s="9"/>
      <x:c r="P57" s="9"/>
      <x:c r="Q57" s="9"/>
      <x:c r="R57" s="9"/>
      <x:c r="S57" s="9"/>
      <x:c r="T57" s="9"/>
      <x:c r="U57" s="9"/>
      <x:c r="V57" s="9"/>
      <x:c r="W57" s="12" t="str">
        <x:f>IF(A57="","",IF(COUNTIF($A$6:$A$505,A57)&gt;1,"记录ID重复",IF(COUNTIF('案件索引'!$A$6:$A$105,B57)=0,"案件ID未登记",IF(OR(C57="",D57="",F57="",G57="",H57="",I57="",J57="",K57="",M57="",N57="",Q57="",R57="",T57=""),"补对象、必要性、结果、依据或标注人",IF(AND(H57="条件必要",L57=""),"条件必要须写条件",IF(AND(R57="条件通过待执行核验",OR(M57="未知",M57="未满足",O57="",O57="未提供")),"条件或权限证据不足，退回核验","格式已填；仍须人工复核"))))))</x:f>
      </x:c>
    </x:row>
    <x:row r="58" ht="44" customHeight="1">
      <x:c r="A58" s="9"/>
      <x:c r="B58" s="9"/>
      <x:c r="C58" s="9"/>
      <x:c r="D58" s="9"/>
      <x:c r="E58" s="9"/>
      <x:c r="F58" s="9"/>
      <x:c r="G58" s="9"/>
      <x:c r="H58" s="9"/>
      <x:c r="I58" s="9"/>
      <x:c r="J58" s="9"/>
      <x:c r="K58" s="9"/>
      <x:c r="L58" s="9"/>
      <x:c r="M58" s="9"/>
      <x:c r="N58" s="9"/>
      <x:c r="O58" s="9"/>
      <x:c r="P58" s="9"/>
      <x:c r="Q58" s="9"/>
      <x:c r="R58" s="9"/>
      <x:c r="S58" s="9"/>
      <x:c r="T58" s="9"/>
      <x:c r="U58" s="9"/>
      <x:c r="V58" s="9"/>
      <x:c r="W58" s="12" t="str">
        <x:f>IF(A58="","",IF(COUNTIF($A$6:$A$505,A58)&gt;1,"记录ID重复",IF(COUNTIF('案件索引'!$A$6:$A$105,B58)=0,"案件ID未登记",IF(OR(C58="",D58="",F58="",G58="",H58="",I58="",J58="",K58="",M58="",N58="",Q58="",R58="",T58=""),"补对象、必要性、结果、依据或标注人",IF(AND(H58="条件必要",L58=""),"条件必要须写条件",IF(AND(R58="条件通过待执行核验",OR(M58="未知",M58="未满足",O58="",O58="未提供")),"条件或权限证据不足，退回核验","格式已填；仍须人工复核"))))))</x:f>
      </x:c>
    </x:row>
    <x:row r="59" ht="44" customHeight="1">
      <x:c r="A59" s="9"/>
      <x:c r="B59" s="9"/>
      <x:c r="C59" s="9"/>
      <x:c r="D59" s="9"/>
      <x:c r="E59" s="9"/>
      <x:c r="F59" s="9"/>
      <x:c r="G59" s="9"/>
      <x:c r="H59" s="9"/>
      <x:c r="I59" s="9"/>
      <x:c r="J59" s="9"/>
      <x:c r="K59" s="9"/>
      <x:c r="L59" s="9"/>
      <x:c r="M59" s="9"/>
      <x:c r="N59" s="9"/>
      <x:c r="O59" s="9"/>
      <x:c r="P59" s="9"/>
      <x:c r="Q59" s="9"/>
      <x:c r="R59" s="9"/>
      <x:c r="S59" s="9"/>
      <x:c r="T59" s="9"/>
      <x:c r="U59" s="9"/>
      <x:c r="V59" s="9"/>
      <x:c r="W59" s="12" t="str">
        <x:f>IF(A59="","",IF(COUNTIF($A$6:$A$505,A59)&gt;1,"记录ID重复",IF(COUNTIF('案件索引'!$A$6:$A$105,B59)=0,"案件ID未登记",IF(OR(C59="",D59="",F59="",G59="",H59="",I59="",J59="",K59="",M59="",N59="",Q59="",R59="",T59=""),"补对象、必要性、结果、依据或标注人",IF(AND(H59="条件必要",L59=""),"条件必要须写条件",IF(AND(R59="条件通过待执行核验",OR(M59="未知",M59="未满足",O59="",O59="未提供")),"条件或权限证据不足，退回核验","格式已填；仍须人工复核"))))))</x:f>
      </x:c>
    </x:row>
    <x:row r="60" ht="44" customHeight="1">
      <x:c r="A60" s="9"/>
      <x:c r="B60" s="9"/>
      <x:c r="C60" s="9"/>
      <x:c r="D60" s="9"/>
      <x:c r="E60" s="9"/>
      <x:c r="F60" s="9"/>
      <x:c r="G60" s="9"/>
      <x:c r="H60" s="9"/>
      <x:c r="I60" s="9"/>
      <x:c r="J60" s="9"/>
      <x:c r="K60" s="9"/>
      <x:c r="L60" s="9"/>
      <x:c r="M60" s="9"/>
      <x:c r="N60" s="9"/>
      <x:c r="O60" s="9"/>
      <x:c r="P60" s="9"/>
      <x:c r="Q60" s="9"/>
      <x:c r="R60" s="9"/>
      <x:c r="S60" s="9"/>
      <x:c r="T60" s="9"/>
      <x:c r="U60" s="9"/>
      <x:c r="V60" s="9"/>
      <x:c r="W60" s="12" t="str">
        <x:f>IF(A60="","",IF(COUNTIF($A$6:$A$505,A60)&gt;1,"记录ID重复",IF(COUNTIF('案件索引'!$A$6:$A$105,B60)=0,"案件ID未登记",IF(OR(C60="",D60="",F60="",G60="",H60="",I60="",J60="",K60="",M60="",N60="",Q60="",R60="",T60=""),"补对象、必要性、结果、依据或标注人",IF(AND(H60="条件必要",L60=""),"条件必要须写条件",IF(AND(R60="条件通过待执行核验",OR(M60="未知",M60="未满足",O60="",O60="未提供")),"条件或权限证据不足，退回核验","格式已填；仍须人工复核"))))))</x:f>
      </x:c>
    </x:row>
    <x:row r="61" ht="44" customHeight="1">
      <x:c r="A61" s="9"/>
      <x:c r="B61" s="9"/>
      <x:c r="C61" s="9"/>
      <x:c r="D61" s="9"/>
      <x:c r="E61" s="9"/>
      <x:c r="F61" s="9"/>
      <x:c r="G61" s="9"/>
      <x:c r="H61" s="9"/>
      <x:c r="I61" s="9"/>
      <x:c r="J61" s="9"/>
      <x:c r="K61" s="9"/>
      <x:c r="L61" s="9"/>
      <x:c r="M61" s="9"/>
      <x:c r="N61" s="9"/>
      <x:c r="O61" s="9"/>
      <x:c r="P61" s="9"/>
      <x:c r="Q61" s="9"/>
      <x:c r="R61" s="9"/>
      <x:c r="S61" s="9"/>
      <x:c r="T61" s="9"/>
      <x:c r="U61" s="9"/>
      <x:c r="V61" s="9"/>
      <x:c r="W61" s="12" t="str">
        <x:f>IF(A61="","",IF(COUNTIF($A$6:$A$505,A61)&gt;1,"记录ID重复",IF(COUNTIF('案件索引'!$A$6:$A$105,B61)=0,"案件ID未登记",IF(OR(C61="",D61="",F61="",G61="",H61="",I61="",J61="",K61="",M61="",N61="",Q61="",R61="",T61=""),"补对象、必要性、结果、依据或标注人",IF(AND(H61="条件必要",L61=""),"条件必要须写条件",IF(AND(R61="条件通过待执行核验",OR(M61="未知",M61="未满足",O61="",O61="未提供")),"条件或权限证据不足，退回核验","格式已填；仍须人工复核"))))))</x:f>
      </x:c>
    </x:row>
    <x:row r="62" ht="44" customHeight="1">
      <x:c r="A62" s="9"/>
      <x:c r="B62" s="9"/>
      <x:c r="C62" s="9"/>
      <x:c r="D62" s="9"/>
      <x:c r="E62" s="9"/>
      <x:c r="F62" s="9"/>
      <x:c r="G62" s="9"/>
      <x:c r="H62" s="9"/>
      <x:c r="I62" s="9"/>
      <x:c r="J62" s="9"/>
      <x:c r="K62" s="9"/>
      <x:c r="L62" s="9"/>
      <x:c r="M62" s="9"/>
      <x:c r="N62" s="9"/>
      <x:c r="O62" s="9"/>
      <x:c r="P62" s="9"/>
      <x:c r="Q62" s="9"/>
      <x:c r="R62" s="9"/>
      <x:c r="S62" s="9"/>
      <x:c r="T62" s="9"/>
      <x:c r="U62" s="9"/>
      <x:c r="V62" s="9"/>
      <x:c r="W62" s="12" t="str">
        <x:f>IF(A62="","",IF(COUNTIF($A$6:$A$505,A62)&gt;1,"记录ID重复",IF(COUNTIF('案件索引'!$A$6:$A$105,B62)=0,"案件ID未登记",IF(OR(C62="",D62="",F62="",G62="",H62="",I62="",J62="",K62="",M62="",N62="",Q62="",R62="",T62=""),"补对象、必要性、结果、依据或标注人",IF(AND(H62="条件必要",L62=""),"条件必要须写条件",IF(AND(R62="条件通过待执行核验",OR(M62="未知",M62="未满足",O62="",O62="未提供")),"条件或权限证据不足，退回核验","格式已填；仍须人工复核"))))))</x:f>
      </x:c>
    </x:row>
    <x:row r="63" ht="44" customHeight="1">
      <x:c r="A63" s="9"/>
      <x:c r="B63" s="9"/>
      <x:c r="C63" s="9"/>
      <x:c r="D63" s="9"/>
      <x:c r="E63" s="9"/>
      <x:c r="F63" s="9"/>
      <x:c r="G63" s="9"/>
      <x:c r="H63" s="9"/>
      <x:c r="I63" s="9"/>
      <x:c r="J63" s="9"/>
      <x:c r="K63" s="9"/>
      <x:c r="L63" s="9"/>
      <x:c r="M63" s="9"/>
      <x:c r="N63" s="9"/>
      <x:c r="O63" s="9"/>
      <x:c r="P63" s="9"/>
      <x:c r="Q63" s="9"/>
      <x:c r="R63" s="9"/>
      <x:c r="S63" s="9"/>
      <x:c r="T63" s="9"/>
      <x:c r="U63" s="9"/>
      <x:c r="V63" s="9"/>
      <x:c r="W63" s="12" t="str">
        <x:f>IF(A63="","",IF(COUNTIF($A$6:$A$505,A63)&gt;1,"记录ID重复",IF(COUNTIF('案件索引'!$A$6:$A$105,B63)=0,"案件ID未登记",IF(OR(C63="",D63="",F63="",G63="",H63="",I63="",J63="",K63="",M63="",N63="",Q63="",R63="",T63=""),"补对象、必要性、结果、依据或标注人",IF(AND(H63="条件必要",L63=""),"条件必要须写条件",IF(AND(R63="条件通过待执行核验",OR(M63="未知",M63="未满足",O63="",O63="未提供")),"条件或权限证据不足，退回核验","格式已填；仍须人工复核"))))))</x:f>
      </x:c>
    </x:row>
    <x:row r="64" ht="44" customHeight="1">
      <x:c r="A64" s="9"/>
      <x:c r="B64" s="9"/>
      <x:c r="C64" s="9"/>
      <x:c r="D64" s="9"/>
      <x:c r="E64" s="9"/>
      <x:c r="F64" s="9"/>
      <x:c r="G64" s="9"/>
      <x:c r="H64" s="9"/>
      <x:c r="I64" s="9"/>
      <x:c r="J64" s="9"/>
      <x:c r="K64" s="9"/>
      <x:c r="L64" s="9"/>
      <x:c r="M64" s="9"/>
      <x:c r="N64" s="9"/>
      <x:c r="O64" s="9"/>
      <x:c r="P64" s="9"/>
      <x:c r="Q64" s="9"/>
      <x:c r="R64" s="9"/>
      <x:c r="S64" s="9"/>
      <x:c r="T64" s="9"/>
      <x:c r="U64" s="9"/>
      <x:c r="V64" s="9"/>
      <x:c r="W64" s="12" t="str">
        <x:f>IF(A64="","",IF(COUNTIF($A$6:$A$505,A64)&gt;1,"记录ID重复",IF(COUNTIF('案件索引'!$A$6:$A$105,B64)=0,"案件ID未登记",IF(OR(C64="",D64="",F64="",G64="",H64="",I64="",J64="",K64="",M64="",N64="",Q64="",R64="",T64=""),"补对象、必要性、结果、依据或标注人",IF(AND(H64="条件必要",L64=""),"条件必要须写条件",IF(AND(R64="条件通过待执行核验",OR(M64="未知",M64="未满足",O64="",O64="未提供")),"条件或权限证据不足，退回核验","格式已填；仍须人工复核"))))))</x:f>
      </x:c>
    </x:row>
    <x:row r="65" ht="44" customHeight="1">
      <x:c r="A65" s="9"/>
      <x:c r="B65" s="9"/>
      <x:c r="C65" s="9"/>
      <x:c r="D65" s="9"/>
      <x:c r="E65" s="9"/>
      <x:c r="F65" s="9"/>
      <x:c r="G65" s="9"/>
      <x:c r="H65" s="9"/>
      <x:c r="I65" s="9"/>
      <x:c r="J65" s="9"/>
      <x:c r="K65" s="9"/>
      <x:c r="L65" s="9"/>
      <x:c r="M65" s="9"/>
      <x:c r="N65" s="9"/>
      <x:c r="O65" s="9"/>
      <x:c r="P65" s="9"/>
      <x:c r="Q65" s="9"/>
      <x:c r="R65" s="9"/>
      <x:c r="S65" s="9"/>
      <x:c r="T65" s="9"/>
      <x:c r="U65" s="9"/>
      <x:c r="V65" s="9"/>
      <x:c r="W65" s="12" t="str">
        <x:f>IF(A65="","",IF(COUNTIF($A$6:$A$505,A65)&gt;1,"记录ID重复",IF(COUNTIF('案件索引'!$A$6:$A$105,B65)=0,"案件ID未登记",IF(OR(C65="",D65="",F65="",G65="",H65="",I65="",J65="",K65="",M65="",N65="",Q65="",R65="",T65=""),"补对象、必要性、结果、依据或标注人",IF(AND(H65="条件必要",L65=""),"条件必要须写条件",IF(AND(R65="条件通过待执行核验",OR(M65="未知",M65="未满足",O65="",O65="未提供")),"条件或权限证据不足，退回核验","格式已填；仍须人工复核"))))))</x:f>
      </x:c>
    </x:row>
    <x:row r="66" ht="44" customHeight="1">
      <x:c r="A66" s="9"/>
      <x:c r="B66" s="9"/>
      <x:c r="C66" s="9"/>
      <x:c r="D66" s="9"/>
      <x:c r="E66" s="9"/>
      <x:c r="F66" s="9"/>
      <x:c r="G66" s="9"/>
      <x:c r="H66" s="9"/>
      <x:c r="I66" s="9"/>
      <x:c r="J66" s="9"/>
      <x:c r="K66" s="9"/>
      <x:c r="L66" s="9"/>
      <x:c r="M66" s="9"/>
      <x:c r="N66" s="9"/>
      <x:c r="O66" s="9"/>
      <x:c r="P66" s="9"/>
      <x:c r="Q66" s="9"/>
      <x:c r="R66" s="9"/>
      <x:c r="S66" s="9"/>
      <x:c r="T66" s="9"/>
      <x:c r="U66" s="9"/>
      <x:c r="V66" s="9"/>
      <x:c r="W66" s="12" t="str">
        <x:f>IF(A66="","",IF(COUNTIF($A$6:$A$505,A66)&gt;1,"记录ID重复",IF(COUNTIF('案件索引'!$A$6:$A$105,B66)=0,"案件ID未登记",IF(OR(C66="",D66="",F66="",G66="",H66="",I66="",J66="",K66="",M66="",N66="",Q66="",R66="",T66=""),"补对象、必要性、结果、依据或标注人",IF(AND(H66="条件必要",L66=""),"条件必要须写条件",IF(AND(R66="条件通过待执行核验",OR(M66="未知",M66="未满足",O66="",O66="未提供")),"条件或权限证据不足，退回核验","格式已填；仍须人工复核"))))))</x:f>
      </x:c>
    </x:row>
    <x:row r="67" ht="44" customHeight="1">
      <x:c r="A67" s="9"/>
      <x:c r="B67" s="9"/>
      <x:c r="C67" s="9"/>
      <x:c r="D67" s="9"/>
      <x:c r="E67" s="9"/>
      <x:c r="F67" s="9"/>
      <x:c r="G67" s="9"/>
      <x:c r="H67" s="9"/>
      <x:c r="I67" s="9"/>
      <x:c r="J67" s="9"/>
      <x:c r="K67" s="9"/>
      <x:c r="L67" s="9"/>
      <x:c r="M67" s="9"/>
      <x:c r="N67" s="9"/>
      <x:c r="O67" s="9"/>
      <x:c r="P67" s="9"/>
      <x:c r="Q67" s="9"/>
      <x:c r="R67" s="9"/>
      <x:c r="S67" s="9"/>
      <x:c r="T67" s="9"/>
      <x:c r="U67" s="9"/>
      <x:c r="V67" s="9"/>
      <x:c r="W67" s="12" t="str">
        <x:f>IF(A67="","",IF(COUNTIF($A$6:$A$505,A67)&gt;1,"记录ID重复",IF(COUNTIF('案件索引'!$A$6:$A$105,B67)=0,"案件ID未登记",IF(OR(C67="",D67="",F67="",G67="",H67="",I67="",J67="",K67="",M67="",N67="",Q67="",R67="",T67=""),"补对象、必要性、结果、依据或标注人",IF(AND(H67="条件必要",L67=""),"条件必要须写条件",IF(AND(R67="条件通过待执行核验",OR(M67="未知",M67="未满足",O67="",O67="未提供")),"条件或权限证据不足，退回核验","格式已填；仍须人工复核"))))))</x:f>
      </x:c>
    </x:row>
    <x:row r="68" ht="44" customHeight="1">
      <x:c r="A68" s="9"/>
      <x:c r="B68" s="9"/>
      <x:c r="C68" s="9"/>
      <x:c r="D68" s="9"/>
      <x:c r="E68" s="9"/>
      <x:c r="F68" s="9"/>
      <x:c r="G68" s="9"/>
      <x:c r="H68" s="9"/>
      <x:c r="I68" s="9"/>
      <x:c r="J68" s="9"/>
      <x:c r="K68" s="9"/>
      <x:c r="L68" s="9"/>
      <x:c r="M68" s="9"/>
      <x:c r="N68" s="9"/>
      <x:c r="O68" s="9"/>
      <x:c r="P68" s="9"/>
      <x:c r="Q68" s="9"/>
      <x:c r="R68" s="9"/>
      <x:c r="S68" s="9"/>
      <x:c r="T68" s="9"/>
      <x:c r="U68" s="9"/>
      <x:c r="V68" s="9"/>
      <x:c r="W68" s="12" t="str">
        <x:f>IF(A68="","",IF(COUNTIF($A$6:$A$505,A68)&gt;1,"记录ID重复",IF(COUNTIF('案件索引'!$A$6:$A$105,B68)=0,"案件ID未登记",IF(OR(C68="",D68="",F68="",G68="",H68="",I68="",J68="",K68="",M68="",N68="",Q68="",R68="",T68=""),"补对象、必要性、结果、依据或标注人",IF(AND(H68="条件必要",L68=""),"条件必要须写条件",IF(AND(R68="条件通过待执行核验",OR(M68="未知",M68="未满足",O68="",O68="未提供")),"条件或权限证据不足，退回核验","格式已填；仍须人工复核"))))))</x:f>
      </x:c>
    </x:row>
    <x:row r="69" ht="44" customHeight="1">
      <x:c r="A69" s="9"/>
      <x:c r="B69" s="9"/>
      <x:c r="C69" s="9"/>
      <x:c r="D69" s="9"/>
      <x:c r="E69" s="9"/>
      <x:c r="F69" s="9"/>
      <x:c r="G69" s="9"/>
      <x:c r="H69" s="9"/>
      <x:c r="I69" s="9"/>
      <x:c r="J69" s="9"/>
      <x:c r="K69" s="9"/>
      <x:c r="L69" s="9"/>
      <x:c r="M69" s="9"/>
      <x:c r="N69" s="9"/>
      <x:c r="O69" s="9"/>
      <x:c r="P69" s="9"/>
      <x:c r="Q69" s="9"/>
      <x:c r="R69" s="9"/>
      <x:c r="S69" s="9"/>
      <x:c r="T69" s="9"/>
      <x:c r="U69" s="9"/>
      <x:c r="V69" s="9"/>
      <x:c r="W69" s="12" t="str">
        <x:f>IF(A69="","",IF(COUNTIF($A$6:$A$505,A69)&gt;1,"记录ID重复",IF(COUNTIF('案件索引'!$A$6:$A$105,B69)=0,"案件ID未登记",IF(OR(C69="",D69="",F69="",G69="",H69="",I69="",J69="",K69="",M69="",N69="",Q69="",R69="",T69=""),"补对象、必要性、结果、依据或标注人",IF(AND(H69="条件必要",L69=""),"条件必要须写条件",IF(AND(R69="条件通过待执行核验",OR(M69="未知",M69="未满足",O69="",O69="未提供")),"条件或权限证据不足，退回核验","格式已填；仍须人工复核"))))))</x:f>
      </x:c>
    </x:row>
    <x:row r="70" ht="44" customHeight="1">
      <x:c r="A70" s="9"/>
      <x:c r="B70" s="9"/>
      <x:c r="C70" s="9"/>
      <x:c r="D70" s="9"/>
      <x:c r="E70" s="9"/>
      <x:c r="F70" s="9"/>
      <x:c r="G70" s="9"/>
      <x:c r="H70" s="9"/>
      <x:c r="I70" s="9"/>
      <x:c r="J70" s="9"/>
      <x:c r="K70" s="9"/>
      <x:c r="L70" s="9"/>
      <x:c r="M70" s="9"/>
      <x:c r="N70" s="9"/>
      <x:c r="O70" s="9"/>
      <x:c r="P70" s="9"/>
      <x:c r="Q70" s="9"/>
      <x:c r="R70" s="9"/>
      <x:c r="S70" s="9"/>
      <x:c r="T70" s="9"/>
      <x:c r="U70" s="9"/>
      <x:c r="V70" s="9"/>
      <x:c r="W70" s="12" t="str">
        <x:f>IF(A70="","",IF(COUNTIF($A$6:$A$505,A70)&gt;1,"记录ID重复",IF(COUNTIF('案件索引'!$A$6:$A$105,B70)=0,"案件ID未登记",IF(OR(C70="",D70="",F70="",G70="",H70="",I70="",J70="",K70="",M70="",N70="",Q70="",R70="",T70=""),"补对象、必要性、结果、依据或标注人",IF(AND(H70="条件必要",L70=""),"条件必要须写条件",IF(AND(R70="条件通过待执行核验",OR(M70="未知",M70="未满足",O70="",O70="未提供")),"条件或权限证据不足，退回核验","格式已填；仍须人工复核"))))))</x:f>
      </x:c>
    </x:row>
    <x:row r="71" ht="44" customHeight="1">
      <x:c r="A71" s="9"/>
      <x:c r="B71" s="9"/>
      <x:c r="C71" s="9"/>
      <x:c r="D71" s="9"/>
      <x:c r="E71" s="9"/>
      <x:c r="F71" s="9"/>
      <x:c r="G71" s="9"/>
      <x:c r="H71" s="9"/>
      <x:c r="I71" s="9"/>
      <x:c r="J71" s="9"/>
      <x:c r="K71" s="9"/>
      <x:c r="L71" s="9"/>
      <x:c r="M71" s="9"/>
      <x:c r="N71" s="9"/>
      <x:c r="O71" s="9"/>
      <x:c r="P71" s="9"/>
      <x:c r="Q71" s="9"/>
      <x:c r="R71" s="9"/>
      <x:c r="S71" s="9"/>
      <x:c r="T71" s="9"/>
      <x:c r="U71" s="9"/>
      <x:c r="V71" s="9"/>
      <x:c r="W71" s="12" t="str">
        <x:f>IF(A71="","",IF(COUNTIF($A$6:$A$505,A71)&gt;1,"记录ID重复",IF(COUNTIF('案件索引'!$A$6:$A$105,B71)=0,"案件ID未登记",IF(OR(C71="",D71="",F71="",G71="",H71="",I71="",J71="",K71="",M71="",N71="",Q71="",R71="",T71=""),"补对象、必要性、结果、依据或标注人",IF(AND(H71="条件必要",L71=""),"条件必要须写条件",IF(AND(R71="条件通过待执行核验",OR(M71="未知",M71="未满足",O71="",O71="未提供")),"条件或权限证据不足，退回核验","格式已填；仍须人工复核"))))))</x:f>
      </x:c>
    </x:row>
    <x:row r="72" ht="44" customHeight="1">
      <x:c r="A72" s="9"/>
      <x:c r="B72" s="9"/>
      <x:c r="C72" s="9"/>
      <x:c r="D72" s="9"/>
      <x:c r="E72" s="9"/>
      <x:c r="F72" s="9"/>
      <x:c r="G72" s="9"/>
      <x:c r="H72" s="9"/>
      <x:c r="I72" s="9"/>
      <x:c r="J72" s="9"/>
      <x:c r="K72" s="9"/>
      <x:c r="L72" s="9"/>
      <x:c r="M72" s="9"/>
      <x:c r="N72" s="9"/>
      <x:c r="O72" s="9"/>
      <x:c r="P72" s="9"/>
      <x:c r="Q72" s="9"/>
      <x:c r="R72" s="9"/>
      <x:c r="S72" s="9"/>
      <x:c r="T72" s="9"/>
      <x:c r="U72" s="9"/>
      <x:c r="V72" s="9"/>
      <x:c r="W72" s="12" t="str">
        <x:f>IF(A72="","",IF(COUNTIF($A$6:$A$505,A72)&gt;1,"记录ID重复",IF(COUNTIF('案件索引'!$A$6:$A$105,B72)=0,"案件ID未登记",IF(OR(C72="",D72="",F72="",G72="",H72="",I72="",J72="",K72="",M72="",N72="",Q72="",R72="",T72=""),"补对象、必要性、结果、依据或标注人",IF(AND(H72="条件必要",L72=""),"条件必要须写条件",IF(AND(R72="条件通过待执行核验",OR(M72="未知",M72="未满足",O72="",O72="未提供")),"条件或权限证据不足，退回核验","格式已填；仍须人工复核"))))))</x:f>
      </x:c>
    </x:row>
    <x:row r="73" ht="44" customHeight="1">
      <x:c r="A73" s="9"/>
      <x:c r="B73" s="9"/>
      <x:c r="C73" s="9"/>
      <x:c r="D73" s="9"/>
      <x:c r="E73" s="9"/>
      <x:c r="F73" s="9"/>
      <x:c r="G73" s="9"/>
      <x:c r="H73" s="9"/>
      <x:c r="I73" s="9"/>
      <x:c r="J73" s="9"/>
      <x:c r="K73" s="9"/>
      <x:c r="L73" s="9"/>
      <x:c r="M73" s="9"/>
      <x:c r="N73" s="9"/>
      <x:c r="O73" s="9"/>
      <x:c r="P73" s="9"/>
      <x:c r="Q73" s="9"/>
      <x:c r="R73" s="9"/>
      <x:c r="S73" s="9"/>
      <x:c r="T73" s="9"/>
      <x:c r="U73" s="9"/>
      <x:c r="V73" s="9"/>
      <x:c r="W73" s="12" t="str">
        <x:f>IF(A73="","",IF(COUNTIF($A$6:$A$505,A73)&gt;1,"记录ID重复",IF(COUNTIF('案件索引'!$A$6:$A$105,B73)=0,"案件ID未登记",IF(OR(C73="",D73="",F73="",G73="",H73="",I73="",J73="",K73="",M73="",N73="",Q73="",R73="",T73=""),"补对象、必要性、结果、依据或标注人",IF(AND(H73="条件必要",L73=""),"条件必要须写条件",IF(AND(R73="条件通过待执行核验",OR(M73="未知",M73="未满足",O73="",O73="未提供")),"条件或权限证据不足，退回核验","格式已填；仍须人工复核"))))))</x:f>
      </x:c>
    </x:row>
    <x:row r="74" ht="44" customHeight="1">
      <x:c r="A74" s="9"/>
      <x:c r="B74" s="9"/>
      <x:c r="C74" s="9"/>
      <x:c r="D74" s="9"/>
      <x:c r="E74" s="9"/>
      <x:c r="F74" s="9"/>
      <x:c r="G74" s="9"/>
      <x:c r="H74" s="9"/>
      <x:c r="I74" s="9"/>
      <x:c r="J74" s="9"/>
      <x:c r="K74" s="9"/>
      <x:c r="L74" s="9"/>
      <x:c r="M74" s="9"/>
      <x:c r="N74" s="9"/>
      <x:c r="O74" s="9"/>
      <x:c r="P74" s="9"/>
      <x:c r="Q74" s="9"/>
      <x:c r="R74" s="9"/>
      <x:c r="S74" s="9"/>
      <x:c r="T74" s="9"/>
      <x:c r="U74" s="9"/>
      <x:c r="V74" s="9"/>
      <x:c r="W74" s="12" t="str">
        <x:f>IF(A74="","",IF(COUNTIF($A$6:$A$505,A74)&gt;1,"记录ID重复",IF(COUNTIF('案件索引'!$A$6:$A$105,B74)=0,"案件ID未登记",IF(OR(C74="",D74="",F74="",G74="",H74="",I74="",J74="",K74="",M74="",N74="",Q74="",R74="",T74=""),"补对象、必要性、结果、依据或标注人",IF(AND(H74="条件必要",L74=""),"条件必要须写条件",IF(AND(R74="条件通过待执行核验",OR(M74="未知",M74="未满足",O74="",O74="未提供")),"条件或权限证据不足，退回核验","格式已填；仍须人工复核"))))))</x:f>
      </x:c>
    </x:row>
    <x:row r="75" ht="44" customHeight="1">
      <x:c r="A75" s="9"/>
      <x:c r="B75" s="9"/>
      <x:c r="C75" s="9"/>
      <x:c r="D75" s="9"/>
      <x:c r="E75" s="9"/>
      <x:c r="F75" s="9"/>
      <x:c r="G75" s="9"/>
      <x:c r="H75" s="9"/>
      <x:c r="I75" s="9"/>
      <x:c r="J75" s="9"/>
      <x:c r="K75" s="9"/>
      <x:c r="L75" s="9"/>
      <x:c r="M75" s="9"/>
      <x:c r="N75" s="9"/>
      <x:c r="O75" s="9"/>
      <x:c r="P75" s="9"/>
      <x:c r="Q75" s="9"/>
      <x:c r="R75" s="9"/>
      <x:c r="S75" s="9"/>
      <x:c r="T75" s="9"/>
      <x:c r="U75" s="9"/>
      <x:c r="V75" s="9"/>
      <x:c r="W75" s="12" t="str">
        <x:f>IF(A75="","",IF(COUNTIF($A$6:$A$505,A75)&gt;1,"记录ID重复",IF(COUNTIF('案件索引'!$A$6:$A$105,B75)=0,"案件ID未登记",IF(OR(C75="",D75="",F75="",G75="",H75="",I75="",J75="",K75="",M75="",N75="",Q75="",R75="",T75=""),"补对象、必要性、结果、依据或标注人",IF(AND(H75="条件必要",L75=""),"条件必要须写条件",IF(AND(R75="条件通过待执行核验",OR(M75="未知",M75="未满足",O75="",O75="未提供")),"条件或权限证据不足，退回核验","格式已填；仍须人工复核"))))))</x:f>
      </x:c>
    </x:row>
    <x:row r="76" ht="44" customHeight="1">
      <x:c r="A76" s="9"/>
      <x:c r="B76" s="9"/>
      <x:c r="C76" s="9"/>
      <x:c r="D76" s="9"/>
      <x:c r="E76" s="9"/>
      <x:c r="F76" s="9"/>
      <x:c r="G76" s="9"/>
      <x:c r="H76" s="9"/>
      <x:c r="I76" s="9"/>
      <x:c r="J76" s="9"/>
      <x:c r="K76" s="9"/>
      <x:c r="L76" s="9"/>
      <x:c r="M76" s="9"/>
      <x:c r="N76" s="9"/>
      <x:c r="O76" s="9"/>
      <x:c r="P76" s="9"/>
      <x:c r="Q76" s="9"/>
      <x:c r="R76" s="9"/>
      <x:c r="S76" s="9"/>
      <x:c r="T76" s="9"/>
      <x:c r="U76" s="9"/>
      <x:c r="V76" s="9"/>
      <x:c r="W76" s="12" t="str">
        <x:f>IF(A76="","",IF(COUNTIF($A$6:$A$505,A76)&gt;1,"记录ID重复",IF(COUNTIF('案件索引'!$A$6:$A$105,B76)=0,"案件ID未登记",IF(OR(C76="",D76="",F76="",G76="",H76="",I76="",J76="",K76="",M76="",N76="",Q76="",R76="",T76=""),"补对象、必要性、结果、依据或标注人",IF(AND(H76="条件必要",L76=""),"条件必要须写条件",IF(AND(R76="条件通过待执行核验",OR(M76="未知",M76="未满足",O76="",O76="未提供")),"条件或权限证据不足，退回核验","格式已填；仍须人工复核"))))))</x:f>
      </x:c>
    </x:row>
    <x:row r="77" ht="44" customHeight="1">
      <x:c r="A77" s="9"/>
      <x:c r="B77" s="9"/>
      <x:c r="C77" s="9"/>
      <x:c r="D77" s="9"/>
      <x:c r="E77" s="9"/>
      <x:c r="F77" s="9"/>
      <x:c r="G77" s="9"/>
      <x:c r="H77" s="9"/>
      <x:c r="I77" s="9"/>
      <x:c r="J77" s="9"/>
      <x:c r="K77" s="9"/>
      <x:c r="L77" s="9"/>
      <x:c r="M77" s="9"/>
      <x:c r="N77" s="9"/>
      <x:c r="O77" s="9"/>
      <x:c r="P77" s="9"/>
      <x:c r="Q77" s="9"/>
      <x:c r="R77" s="9"/>
      <x:c r="S77" s="9"/>
      <x:c r="T77" s="9"/>
      <x:c r="U77" s="9"/>
      <x:c r="V77" s="9"/>
      <x:c r="W77" s="12" t="str">
        <x:f>IF(A77="","",IF(COUNTIF($A$6:$A$505,A77)&gt;1,"记录ID重复",IF(COUNTIF('案件索引'!$A$6:$A$105,B77)=0,"案件ID未登记",IF(OR(C77="",D77="",F77="",G77="",H77="",I77="",J77="",K77="",M77="",N77="",Q77="",R77="",T77=""),"补对象、必要性、结果、依据或标注人",IF(AND(H77="条件必要",L77=""),"条件必要须写条件",IF(AND(R77="条件通过待执行核验",OR(M77="未知",M77="未满足",O77="",O77="未提供")),"条件或权限证据不足，退回核验","格式已填；仍须人工复核"))))))</x:f>
      </x:c>
    </x:row>
    <x:row r="78" ht="44" customHeight="1">
      <x:c r="A78" s="9"/>
      <x:c r="B78" s="9"/>
      <x:c r="C78" s="9"/>
      <x:c r="D78" s="9"/>
      <x:c r="E78" s="9"/>
      <x:c r="F78" s="9"/>
      <x:c r="G78" s="9"/>
      <x:c r="H78" s="9"/>
      <x:c r="I78" s="9"/>
      <x:c r="J78" s="9"/>
      <x:c r="K78" s="9"/>
      <x:c r="L78" s="9"/>
      <x:c r="M78" s="9"/>
      <x:c r="N78" s="9"/>
      <x:c r="O78" s="9"/>
      <x:c r="P78" s="9"/>
      <x:c r="Q78" s="9"/>
      <x:c r="R78" s="9"/>
      <x:c r="S78" s="9"/>
      <x:c r="T78" s="9"/>
      <x:c r="U78" s="9"/>
      <x:c r="V78" s="9"/>
      <x:c r="W78" s="12" t="str">
        <x:f>IF(A78="","",IF(COUNTIF($A$6:$A$505,A78)&gt;1,"记录ID重复",IF(COUNTIF('案件索引'!$A$6:$A$105,B78)=0,"案件ID未登记",IF(OR(C78="",D78="",F78="",G78="",H78="",I78="",J78="",K78="",M78="",N78="",Q78="",R78="",T78=""),"补对象、必要性、结果、依据或标注人",IF(AND(H78="条件必要",L78=""),"条件必要须写条件",IF(AND(R78="条件通过待执行核验",OR(M78="未知",M78="未满足",O78="",O78="未提供")),"条件或权限证据不足，退回核验","格式已填；仍须人工复核"))))))</x:f>
      </x:c>
    </x:row>
    <x:row r="79" ht="44" customHeight="1">
      <x:c r="A79" s="9"/>
      <x:c r="B79" s="9"/>
      <x:c r="C79" s="9"/>
      <x:c r="D79" s="9"/>
      <x:c r="E79" s="9"/>
      <x:c r="F79" s="9"/>
      <x:c r="G79" s="9"/>
      <x:c r="H79" s="9"/>
      <x:c r="I79" s="9"/>
      <x:c r="J79" s="9"/>
      <x:c r="K79" s="9"/>
      <x:c r="L79" s="9"/>
      <x:c r="M79" s="9"/>
      <x:c r="N79" s="9"/>
      <x:c r="O79" s="9"/>
      <x:c r="P79" s="9"/>
      <x:c r="Q79" s="9"/>
      <x:c r="R79" s="9"/>
      <x:c r="S79" s="9"/>
      <x:c r="T79" s="9"/>
      <x:c r="U79" s="9"/>
      <x:c r="V79" s="9"/>
      <x:c r="W79" s="12" t="str">
        <x:f>IF(A79="","",IF(COUNTIF($A$6:$A$505,A79)&gt;1,"记录ID重复",IF(COUNTIF('案件索引'!$A$6:$A$105,B79)=0,"案件ID未登记",IF(OR(C79="",D79="",F79="",G79="",H79="",I79="",J79="",K79="",M79="",N79="",Q79="",R79="",T79=""),"补对象、必要性、结果、依据或标注人",IF(AND(H79="条件必要",L79=""),"条件必要须写条件",IF(AND(R79="条件通过待执行核验",OR(M79="未知",M79="未满足",O79="",O79="未提供")),"条件或权限证据不足，退回核验","格式已填；仍须人工复核"))))))</x:f>
      </x:c>
    </x:row>
    <x:row r="80" ht="44" customHeight="1">
      <x:c r="A80" s="9"/>
      <x:c r="B80" s="9"/>
      <x:c r="C80" s="9"/>
      <x:c r="D80" s="9"/>
      <x:c r="E80" s="9"/>
      <x:c r="F80" s="9"/>
      <x:c r="G80" s="9"/>
      <x:c r="H80" s="9"/>
      <x:c r="I80" s="9"/>
      <x:c r="J80" s="9"/>
      <x:c r="K80" s="9"/>
      <x:c r="L80" s="9"/>
      <x:c r="M80" s="9"/>
      <x:c r="N80" s="9"/>
      <x:c r="O80" s="9"/>
      <x:c r="P80" s="9"/>
      <x:c r="Q80" s="9"/>
      <x:c r="R80" s="9"/>
      <x:c r="S80" s="9"/>
      <x:c r="T80" s="9"/>
      <x:c r="U80" s="9"/>
      <x:c r="V80" s="9"/>
      <x:c r="W80" s="12" t="str">
        <x:f>IF(A80="","",IF(COUNTIF($A$6:$A$505,A80)&gt;1,"记录ID重复",IF(COUNTIF('案件索引'!$A$6:$A$105,B80)=0,"案件ID未登记",IF(OR(C80="",D80="",F80="",G80="",H80="",I80="",J80="",K80="",M80="",N80="",Q80="",R80="",T80=""),"补对象、必要性、结果、依据或标注人",IF(AND(H80="条件必要",L80=""),"条件必要须写条件",IF(AND(R80="条件通过待执行核验",OR(M80="未知",M80="未满足",O80="",O80="未提供")),"条件或权限证据不足，退回核验","格式已填；仍须人工复核"))))))</x:f>
      </x:c>
    </x:row>
    <x:row r="81" ht="44" customHeight="1">
      <x:c r="A81" s="9"/>
      <x:c r="B81" s="9"/>
      <x:c r="C81" s="9"/>
      <x:c r="D81" s="9"/>
      <x:c r="E81" s="9"/>
      <x:c r="F81" s="9"/>
      <x:c r="G81" s="9"/>
      <x:c r="H81" s="9"/>
      <x:c r="I81" s="9"/>
      <x:c r="J81" s="9"/>
      <x:c r="K81" s="9"/>
      <x:c r="L81" s="9"/>
      <x:c r="M81" s="9"/>
      <x:c r="N81" s="9"/>
      <x:c r="O81" s="9"/>
      <x:c r="P81" s="9"/>
      <x:c r="Q81" s="9"/>
      <x:c r="R81" s="9"/>
      <x:c r="S81" s="9"/>
      <x:c r="T81" s="9"/>
      <x:c r="U81" s="9"/>
      <x:c r="V81" s="9"/>
      <x:c r="W81" s="12" t="str">
        <x:f>IF(A81="","",IF(COUNTIF($A$6:$A$505,A81)&gt;1,"记录ID重复",IF(COUNTIF('案件索引'!$A$6:$A$105,B81)=0,"案件ID未登记",IF(OR(C81="",D81="",F81="",G81="",H81="",I81="",J81="",K81="",M81="",N81="",Q81="",R81="",T81=""),"补对象、必要性、结果、依据或标注人",IF(AND(H81="条件必要",L81=""),"条件必要须写条件",IF(AND(R81="条件通过待执行核验",OR(M81="未知",M81="未满足",O81="",O81="未提供")),"条件或权限证据不足，退回核验","格式已填；仍须人工复核"))))))</x:f>
      </x:c>
    </x:row>
    <x:row r="82" ht="44" customHeight="1">
      <x:c r="A82" s="9"/>
      <x:c r="B82" s="9"/>
      <x:c r="C82" s="9"/>
      <x:c r="D82" s="9"/>
      <x:c r="E82" s="9"/>
      <x:c r="F82" s="9"/>
      <x:c r="G82" s="9"/>
      <x:c r="H82" s="9"/>
      <x:c r="I82" s="9"/>
      <x:c r="J82" s="9"/>
      <x:c r="K82" s="9"/>
      <x:c r="L82" s="9"/>
      <x:c r="M82" s="9"/>
      <x:c r="N82" s="9"/>
      <x:c r="O82" s="9"/>
      <x:c r="P82" s="9"/>
      <x:c r="Q82" s="9"/>
      <x:c r="R82" s="9"/>
      <x:c r="S82" s="9"/>
      <x:c r="T82" s="9"/>
      <x:c r="U82" s="9"/>
      <x:c r="V82" s="9"/>
      <x:c r="W82" s="12" t="str">
        <x:f>IF(A82="","",IF(COUNTIF($A$6:$A$505,A82)&gt;1,"记录ID重复",IF(COUNTIF('案件索引'!$A$6:$A$105,B82)=0,"案件ID未登记",IF(OR(C82="",D82="",F82="",G82="",H82="",I82="",J82="",K82="",M82="",N82="",Q82="",R82="",T82=""),"补对象、必要性、结果、依据或标注人",IF(AND(H82="条件必要",L82=""),"条件必要须写条件",IF(AND(R82="条件通过待执行核验",OR(M82="未知",M82="未满足",O82="",O82="未提供")),"条件或权限证据不足，退回核验","格式已填；仍须人工复核"))))))</x:f>
      </x:c>
    </x:row>
    <x:row r="83" ht="44" customHeight="1">
      <x:c r="A83" s="9"/>
      <x:c r="B83" s="9"/>
      <x:c r="C83" s="9"/>
      <x:c r="D83" s="9"/>
      <x:c r="E83" s="9"/>
      <x:c r="F83" s="9"/>
      <x:c r="G83" s="9"/>
      <x:c r="H83" s="9"/>
      <x:c r="I83" s="9"/>
      <x:c r="J83" s="9"/>
      <x:c r="K83" s="9"/>
      <x:c r="L83" s="9"/>
      <x:c r="M83" s="9"/>
      <x:c r="N83" s="9"/>
      <x:c r="O83" s="9"/>
      <x:c r="P83" s="9"/>
      <x:c r="Q83" s="9"/>
      <x:c r="R83" s="9"/>
      <x:c r="S83" s="9"/>
      <x:c r="T83" s="9"/>
      <x:c r="U83" s="9"/>
      <x:c r="V83" s="9"/>
      <x:c r="W83" s="12" t="str">
        <x:f>IF(A83="","",IF(COUNTIF($A$6:$A$505,A83)&gt;1,"记录ID重复",IF(COUNTIF('案件索引'!$A$6:$A$105,B83)=0,"案件ID未登记",IF(OR(C83="",D83="",F83="",G83="",H83="",I83="",J83="",K83="",M83="",N83="",Q83="",R83="",T83=""),"补对象、必要性、结果、依据或标注人",IF(AND(H83="条件必要",L83=""),"条件必要须写条件",IF(AND(R83="条件通过待执行核验",OR(M83="未知",M83="未满足",O83="",O83="未提供")),"条件或权限证据不足，退回核验","格式已填；仍须人工复核"))))))</x:f>
      </x:c>
    </x:row>
    <x:row r="84" ht="44" customHeight="1">
      <x:c r="A84" s="9"/>
      <x:c r="B84" s="9"/>
      <x:c r="C84" s="9"/>
      <x:c r="D84" s="9"/>
      <x:c r="E84" s="9"/>
      <x:c r="F84" s="9"/>
      <x:c r="G84" s="9"/>
      <x:c r="H84" s="9"/>
      <x:c r="I84" s="9"/>
      <x:c r="J84" s="9"/>
      <x:c r="K84" s="9"/>
      <x:c r="L84" s="9"/>
      <x:c r="M84" s="9"/>
      <x:c r="N84" s="9"/>
      <x:c r="O84" s="9"/>
      <x:c r="P84" s="9"/>
      <x:c r="Q84" s="9"/>
      <x:c r="R84" s="9"/>
      <x:c r="S84" s="9"/>
      <x:c r="T84" s="9"/>
      <x:c r="U84" s="9"/>
      <x:c r="V84" s="9"/>
      <x:c r="W84" s="12" t="str">
        <x:f>IF(A84="","",IF(COUNTIF($A$6:$A$505,A84)&gt;1,"记录ID重复",IF(COUNTIF('案件索引'!$A$6:$A$105,B84)=0,"案件ID未登记",IF(OR(C84="",D84="",F84="",G84="",H84="",I84="",J84="",K84="",M84="",N84="",Q84="",R84="",T84=""),"补对象、必要性、结果、依据或标注人",IF(AND(H84="条件必要",L84=""),"条件必要须写条件",IF(AND(R84="条件通过待执行核验",OR(M84="未知",M84="未满足",O84="",O84="未提供")),"条件或权限证据不足，退回核验","格式已填；仍须人工复核"))))))</x:f>
      </x:c>
    </x:row>
    <x:row r="85" ht="44" customHeight="1">
      <x:c r="A85" s="9"/>
      <x:c r="B85" s="9"/>
      <x:c r="C85" s="9"/>
      <x:c r="D85" s="9"/>
      <x:c r="E85" s="9"/>
      <x:c r="F85" s="9"/>
      <x:c r="G85" s="9"/>
      <x:c r="H85" s="9"/>
      <x:c r="I85" s="9"/>
      <x:c r="J85" s="9"/>
      <x:c r="K85" s="9"/>
      <x:c r="L85" s="9"/>
      <x:c r="M85" s="9"/>
      <x:c r="N85" s="9"/>
      <x:c r="O85" s="9"/>
      <x:c r="P85" s="9"/>
      <x:c r="Q85" s="9"/>
      <x:c r="R85" s="9"/>
      <x:c r="S85" s="9"/>
      <x:c r="T85" s="9"/>
      <x:c r="U85" s="9"/>
      <x:c r="V85" s="9"/>
      <x:c r="W85" s="12" t="str">
        <x:f>IF(A85="","",IF(COUNTIF($A$6:$A$505,A85)&gt;1,"记录ID重复",IF(COUNTIF('案件索引'!$A$6:$A$105,B85)=0,"案件ID未登记",IF(OR(C85="",D85="",F85="",G85="",H85="",I85="",J85="",K85="",M85="",N85="",Q85="",R85="",T85=""),"补对象、必要性、结果、依据或标注人",IF(AND(H85="条件必要",L85=""),"条件必要须写条件",IF(AND(R85="条件通过待执行核验",OR(M85="未知",M85="未满足",O85="",O85="未提供")),"条件或权限证据不足，退回核验","格式已填；仍须人工复核"))))))</x:f>
      </x:c>
    </x:row>
    <x:row r="86" ht="44" customHeight="1">
      <x:c r="A86" s="9"/>
      <x:c r="B86" s="9"/>
      <x:c r="C86" s="9"/>
      <x:c r="D86" s="9"/>
      <x:c r="E86" s="9"/>
      <x:c r="F86" s="9"/>
      <x:c r="G86" s="9"/>
      <x:c r="H86" s="9"/>
      <x:c r="I86" s="9"/>
      <x:c r="J86" s="9"/>
      <x:c r="K86" s="9"/>
      <x:c r="L86" s="9"/>
      <x:c r="M86" s="9"/>
      <x:c r="N86" s="9"/>
      <x:c r="O86" s="9"/>
      <x:c r="P86" s="9"/>
      <x:c r="Q86" s="9"/>
      <x:c r="R86" s="9"/>
      <x:c r="S86" s="9"/>
      <x:c r="T86" s="9"/>
      <x:c r="U86" s="9"/>
      <x:c r="V86" s="9"/>
      <x:c r="W86" s="12" t="str">
        <x:f>IF(A86="","",IF(COUNTIF($A$6:$A$505,A86)&gt;1,"记录ID重复",IF(COUNTIF('案件索引'!$A$6:$A$105,B86)=0,"案件ID未登记",IF(OR(C86="",D86="",F86="",G86="",H86="",I86="",J86="",K86="",M86="",N86="",Q86="",R86="",T86=""),"补对象、必要性、结果、依据或标注人",IF(AND(H86="条件必要",L86=""),"条件必要须写条件",IF(AND(R86="条件通过待执行核验",OR(M86="未知",M86="未满足",O86="",O86="未提供")),"条件或权限证据不足，退回核验","格式已填；仍须人工复核"))))))</x:f>
      </x:c>
    </x:row>
    <x:row r="87" ht="44" customHeight="1">
      <x:c r="A87" s="9"/>
      <x:c r="B87" s="9"/>
      <x:c r="C87" s="9"/>
      <x:c r="D87" s="9"/>
      <x:c r="E87" s="9"/>
      <x:c r="F87" s="9"/>
      <x:c r="G87" s="9"/>
      <x:c r="H87" s="9"/>
      <x:c r="I87" s="9"/>
      <x:c r="J87" s="9"/>
      <x:c r="K87" s="9"/>
      <x:c r="L87" s="9"/>
      <x:c r="M87" s="9"/>
      <x:c r="N87" s="9"/>
      <x:c r="O87" s="9"/>
      <x:c r="P87" s="9"/>
      <x:c r="Q87" s="9"/>
      <x:c r="R87" s="9"/>
      <x:c r="S87" s="9"/>
      <x:c r="T87" s="9"/>
      <x:c r="U87" s="9"/>
      <x:c r="V87" s="9"/>
      <x:c r="W87" s="12" t="str">
        <x:f>IF(A87="","",IF(COUNTIF($A$6:$A$505,A87)&gt;1,"记录ID重复",IF(COUNTIF('案件索引'!$A$6:$A$105,B87)=0,"案件ID未登记",IF(OR(C87="",D87="",F87="",G87="",H87="",I87="",J87="",K87="",M87="",N87="",Q87="",R87="",T87=""),"补对象、必要性、结果、依据或标注人",IF(AND(H87="条件必要",L87=""),"条件必要须写条件",IF(AND(R87="条件通过待执行核验",OR(M87="未知",M87="未满足",O87="",O87="未提供")),"条件或权限证据不足，退回核验","格式已填；仍须人工复核"))))))</x:f>
      </x:c>
    </x:row>
    <x:row r="88" ht="44" customHeight="1">
      <x:c r="A88" s="9"/>
      <x:c r="B88" s="9"/>
      <x:c r="C88" s="9"/>
      <x:c r="D88" s="9"/>
      <x:c r="E88" s="9"/>
      <x:c r="F88" s="9"/>
      <x:c r="G88" s="9"/>
      <x:c r="H88" s="9"/>
      <x:c r="I88" s="9"/>
      <x:c r="J88" s="9"/>
      <x:c r="K88" s="9"/>
      <x:c r="L88" s="9"/>
      <x:c r="M88" s="9"/>
      <x:c r="N88" s="9"/>
      <x:c r="O88" s="9"/>
      <x:c r="P88" s="9"/>
      <x:c r="Q88" s="9"/>
      <x:c r="R88" s="9"/>
      <x:c r="S88" s="9"/>
      <x:c r="T88" s="9"/>
      <x:c r="U88" s="9"/>
      <x:c r="V88" s="9"/>
      <x:c r="W88" s="12" t="str">
        <x:f>IF(A88="","",IF(COUNTIF($A$6:$A$505,A88)&gt;1,"记录ID重复",IF(COUNTIF('案件索引'!$A$6:$A$105,B88)=0,"案件ID未登记",IF(OR(C88="",D88="",F88="",G88="",H88="",I88="",J88="",K88="",M88="",N88="",Q88="",R88="",T88=""),"补对象、必要性、结果、依据或标注人",IF(AND(H88="条件必要",L88=""),"条件必要须写条件",IF(AND(R88="条件通过待执行核验",OR(M88="未知",M88="未满足",O88="",O88="未提供")),"条件或权限证据不足，退回核验","格式已填；仍须人工复核"))))))</x:f>
      </x:c>
    </x:row>
    <x:row r="89" ht="44" customHeight="1">
      <x:c r="A89" s="9"/>
      <x:c r="B89" s="9"/>
      <x:c r="C89" s="9"/>
      <x:c r="D89" s="9"/>
      <x:c r="E89" s="9"/>
      <x:c r="F89" s="9"/>
      <x:c r="G89" s="9"/>
      <x:c r="H89" s="9"/>
      <x:c r="I89" s="9"/>
      <x:c r="J89" s="9"/>
      <x:c r="K89" s="9"/>
      <x:c r="L89" s="9"/>
      <x:c r="M89" s="9"/>
      <x:c r="N89" s="9"/>
      <x:c r="O89" s="9"/>
      <x:c r="P89" s="9"/>
      <x:c r="Q89" s="9"/>
      <x:c r="R89" s="9"/>
      <x:c r="S89" s="9"/>
      <x:c r="T89" s="9"/>
      <x:c r="U89" s="9"/>
      <x:c r="V89" s="9"/>
      <x:c r="W89" s="12" t="str">
        <x:f>IF(A89="","",IF(COUNTIF($A$6:$A$505,A89)&gt;1,"记录ID重复",IF(COUNTIF('案件索引'!$A$6:$A$105,B89)=0,"案件ID未登记",IF(OR(C89="",D89="",F89="",G89="",H89="",I89="",J89="",K89="",M89="",N89="",Q89="",R89="",T89=""),"补对象、必要性、结果、依据或标注人",IF(AND(H89="条件必要",L89=""),"条件必要须写条件",IF(AND(R89="条件通过待执行核验",OR(M89="未知",M89="未满足",O89="",O89="未提供")),"条件或权限证据不足，退回核验","格式已填；仍须人工复核"))))))</x:f>
      </x:c>
    </x:row>
    <x:row r="90" ht="44" customHeight="1">
      <x:c r="A90" s="9"/>
      <x:c r="B90" s="9"/>
      <x:c r="C90" s="9"/>
      <x:c r="D90" s="9"/>
      <x:c r="E90" s="9"/>
      <x:c r="F90" s="9"/>
      <x:c r="G90" s="9"/>
      <x:c r="H90" s="9"/>
      <x:c r="I90" s="9"/>
      <x:c r="J90" s="9"/>
      <x:c r="K90" s="9"/>
      <x:c r="L90" s="9"/>
      <x:c r="M90" s="9"/>
      <x:c r="N90" s="9"/>
      <x:c r="O90" s="9"/>
      <x:c r="P90" s="9"/>
      <x:c r="Q90" s="9"/>
      <x:c r="R90" s="9"/>
      <x:c r="S90" s="9"/>
      <x:c r="T90" s="9"/>
      <x:c r="U90" s="9"/>
      <x:c r="V90" s="9"/>
      <x:c r="W90" s="12" t="str">
        <x:f>IF(A90="","",IF(COUNTIF($A$6:$A$505,A90)&gt;1,"记录ID重复",IF(COUNTIF('案件索引'!$A$6:$A$105,B90)=0,"案件ID未登记",IF(OR(C90="",D90="",F90="",G90="",H90="",I90="",J90="",K90="",M90="",N90="",Q90="",R90="",T90=""),"补对象、必要性、结果、依据或标注人",IF(AND(H90="条件必要",L90=""),"条件必要须写条件",IF(AND(R90="条件通过待执行核验",OR(M90="未知",M90="未满足",O90="",O90="未提供")),"条件或权限证据不足，退回核验","格式已填；仍须人工复核"))))))</x:f>
      </x:c>
    </x:row>
    <x:row r="91" ht="44" customHeight="1">
      <x:c r="A91" s="9"/>
      <x:c r="B91" s="9"/>
      <x:c r="C91" s="9"/>
      <x:c r="D91" s="9"/>
      <x:c r="E91" s="9"/>
      <x:c r="F91" s="9"/>
      <x:c r="G91" s="9"/>
      <x:c r="H91" s="9"/>
      <x:c r="I91" s="9"/>
      <x:c r="J91" s="9"/>
      <x:c r="K91" s="9"/>
      <x:c r="L91" s="9"/>
      <x:c r="M91" s="9"/>
      <x:c r="N91" s="9"/>
      <x:c r="O91" s="9"/>
      <x:c r="P91" s="9"/>
      <x:c r="Q91" s="9"/>
      <x:c r="R91" s="9"/>
      <x:c r="S91" s="9"/>
      <x:c r="T91" s="9"/>
      <x:c r="U91" s="9"/>
      <x:c r="V91" s="9"/>
      <x:c r="W91" s="12" t="str">
        <x:f>IF(A91="","",IF(COUNTIF($A$6:$A$505,A91)&gt;1,"记录ID重复",IF(COUNTIF('案件索引'!$A$6:$A$105,B91)=0,"案件ID未登记",IF(OR(C91="",D91="",F91="",G91="",H91="",I91="",J91="",K91="",M91="",N91="",Q91="",R91="",T91=""),"补对象、必要性、结果、依据或标注人",IF(AND(H91="条件必要",L91=""),"条件必要须写条件",IF(AND(R91="条件通过待执行核验",OR(M91="未知",M91="未满足",O91="",O91="未提供")),"条件或权限证据不足，退回核验","格式已填；仍须人工复核"))))))</x:f>
      </x:c>
    </x:row>
    <x:row r="92" ht="44" customHeight="1">
      <x:c r="A92" s="9"/>
      <x:c r="B92" s="9"/>
      <x:c r="C92" s="9"/>
      <x:c r="D92" s="9"/>
      <x:c r="E92" s="9"/>
      <x:c r="F92" s="9"/>
      <x:c r="G92" s="9"/>
      <x:c r="H92" s="9"/>
      <x:c r="I92" s="9"/>
      <x:c r="J92" s="9"/>
      <x:c r="K92" s="9"/>
      <x:c r="L92" s="9"/>
      <x:c r="M92" s="9"/>
      <x:c r="N92" s="9"/>
      <x:c r="O92" s="9"/>
      <x:c r="P92" s="9"/>
      <x:c r="Q92" s="9"/>
      <x:c r="R92" s="9"/>
      <x:c r="S92" s="9"/>
      <x:c r="T92" s="9"/>
      <x:c r="U92" s="9"/>
      <x:c r="V92" s="9"/>
      <x:c r="W92" s="12" t="str">
        <x:f>IF(A92="","",IF(COUNTIF($A$6:$A$505,A92)&gt;1,"记录ID重复",IF(COUNTIF('案件索引'!$A$6:$A$105,B92)=0,"案件ID未登记",IF(OR(C92="",D92="",F92="",G92="",H92="",I92="",J92="",K92="",M92="",N92="",Q92="",R92="",T92=""),"补对象、必要性、结果、依据或标注人",IF(AND(H92="条件必要",L92=""),"条件必要须写条件",IF(AND(R92="条件通过待执行核验",OR(M92="未知",M92="未满足",O92="",O92="未提供")),"条件或权限证据不足，退回核验","格式已填；仍须人工复核"))))))</x:f>
      </x:c>
    </x:row>
    <x:row r="93" ht="44" customHeight="1">
      <x:c r="A93" s="9"/>
      <x:c r="B93" s="9"/>
      <x:c r="C93" s="9"/>
      <x:c r="D93" s="9"/>
      <x:c r="E93" s="9"/>
      <x:c r="F93" s="9"/>
      <x:c r="G93" s="9"/>
      <x:c r="H93" s="9"/>
      <x:c r="I93" s="9"/>
      <x:c r="J93" s="9"/>
      <x:c r="K93" s="9"/>
      <x:c r="L93" s="9"/>
      <x:c r="M93" s="9"/>
      <x:c r="N93" s="9"/>
      <x:c r="O93" s="9"/>
      <x:c r="P93" s="9"/>
      <x:c r="Q93" s="9"/>
      <x:c r="R93" s="9"/>
      <x:c r="S93" s="9"/>
      <x:c r="T93" s="9"/>
      <x:c r="U93" s="9"/>
      <x:c r="V93" s="9"/>
      <x:c r="W93" s="12" t="str">
        <x:f>IF(A93="","",IF(COUNTIF($A$6:$A$505,A93)&gt;1,"记录ID重复",IF(COUNTIF('案件索引'!$A$6:$A$105,B93)=0,"案件ID未登记",IF(OR(C93="",D93="",F93="",G93="",H93="",I93="",J93="",K93="",M93="",N93="",Q93="",R93="",T93=""),"补对象、必要性、结果、依据或标注人",IF(AND(H93="条件必要",L93=""),"条件必要须写条件",IF(AND(R93="条件通过待执行核验",OR(M93="未知",M93="未满足",O93="",O93="未提供")),"条件或权限证据不足，退回核验","格式已填；仍须人工复核"))))))</x:f>
      </x:c>
    </x:row>
    <x:row r="94" ht="44" customHeight="1">
      <x:c r="A94" s="9"/>
      <x:c r="B94" s="9"/>
      <x:c r="C94" s="9"/>
      <x:c r="D94" s="9"/>
      <x:c r="E94" s="9"/>
      <x:c r="F94" s="9"/>
      <x:c r="G94" s="9"/>
      <x:c r="H94" s="9"/>
      <x:c r="I94" s="9"/>
      <x:c r="J94" s="9"/>
      <x:c r="K94" s="9"/>
      <x:c r="L94" s="9"/>
      <x:c r="M94" s="9"/>
      <x:c r="N94" s="9"/>
      <x:c r="O94" s="9"/>
      <x:c r="P94" s="9"/>
      <x:c r="Q94" s="9"/>
      <x:c r="R94" s="9"/>
      <x:c r="S94" s="9"/>
      <x:c r="T94" s="9"/>
      <x:c r="U94" s="9"/>
      <x:c r="V94" s="9"/>
      <x:c r="W94" s="12" t="str">
        <x:f>IF(A94="","",IF(COUNTIF($A$6:$A$505,A94)&gt;1,"记录ID重复",IF(COUNTIF('案件索引'!$A$6:$A$105,B94)=0,"案件ID未登记",IF(OR(C94="",D94="",F94="",G94="",H94="",I94="",J94="",K94="",M94="",N94="",Q94="",R94="",T94=""),"补对象、必要性、结果、依据或标注人",IF(AND(H94="条件必要",L94=""),"条件必要须写条件",IF(AND(R94="条件通过待执行核验",OR(M94="未知",M94="未满足",O94="",O94="未提供")),"条件或权限证据不足，退回核验","格式已填；仍须人工复核"))))))</x:f>
      </x:c>
    </x:row>
    <x:row r="95" ht="44" customHeight="1">
      <x:c r="A95" s="9"/>
      <x:c r="B95" s="9"/>
      <x:c r="C95" s="9"/>
      <x:c r="D95" s="9"/>
      <x:c r="E95" s="9"/>
      <x:c r="F95" s="9"/>
      <x:c r="G95" s="9"/>
      <x:c r="H95" s="9"/>
      <x:c r="I95" s="9"/>
      <x:c r="J95" s="9"/>
      <x:c r="K95" s="9"/>
      <x:c r="L95" s="9"/>
      <x:c r="M95" s="9"/>
      <x:c r="N95" s="9"/>
      <x:c r="O95" s="9"/>
      <x:c r="P95" s="9"/>
      <x:c r="Q95" s="9"/>
      <x:c r="R95" s="9"/>
      <x:c r="S95" s="9"/>
      <x:c r="T95" s="9"/>
      <x:c r="U95" s="9"/>
      <x:c r="V95" s="9"/>
      <x:c r="W95" s="12" t="str">
        <x:f>IF(A95="","",IF(COUNTIF($A$6:$A$505,A95)&gt;1,"记录ID重复",IF(COUNTIF('案件索引'!$A$6:$A$105,B95)=0,"案件ID未登记",IF(OR(C95="",D95="",F95="",G95="",H95="",I95="",J95="",K95="",M95="",N95="",Q95="",R95="",T95=""),"补对象、必要性、结果、依据或标注人",IF(AND(H95="条件必要",L95=""),"条件必要须写条件",IF(AND(R95="条件通过待执行核验",OR(M95="未知",M95="未满足",O95="",O95="未提供")),"条件或权限证据不足，退回核验","格式已填；仍须人工复核"))))))</x:f>
      </x:c>
    </x:row>
    <x:row r="96" ht="44" customHeight="1">
      <x:c r="A96" s="9"/>
      <x:c r="B96" s="9"/>
      <x:c r="C96" s="9"/>
      <x:c r="D96" s="9"/>
      <x:c r="E96" s="9"/>
      <x:c r="F96" s="9"/>
      <x:c r="G96" s="9"/>
      <x:c r="H96" s="9"/>
      <x:c r="I96" s="9"/>
      <x:c r="J96" s="9"/>
      <x:c r="K96" s="9"/>
      <x:c r="L96" s="9"/>
      <x:c r="M96" s="9"/>
      <x:c r="N96" s="9"/>
      <x:c r="O96" s="9"/>
      <x:c r="P96" s="9"/>
      <x:c r="Q96" s="9"/>
      <x:c r="R96" s="9"/>
      <x:c r="S96" s="9"/>
      <x:c r="T96" s="9"/>
      <x:c r="U96" s="9"/>
      <x:c r="V96" s="9"/>
      <x:c r="W96" s="12" t="str">
        <x:f>IF(A96="","",IF(COUNTIF($A$6:$A$505,A96)&gt;1,"记录ID重复",IF(COUNTIF('案件索引'!$A$6:$A$105,B96)=0,"案件ID未登记",IF(OR(C96="",D96="",F96="",G96="",H96="",I96="",J96="",K96="",M96="",N96="",Q96="",R96="",T96=""),"补对象、必要性、结果、依据或标注人",IF(AND(H96="条件必要",L96=""),"条件必要须写条件",IF(AND(R96="条件通过待执行核验",OR(M96="未知",M96="未满足",O96="",O96="未提供")),"条件或权限证据不足，退回核验","格式已填；仍须人工复核"))))))</x:f>
      </x:c>
    </x:row>
    <x:row r="97" ht="44" customHeight="1">
      <x:c r="A97" s="9"/>
      <x:c r="B97" s="9"/>
      <x:c r="C97" s="9"/>
      <x:c r="D97" s="9"/>
      <x:c r="E97" s="9"/>
      <x:c r="F97" s="9"/>
      <x:c r="G97" s="9"/>
      <x:c r="H97" s="9"/>
      <x:c r="I97" s="9"/>
      <x:c r="J97" s="9"/>
      <x:c r="K97" s="9"/>
      <x:c r="L97" s="9"/>
      <x:c r="M97" s="9"/>
      <x:c r="N97" s="9"/>
      <x:c r="O97" s="9"/>
      <x:c r="P97" s="9"/>
      <x:c r="Q97" s="9"/>
      <x:c r="R97" s="9"/>
      <x:c r="S97" s="9"/>
      <x:c r="T97" s="9"/>
      <x:c r="U97" s="9"/>
      <x:c r="V97" s="9"/>
      <x:c r="W97" s="12" t="str">
        <x:f>IF(A97="","",IF(COUNTIF($A$6:$A$505,A97)&gt;1,"记录ID重复",IF(COUNTIF('案件索引'!$A$6:$A$105,B97)=0,"案件ID未登记",IF(OR(C97="",D97="",F97="",G97="",H97="",I97="",J97="",K97="",M97="",N97="",Q97="",R97="",T97=""),"补对象、必要性、结果、依据或标注人",IF(AND(H97="条件必要",L97=""),"条件必要须写条件",IF(AND(R97="条件通过待执行核验",OR(M97="未知",M97="未满足",O97="",O97="未提供")),"条件或权限证据不足，退回核验","格式已填；仍须人工复核"))))))</x:f>
      </x:c>
    </x:row>
    <x:row r="98" ht="44" customHeight="1">
      <x:c r="A98" s="9"/>
      <x:c r="B98" s="9"/>
      <x:c r="C98" s="9"/>
      <x:c r="D98" s="9"/>
      <x:c r="E98" s="9"/>
      <x:c r="F98" s="9"/>
      <x:c r="G98" s="9"/>
      <x:c r="H98" s="9"/>
      <x:c r="I98" s="9"/>
      <x:c r="J98" s="9"/>
      <x:c r="K98" s="9"/>
      <x:c r="L98" s="9"/>
      <x:c r="M98" s="9"/>
      <x:c r="N98" s="9"/>
      <x:c r="O98" s="9"/>
      <x:c r="P98" s="9"/>
      <x:c r="Q98" s="9"/>
      <x:c r="R98" s="9"/>
      <x:c r="S98" s="9"/>
      <x:c r="T98" s="9"/>
      <x:c r="U98" s="9"/>
      <x:c r="V98" s="9"/>
      <x:c r="W98" s="12" t="str">
        <x:f>IF(A98="","",IF(COUNTIF($A$6:$A$505,A98)&gt;1,"记录ID重复",IF(COUNTIF('案件索引'!$A$6:$A$105,B98)=0,"案件ID未登记",IF(OR(C98="",D98="",F98="",G98="",H98="",I98="",J98="",K98="",M98="",N98="",Q98="",R98="",T98=""),"补对象、必要性、结果、依据或标注人",IF(AND(H98="条件必要",L98=""),"条件必要须写条件",IF(AND(R98="条件通过待执行核验",OR(M98="未知",M98="未满足",O98="",O98="未提供")),"条件或权限证据不足，退回核验","格式已填；仍须人工复核"))))))</x:f>
      </x:c>
    </x:row>
    <x:row r="99" ht="44" customHeight="1">
      <x:c r="A99" s="9"/>
      <x:c r="B99" s="9"/>
      <x:c r="C99" s="9"/>
      <x:c r="D99" s="9"/>
      <x:c r="E99" s="9"/>
      <x:c r="F99" s="9"/>
      <x:c r="G99" s="9"/>
      <x:c r="H99" s="9"/>
      <x:c r="I99" s="9"/>
      <x:c r="J99" s="9"/>
      <x:c r="K99" s="9"/>
      <x:c r="L99" s="9"/>
      <x:c r="M99" s="9"/>
      <x:c r="N99" s="9"/>
      <x:c r="O99" s="9"/>
      <x:c r="P99" s="9"/>
      <x:c r="Q99" s="9"/>
      <x:c r="R99" s="9"/>
      <x:c r="S99" s="9"/>
      <x:c r="T99" s="9"/>
      <x:c r="U99" s="9"/>
      <x:c r="V99" s="9"/>
      <x:c r="W99" s="12" t="str">
        <x:f>IF(A99="","",IF(COUNTIF($A$6:$A$505,A99)&gt;1,"记录ID重复",IF(COUNTIF('案件索引'!$A$6:$A$105,B99)=0,"案件ID未登记",IF(OR(C99="",D99="",F99="",G99="",H99="",I99="",J99="",K99="",M99="",N99="",Q99="",R99="",T99=""),"补对象、必要性、结果、依据或标注人",IF(AND(H99="条件必要",L99=""),"条件必要须写条件",IF(AND(R99="条件通过待执行核验",OR(M99="未知",M99="未满足",O99="",O99="未提供")),"条件或权限证据不足，退回核验","格式已填；仍须人工复核"))))))</x:f>
      </x:c>
    </x:row>
    <x:row r="100" ht="44" customHeight="1">
      <x:c r="A100" s="9"/>
      <x:c r="B100" s="9"/>
      <x:c r="C100" s="9"/>
      <x:c r="D100" s="9"/>
      <x:c r="E100" s="9"/>
      <x:c r="F100" s="9"/>
      <x:c r="G100" s="9"/>
      <x:c r="H100" s="9"/>
      <x:c r="I100" s="9"/>
      <x:c r="J100" s="9"/>
      <x:c r="K100" s="9"/>
      <x:c r="L100" s="9"/>
      <x:c r="M100" s="9"/>
      <x:c r="N100" s="9"/>
      <x:c r="O100" s="9"/>
      <x:c r="P100" s="9"/>
      <x:c r="Q100" s="9"/>
      <x:c r="R100" s="9"/>
      <x:c r="S100" s="9"/>
      <x:c r="T100" s="9"/>
      <x:c r="U100" s="9"/>
      <x:c r="V100" s="9"/>
      <x:c r="W100" s="12" t="str">
        <x:f>IF(A100="","",IF(COUNTIF($A$6:$A$505,A100)&gt;1,"记录ID重复",IF(COUNTIF('案件索引'!$A$6:$A$105,B100)=0,"案件ID未登记",IF(OR(C100="",D100="",F100="",G100="",H100="",I100="",J100="",K100="",M100="",N100="",Q100="",R100="",T100=""),"补对象、必要性、结果、依据或标注人",IF(AND(H100="条件必要",L100=""),"条件必要须写条件",IF(AND(R100="条件通过待执行核验",OR(M100="未知",M100="未满足",O100="",O100="未提供")),"条件或权限证据不足，退回核验","格式已填；仍须人工复核"))))))</x:f>
      </x:c>
    </x:row>
    <x:row r="101" ht="44" customHeight="1">
      <x:c r="A101" s="9"/>
      <x:c r="B101" s="9"/>
      <x:c r="C101" s="9"/>
      <x:c r="D101" s="9"/>
      <x:c r="E101" s="9"/>
      <x:c r="F101" s="9"/>
      <x:c r="G101" s="9"/>
      <x:c r="H101" s="9"/>
      <x:c r="I101" s="9"/>
      <x:c r="J101" s="9"/>
      <x:c r="K101" s="9"/>
      <x:c r="L101" s="9"/>
      <x:c r="M101" s="9"/>
      <x:c r="N101" s="9"/>
      <x:c r="O101" s="9"/>
      <x:c r="P101" s="9"/>
      <x:c r="Q101" s="9"/>
      <x:c r="R101" s="9"/>
      <x:c r="S101" s="9"/>
      <x:c r="T101" s="9"/>
      <x:c r="U101" s="9"/>
      <x:c r="V101" s="9"/>
      <x:c r="W101" s="12" t="str">
        <x:f>IF(A101="","",IF(COUNTIF($A$6:$A$505,A101)&gt;1,"记录ID重复",IF(COUNTIF('案件索引'!$A$6:$A$105,B101)=0,"案件ID未登记",IF(OR(C101="",D101="",F101="",G101="",H101="",I101="",J101="",K101="",M101="",N101="",Q101="",R101="",T101=""),"补对象、必要性、结果、依据或标注人",IF(AND(H101="条件必要",L101=""),"条件必要须写条件",IF(AND(R101="条件通过待执行核验",OR(M101="未知",M101="未满足",O101="",O101="未提供")),"条件或权限证据不足，退回核验","格式已填；仍须人工复核"))))))</x:f>
      </x:c>
    </x:row>
    <x:row r="102" ht="44" customHeight="1">
      <x:c r="A102" s="9"/>
      <x:c r="B102" s="9"/>
      <x:c r="C102" s="9"/>
      <x:c r="D102" s="9"/>
      <x:c r="E102" s="9"/>
      <x:c r="F102" s="9"/>
      <x:c r="G102" s="9"/>
      <x:c r="H102" s="9"/>
      <x:c r="I102" s="9"/>
      <x:c r="J102" s="9"/>
      <x:c r="K102" s="9"/>
      <x:c r="L102" s="9"/>
      <x:c r="M102" s="9"/>
      <x:c r="N102" s="9"/>
      <x:c r="O102" s="9"/>
      <x:c r="P102" s="9"/>
      <x:c r="Q102" s="9"/>
      <x:c r="R102" s="9"/>
      <x:c r="S102" s="9"/>
      <x:c r="T102" s="9"/>
      <x:c r="U102" s="9"/>
      <x:c r="V102" s="9"/>
      <x:c r="W102" s="12" t="str">
        <x:f>IF(A102="","",IF(COUNTIF($A$6:$A$505,A102)&gt;1,"记录ID重复",IF(COUNTIF('案件索引'!$A$6:$A$105,B102)=0,"案件ID未登记",IF(OR(C102="",D102="",F102="",G102="",H102="",I102="",J102="",K102="",M102="",N102="",Q102="",R102="",T102=""),"补对象、必要性、结果、依据或标注人",IF(AND(H102="条件必要",L102=""),"条件必要须写条件",IF(AND(R102="条件通过待执行核验",OR(M102="未知",M102="未满足",O102="",O102="未提供")),"条件或权限证据不足，退回核验","格式已填；仍须人工复核"))))))</x:f>
      </x:c>
    </x:row>
    <x:row r="103" ht="44" customHeight="1">
      <x:c r="A103" s="9"/>
      <x:c r="B103" s="9"/>
      <x:c r="C103" s="9"/>
      <x:c r="D103" s="9"/>
      <x:c r="E103" s="9"/>
      <x:c r="F103" s="9"/>
      <x:c r="G103" s="9"/>
      <x:c r="H103" s="9"/>
      <x:c r="I103" s="9"/>
      <x:c r="J103" s="9"/>
      <x:c r="K103" s="9"/>
      <x:c r="L103" s="9"/>
      <x:c r="M103" s="9"/>
      <x:c r="N103" s="9"/>
      <x:c r="O103" s="9"/>
      <x:c r="P103" s="9"/>
      <x:c r="Q103" s="9"/>
      <x:c r="R103" s="9"/>
      <x:c r="S103" s="9"/>
      <x:c r="T103" s="9"/>
      <x:c r="U103" s="9"/>
      <x:c r="V103" s="9"/>
      <x:c r="W103" s="12" t="str">
        <x:f>IF(A103="","",IF(COUNTIF($A$6:$A$505,A103)&gt;1,"记录ID重复",IF(COUNTIF('案件索引'!$A$6:$A$105,B103)=0,"案件ID未登记",IF(OR(C103="",D103="",F103="",G103="",H103="",I103="",J103="",K103="",M103="",N103="",Q103="",R103="",T103=""),"补对象、必要性、结果、依据或标注人",IF(AND(H103="条件必要",L103=""),"条件必要须写条件",IF(AND(R103="条件通过待执行核验",OR(M103="未知",M103="未满足",O103="",O103="未提供")),"条件或权限证据不足，退回核验","格式已填；仍须人工复核"))))))</x:f>
      </x:c>
    </x:row>
    <x:row r="104" ht="44" customHeight="1">
      <x:c r="A104" s="9"/>
      <x:c r="B104" s="9"/>
      <x:c r="C104" s="9"/>
      <x:c r="D104" s="9"/>
      <x:c r="E104" s="9"/>
      <x:c r="F104" s="9"/>
      <x:c r="G104" s="9"/>
      <x:c r="H104" s="9"/>
      <x:c r="I104" s="9"/>
      <x:c r="J104" s="9"/>
      <x:c r="K104" s="9"/>
      <x:c r="L104" s="9"/>
      <x:c r="M104" s="9"/>
      <x:c r="N104" s="9"/>
      <x:c r="O104" s="9"/>
      <x:c r="P104" s="9"/>
      <x:c r="Q104" s="9"/>
      <x:c r="R104" s="9"/>
      <x:c r="S104" s="9"/>
      <x:c r="T104" s="9"/>
      <x:c r="U104" s="9"/>
      <x:c r="V104" s="9"/>
      <x:c r="W104" s="12" t="str">
        <x:f>IF(A104="","",IF(COUNTIF($A$6:$A$505,A104)&gt;1,"记录ID重复",IF(COUNTIF('案件索引'!$A$6:$A$105,B104)=0,"案件ID未登记",IF(OR(C104="",D104="",F104="",G104="",H104="",I104="",J104="",K104="",M104="",N104="",Q104="",R104="",T104=""),"补对象、必要性、结果、依据或标注人",IF(AND(H104="条件必要",L104=""),"条件必要须写条件",IF(AND(R104="条件通过待执行核验",OR(M104="未知",M104="未满足",O104="",O104="未提供")),"条件或权限证据不足，退回核验","格式已填；仍须人工复核"))))))</x:f>
      </x:c>
    </x:row>
    <x:row r="105" ht="44" customHeight="1">
      <x:c r="A105" s="9"/>
      <x:c r="B105" s="9"/>
      <x:c r="C105" s="9"/>
      <x:c r="D105" s="9"/>
      <x:c r="E105" s="9"/>
      <x:c r="F105" s="9"/>
      <x:c r="G105" s="9"/>
      <x:c r="H105" s="9"/>
      <x:c r="I105" s="9"/>
      <x:c r="J105" s="9"/>
      <x:c r="K105" s="9"/>
      <x:c r="L105" s="9"/>
      <x:c r="M105" s="9"/>
      <x:c r="N105" s="9"/>
      <x:c r="O105" s="9"/>
      <x:c r="P105" s="9"/>
      <x:c r="Q105" s="9"/>
      <x:c r="R105" s="9"/>
      <x:c r="S105" s="9"/>
      <x:c r="T105" s="9"/>
      <x:c r="U105" s="9"/>
      <x:c r="V105" s="9"/>
      <x:c r="W105" s="12" t="str">
        <x:f>IF(A105="","",IF(COUNTIF($A$6:$A$505,A105)&gt;1,"记录ID重复",IF(COUNTIF('案件索引'!$A$6:$A$105,B105)=0,"案件ID未登记",IF(OR(C105="",D105="",F105="",G105="",H105="",I105="",J105="",K105="",M105="",N105="",Q105="",R105="",T105=""),"补对象、必要性、结果、依据或标注人",IF(AND(H105="条件必要",L105=""),"条件必要须写条件",IF(AND(R105="条件通过待执行核验",OR(M105="未知",M105="未满足",O105="",O105="未提供")),"条件或权限证据不足，退回核验","格式已填；仍须人工复核"))))))</x:f>
      </x:c>
    </x:row>
    <x:row r="106" ht="44" customHeight="1">
      <x:c r="A106" s="9"/>
      <x:c r="B106" s="9"/>
      <x:c r="C106" s="9"/>
      <x:c r="D106" s="9"/>
      <x:c r="E106" s="9"/>
      <x:c r="F106" s="9"/>
      <x:c r="G106" s="9"/>
      <x:c r="H106" s="9"/>
      <x:c r="I106" s="9"/>
      <x:c r="J106" s="9"/>
      <x:c r="K106" s="9"/>
      <x:c r="L106" s="9"/>
      <x:c r="M106" s="9"/>
      <x:c r="N106" s="9"/>
      <x:c r="O106" s="9"/>
      <x:c r="P106" s="9"/>
      <x:c r="Q106" s="9"/>
      <x:c r="R106" s="9"/>
      <x:c r="S106" s="9"/>
      <x:c r="T106" s="9"/>
      <x:c r="U106" s="9"/>
      <x:c r="V106" s="9"/>
      <x:c r="W106" s="12" t="str">
        <x:f>IF(A106="","",IF(COUNTIF($A$6:$A$505,A106)&gt;1,"记录ID重复",IF(COUNTIF('案件索引'!$A$6:$A$105,B106)=0,"案件ID未登记",IF(OR(C106="",D106="",F106="",G106="",H106="",I106="",J106="",K106="",M106="",N106="",Q106="",R106="",T106=""),"补对象、必要性、结果、依据或标注人",IF(AND(H106="条件必要",L106=""),"条件必要须写条件",IF(AND(R106="条件通过待执行核验",OR(M106="未知",M106="未满足",O106="",O106="未提供")),"条件或权限证据不足，退回核验","格式已填；仍须人工复核"))))))</x:f>
      </x:c>
    </x:row>
    <x:row r="107" ht="44" customHeight="1">
      <x:c r="A107" s="9"/>
      <x:c r="B107" s="9"/>
      <x:c r="C107" s="9"/>
      <x:c r="D107" s="9"/>
      <x:c r="E107" s="9"/>
      <x:c r="F107" s="9"/>
      <x:c r="G107" s="9"/>
      <x:c r="H107" s="9"/>
      <x:c r="I107" s="9"/>
      <x:c r="J107" s="9"/>
      <x:c r="K107" s="9"/>
      <x:c r="L107" s="9"/>
      <x:c r="M107" s="9"/>
      <x:c r="N107" s="9"/>
      <x:c r="O107" s="9"/>
      <x:c r="P107" s="9"/>
      <x:c r="Q107" s="9"/>
      <x:c r="R107" s="9"/>
      <x:c r="S107" s="9"/>
      <x:c r="T107" s="9"/>
      <x:c r="U107" s="9"/>
      <x:c r="V107" s="9"/>
      <x:c r="W107" s="12" t="str">
        <x:f>IF(A107="","",IF(COUNTIF($A$6:$A$505,A107)&gt;1,"记录ID重复",IF(COUNTIF('案件索引'!$A$6:$A$105,B107)=0,"案件ID未登记",IF(OR(C107="",D107="",F107="",G107="",H107="",I107="",J107="",K107="",M107="",N107="",Q107="",R107="",T107=""),"补对象、必要性、结果、依据或标注人",IF(AND(H107="条件必要",L107=""),"条件必要须写条件",IF(AND(R107="条件通过待执行核验",OR(M107="未知",M107="未满足",O107="",O107="未提供")),"条件或权限证据不足，退回核验","格式已填；仍须人工复核"))))))</x:f>
      </x:c>
    </x:row>
    <x:row r="108" ht="44" customHeight="1">
      <x:c r="A108" s="9"/>
      <x:c r="B108" s="9"/>
      <x:c r="C108" s="9"/>
      <x:c r="D108" s="9"/>
      <x:c r="E108" s="9"/>
      <x:c r="F108" s="9"/>
      <x:c r="G108" s="9"/>
      <x:c r="H108" s="9"/>
      <x:c r="I108" s="9"/>
      <x:c r="J108" s="9"/>
      <x:c r="K108" s="9"/>
      <x:c r="L108" s="9"/>
      <x:c r="M108" s="9"/>
      <x:c r="N108" s="9"/>
      <x:c r="O108" s="9"/>
      <x:c r="P108" s="9"/>
      <x:c r="Q108" s="9"/>
      <x:c r="R108" s="9"/>
      <x:c r="S108" s="9"/>
      <x:c r="T108" s="9"/>
      <x:c r="U108" s="9"/>
      <x:c r="V108" s="9"/>
      <x:c r="W108" s="12" t="str">
        <x:f>IF(A108="","",IF(COUNTIF($A$6:$A$505,A108)&gt;1,"记录ID重复",IF(COUNTIF('案件索引'!$A$6:$A$105,B108)=0,"案件ID未登记",IF(OR(C108="",D108="",F108="",G108="",H108="",I108="",J108="",K108="",M108="",N108="",Q108="",R108="",T108=""),"补对象、必要性、结果、依据或标注人",IF(AND(H108="条件必要",L108=""),"条件必要须写条件",IF(AND(R108="条件通过待执行核验",OR(M108="未知",M108="未满足",O108="",O108="未提供")),"条件或权限证据不足，退回核验","格式已填；仍须人工复核"))))))</x:f>
      </x:c>
    </x:row>
    <x:row r="109" ht="44" customHeight="1">
      <x:c r="A109" s="9"/>
      <x:c r="B109" s="9"/>
      <x:c r="C109" s="9"/>
      <x:c r="D109" s="9"/>
      <x:c r="E109" s="9"/>
      <x:c r="F109" s="9"/>
      <x:c r="G109" s="9"/>
      <x:c r="H109" s="9"/>
      <x:c r="I109" s="9"/>
      <x:c r="J109" s="9"/>
      <x:c r="K109" s="9"/>
      <x:c r="L109" s="9"/>
      <x:c r="M109" s="9"/>
      <x:c r="N109" s="9"/>
      <x:c r="O109" s="9"/>
      <x:c r="P109" s="9"/>
      <x:c r="Q109" s="9"/>
      <x:c r="R109" s="9"/>
      <x:c r="S109" s="9"/>
      <x:c r="T109" s="9"/>
      <x:c r="U109" s="9"/>
      <x:c r="V109" s="9"/>
      <x:c r="W109" s="12" t="str">
        <x:f>IF(A109="","",IF(COUNTIF($A$6:$A$505,A109)&gt;1,"记录ID重复",IF(COUNTIF('案件索引'!$A$6:$A$105,B109)=0,"案件ID未登记",IF(OR(C109="",D109="",F109="",G109="",H109="",I109="",J109="",K109="",M109="",N109="",Q109="",R109="",T109=""),"补对象、必要性、结果、依据或标注人",IF(AND(H109="条件必要",L109=""),"条件必要须写条件",IF(AND(R109="条件通过待执行核验",OR(M109="未知",M109="未满足",O109="",O109="未提供")),"条件或权限证据不足，退回核验","格式已填；仍须人工复核"))))))</x:f>
      </x:c>
    </x:row>
    <x:row r="110" ht="44" customHeight="1">
      <x:c r="A110" s="9"/>
      <x:c r="B110" s="9"/>
      <x:c r="C110" s="9"/>
      <x:c r="D110" s="9"/>
      <x:c r="E110" s="9"/>
      <x:c r="F110" s="9"/>
      <x:c r="G110" s="9"/>
      <x:c r="H110" s="9"/>
      <x:c r="I110" s="9"/>
      <x:c r="J110" s="9"/>
      <x:c r="K110" s="9"/>
      <x:c r="L110" s="9"/>
      <x:c r="M110" s="9"/>
      <x:c r="N110" s="9"/>
      <x:c r="O110" s="9"/>
      <x:c r="P110" s="9"/>
      <x:c r="Q110" s="9"/>
      <x:c r="R110" s="9"/>
      <x:c r="S110" s="9"/>
      <x:c r="T110" s="9"/>
      <x:c r="U110" s="9"/>
      <x:c r="V110" s="9"/>
      <x:c r="W110" s="12" t="str">
        <x:f>IF(A110="","",IF(COUNTIF($A$6:$A$505,A110)&gt;1,"记录ID重复",IF(COUNTIF('案件索引'!$A$6:$A$105,B110)=0,"案件ID未登记",IF(OR(C110="",D110="",F110="",G110="",H110="",I110="",J110="",K110="",M110="",N110="",Q110="",R110="",T110=""),"补对象、必要性、结果、依据或标注人",IF(AND(H110="条件必要",L110=""),"条件必要须写条件",IF(AND(R110="条件通过待执行核验",OR(M110="未知",M110="未满足",O110="",O110="未提供")),"条件或权限证据不足，退回核验","格式已填；仍须人工复核"))))))</x:f>
      </x:c>
    </x:row>
    <x:row r="111" ht="44" customHeight="1">
      <x:c r="A111" s="9"/>
      <x:c r="B111" s="9"/>
      <x:c r="C111" s="9"/>
      <x:c r="D111" s="9"/>
      <x:c r="E111" s="9"/>
      <x:c r="F111" s="9"/>
      <x:c r="G111" s="9"/>
      <x:c r="H111" s="9"/>
      <x:c r="I111" s="9"/>
      <x:c r="J111" s="9"/>
      <x:c r="K111" s="9"/>
      <x:c r="L111" s="9"/>
      <x:c r="M111" s="9"/>
      <x:c r="N111" s="9"/>
      <x:c r="O111" s="9"/>
      <x:c r="P111" s="9"/>
      <x:c r="Q111" s="9"/>
      <x:c r="R111" s="9"/>
      <x:c r="S111" s="9"/>
      <x:c r="T111" s="9"/>
      <x:c r="U111" s="9"/>
      <x:c r="V111" s="9"/>
      <x:c r="W111" s="12" t="str">
        <x:f>IF(A111="","",IF(COUNTIF($A$6:$A$505,A111)&gt;1,"记录ID重复",IF(COUNTIF('案件索引'!$A$6:$A$105,B111)=0,"案件ID未登记",IF(OR(C111="",D111="",F111="",G111="",H111="",I111="",J111="",K111="",M111="",N111="",Q111="",R111="",T111=""),"补对象、必要性、结果、依据或标注人",IF(AND(H111="条件必要",L111=""),"条件必要须写条件",IF(AND(R111="条件通过待执行核验",OR(M111="未知",M111="未满足",O111="",O111="未提供")),"条件或权限证据不足，退回核验","格式已填；仍须人工复核"))))))</x:f>
      </x:c>
    </x:row>
    <x:row r="112" ht="44" customHeight="1">
      <x:c r="A112" s="9"/>
      <x:c r="B112" s="9"/>
      <x:c r="C112" s="9"/>
      <x:c r="D112" s="9"/>
      <x:c r="E112" s="9"/>
      <x:c r="F112" s="9"/>
      <x:c r="G112" s="9"/>
      <x:c r="H112" s="9"/>
      <x:c r="I112" s="9"/>
      <x:c r="J112" s="9"/>
      <x:c r="K112" s="9"/>
      <x:c r="L112" s="9"/>
      <x:c r="M112" s="9"/>
      <x:c r="N112" s="9"/>
      <x:c r="O112" s="9"/>
      <x:c r="P112" s="9"/>
      <x:c r="Q112" s="9"/>
      <x:c r="R112" s="9"/>
      <x:c r="S112" s="9"/>
      <x:c r="T112" s="9"/>
      <x:c r="U112" s="9"/>
      <x:c r="V112" s="9"/>
      <x:c r="W112" s="12" t="str">
        <x:f>IF(A112="","",IF(COUNTIF($A$6:$A$505,A112)&gt;1,"记录ID重复",IF(COUNTIF('案件索引'!$A$6:$A$105,B112)=0,"案件ID未登记",IF(OR(C112="",D112="",F112="",G112="",H112="",I112="",J112="",K112="",M112="",N112="",Q112="",R112="",T112=""),"补对象、必要性、结果、依据或标注人",IF(AND(H112="条件必要",L112=""),"条件必要须写条件",IF(AND(R112="条件通过待执行核验",OR(M112="未知",M112="未满足",O112="",O112="未提供")),"条件或权限证据不足，退回核验","格式已填；仍须人工复核"))))))</x:f>
      </x:c>
    </x:row>
    <x:row r="113" ht="44" customHeight="1">
      <x:c r="A113" s="9"/>
      <x:c r="B113" s="9"/>
      <x:c r="C113" s="9"/>
      <x:c r="D113" s="9"/>
      <x:c r="E113" s="9"/>
      <x:c r="F113" s="9"/>
      <x:c r="G113" s="9"/>
      <x:c r="H113" s="9"/>
      <x:c r="I113" s="9"/>
      <x:c r="J113" s="9"/>
      <x:c r="K113" s="9"/>
      <x:c r="L113" s="9"/>
      <x:c r="M113" s="9"/>
      <x:c r="N113" s="9"/>
      <x:c r="O113" s="9"/>
      <x:c r="P113" s="9"/>
      <x:c r="Q113" s="9"/>
      <x:c r="R113" s="9"/>
      <x:c r="S113" s="9"/>
      <x:c r="T113" s="9"/>
      <x:c r="U113" s="9"/>
      <x:c r="V113" s="9"/>
      <x:c r="W113" s="12" t="str">
        <x:f>IF(A113="","",IF(COUNTIF($A$6:$A$505,A113)&gt;1,"记录ID重复",IF(COUNTIF('案件索引'!$A$6:$A$105,B113)=0,"案件ID未登记",IF(OR(C113="",D113="",F113="",G113="",H113="",I113="",J113="",K113="",M113="",N113="",Q113="",R113="",T113=""),"补对象、必要性、结果、依据或标注人",IF(AND(H113="条件必要",L113=""),"条件必要须写条件",IF(AND(R113="条件通过待执行核验",OR(M113="未知",M113="未满足",O113="",O113="未提供")),"条件或权限证据不足，退回核验","格式已填；仍须人工复核"))))))</x:f>
      </x:c>
    </x:row>
    <x:row r="114" ht="44" customHeight="1">
      <x:c r="A114" s="9"/>
      <x:c r="B114" s="9"/>
      <x:c r="C114" s="9"/>
      <x:c r="D114" s="9"/>
      <x:c r="E114" s="9"/>
      <x:c r="F114" s="9"/>
      <x:c r="G114" s="9"/>
      <x:c r="H114" s="9"/>
      <x:c r="I114" s="9"/>
      <x:c r="J114" s="9"/>
      <x:c r="K114" s="9"/>
      <x:c r="L114" s="9"/>
      <x:c r="M114" s="9"/>
      <x:c r="N114" s="9"/>
      <x:c r="O114" s="9"/>
      <x:c r="P114" s="9"/>
      <x:c r="Q114" s="9"/>
      <x:c r="R114" s="9"/>
      <x:c r="S114" s="9"/>
      <x:c r="T114" s="9"/>
      <x:c r="U114" s="9"/>
      <x:c r="V114" s="9"/>
      <x:c r="W114" s="12" t="str">
        <x:f>IF(A114="","",IF(COUNTIF($A$6:$A$505,A114)&gt;1,"记录ID重复",IF(COUNTIF('案件索引'!$A$6:$A$105,B114)=0,"案件ID未登记",IF(OR(C114="",D114="",F114="",G114="",H114="",I114="",J114="",K114="",M114="",N114="",Q114="",R114="",T114=""),"补对象、必要性、结果、依据或标注人",IF(AND(H114="条件必要",L114=""),"条件必要须写条件",IF(AND(R114="条件通过待执行核验",OR(M114="未知",M114="未满足",O114="",O114="未提供")),"条件或权限证据不足，退回核验","格式已填；仍须人工复核"))))))</x:f>
      </x:c>
    </x:row>
    <x:row r="115" ht="44" customHeight="1">
      <x:c r="A115" s="9"/>
      <x:c r="B115" s="9"/>
      <x:c r="C115" s="9"/>
      <x:c r="D115" s="9"/>
      <x:c r="E115" s="9"/>
      <x:c r="F115" s="9"/>
      <x:c r="G115" s="9"/>
      <x:c r="H115" s="9"/>
      <x:c r="I115" s="9"/>
      <x:c r="J115" s="9"/>
      <x:c r="K115" s="9"/>
      <x:c r="L115" s="9"/>
      <x:c r="M115" s="9"/>
      <x:c r="N115" s="9"/>
      <x:c r="O115" s="9"/>
      <x:c r="P115" s="9"/>
      <x:c r="Q115" s="9"/>
      <x:c r="R115" s="9"/>
      <x:c r="S115" s="9"/>
      <x:c r="T115" s="9"/>
      <x:c r="U115" s="9"/>
      <x:c r="V115" s="9"/>
      <x:c r="W115" s="12" t="str">
        <x:f>IF(A115="","",IF(COUNTIF($A$6:$A$505,A115)&gt;1,"记录ID重复",IF(COUNTIF('案件索引'!$A$6:$A$105,B115)=0,"案件ID未登记",IF(OR(C115="",D115="",F115="",G115="",H115="",I115="",J115="",K115="",M115="",N115="",Q115="",R115="",T115=""),"补对象、必要性、结果、依据或标注人",IF(AND(H115="条件必要",L115=""),"条件必要须写条件",IF(AND(R115="条件通过待执行核验",OR(M115="未知",M115="未满足",O115="",O115="未提供")),"条件或权限证据不足，退回核验","格式已填；仍须人工复核"))))))</x:f>
      </x:c>
    </x:row>
    <x:row r="116" ht="44" customHeight="1">
      <x:c r="A116" s="9"/>
      <x:c r="B116" s="9"/>
      <x:c r="C116" s="9"/>
      <x:c r="D116" s="9"/>
      <x:c r="E116" s="9"/>
      <x:c r="F116" s="9"/>
      <x:c r="G116" s="9"/>
      <x:c r="H116" s="9"/>
      <x:c r="I116" s="9"/>
      <x:c r="J116" s="9"/>
      <x:c r="K116" s="9"/>
      <x:c r="L116" s="9"/>
      <x:c r="M116" s="9"/>
      <x:c r="N116" s="9"/>
      <x:c r="O116" s="9"/>
      <x:c r="P116" s="9"/>
      <x:c r="Q116" s="9"/>
      <x:c r="R116" s="9"/>
      <x:c r="S116" s="9"/>
      <x:c r="T116" s="9"/>
      <x:c r="U116" s="9"/>
      <x:c r="V116" s="9"/>
      <x:c r="W116" s="12" t="str">
        <x:f>IF(A116="","",IF(COUNTIF($A$6:$A$505,A116)&gt;1,"记录ID重复",IF(COUNTIF('案件索引'!$A$6:$A$105,B116)=0,"案件ID未登记",IF(OR(C116="",D116="",F116="",G116="",H116="",I116="",J116="",K116="",M116="",N116="",Q116="",R116="",T116=""),"补对象、必要性、结果、依据或标注人",IF(AND(H116="条件必要",L116=""),"条件必要须写条件",IF(AND(R116="条件通过待执行核验",OR(M116="未知",M116="未满足",O116="",O116="未提供")),"条件或权限证据不足，退回核验","格式已填；仍须人工复核"))))))</x:f>
      </x:c>
    </x:row>
    <x:row r="117" ht="44" customHeight="1">
      <x:c r="A117" s="9"/>
      <x:c r="B117" s="9"/>
      <x:c r="C117" s="9"/>
      <x:c r="D117" s="9"/>
      <x:c r="E117" s="9"/>
      <x:c r="F117" s="9"/>
      <x:c r="G117" s="9"/>
      <x:c r="H117" s="9"/>
      <x:c r="I117" s="9"/>
      <x:c r="J117" s="9"/>
      <x:c r="K117" s="9"/>
      <x:c r="L117" s="9"/>
      <x:c r="M117" s="9"/>
      <x:c r="N117" s="9"/>
      <x:c r="O117" s="9"/>
      <x:c r="P117" s="9"/>
      <x:c r="Q117" s="9"/>
      <x:c r="R117" s="9"/>
      <x:c r="S117" s="9"/>
      <x:c r="T117" s="9"/>
      <x:c r="U117" s="9"/>
      <x:c r="V117" s="9"/>
      <x:c r="W117" s="12" t="str">
        <x:f>IF(A117="","",IF(COUNTIF($A$6:$A$505,A117)&gt;1,"记录ID重复",IF(COUNTIF('案件索引'!$A$6:$A$105,B117)=0,"案件ID未登记",IF(OR(C117="",D117="",F117="",G117="",H117="",I117="",J117="",K117="",M117="",N117="",Q117="",R117="",T117=""),"补对象、必要性、结果、依据或标注人",IF(AND(H117="条件必要",L117=""),"条件必要须写条件",IF(AND(R117="条件通过待执行核验",OR(M117="未知",M117="未满足",O117="",O117="未提供")),"条件或权限证据不足，退回核验","格式已填；仍须人工复核"))))))</x:f>
      </x:c>
    </x:row>
    <x:row r="118" ht="44" customHeight="1">
      <x:c r="A118" s="9"/>
      <x:c r="B118" s="9"/>
      <x:c r="C118" s="9"/>
      <x:c r="D118" s="9"/>
      <x:c r="E118" s="9"/>
      <x:c r="F118" s="9"/>
      <x:c r="G118" s="9"/>
      <x:c r="H118" s="9"/>
      <x:c r="I118" s="9"/>
      <x:c r="J118" s="9"/>
      <x:c r="K118" s="9"/>
      <x:c r="L118" s="9"/>
      <x:c r="M118" s="9"/>
      <x:c r="N118" s="9"/>
      <x:c r="O118" s="9"/>
      <x:c r="P118" s="9"/>
      <x:c r="Q118" s="9"/>
      <x:c r="R118" s="9"/>
      <x:c r="S118" s="9"/>
      <x:c r="T118" s="9"/>
      <x:c r="U118" s="9"/>
      <x:c r="V118" s="9"/>
      <x:c r="W118" s="12" t="str">
        <x:f>IF(A118="","",IF(COUNTIF($A$6:$A$505,A118)&gt;1,"记录ID重复",IF(COUNTIF('案件索引'!$A$6:$A$105,B118)=0,"案件ID未登记",IF(OR(C118="",D118="",F118="",G118="",H118="",I118="",J118="",K118="",M118="",N118="",Q118="",R118="",T118=""),"补对象、必要性、结果、依据或标注人",IF(AND(H118="条件必要",L118=""),"条件必要须写条件",IF(AND(R118="条件通过待执行核验",OR(M118="未知",M118="未满足",O118="",O118="未提供")),"条件或权限证据不足，退回核验","格式已填；仍须人工复核"))))))</x:f>
      </x:c>
    </x:row>
    <x:row r="119" ht="44" customHeight="1">
      <x:c r="A119" s="9"/>
      <x:c r="B119" s="9"/>
      <x:c r="C119" s="9"/>
      <x:c r="D119" s="9"/>
      <x:c r="E119" s="9"/>
      <x:c r="F119" s="9"/>
      <x:c r="G119" s="9"/>
      <x:c r="H119" s="9"/>
      <x:c r="I119" s="9"/>
      <x:c r="J119" s="9"/>
      <x:c r="K119" s="9"/>
      <x:c r="L119" s="9"/>
      <x:c r="M119" s="9"/>
      <x:c r="N119" s="9"/>
      <x:c r="O119" s="9"/>
      <x:c r="P119" s="9"/>
      <x:c r="Q119" s="9"/>
      <x:c r="R119" s="9"/>
      <x:c r="S119" s="9"/>
      <x:c r="T119" s="9"/>
      <x:c r="U119" s="9"/>
      <x:c r="V119" s="9"/>
      <x:c r="W119" s="12" t="str">
        <x:f>IF(A119="","",IF(COUNTIF($A$6:$A$505,A119)&gt;1,"记录ID重复",IF(COUNTIF('案件索引'!$A$6:$A$105,B119)=0,"案件ID未登记",IF(OR(C119="",D119="",F119="",G119="",H119="",I119="",J119="",K119="",M119="",N119="",Q119="",R119="",T119=""),"补对象、必要性、结果、依据或标注人",IF(AND(H119="条件必要",L119=""),"条件必要须写条件",IF(AND(R119="条件通过待执行核验",OR(M119="未知",M119="未满足",O119="",O119="未提供")),"条件或权限证据不足，退回核验","格式已填；仍须人工复核"))))))</x:f>
      </x:c>
    </x:row>
    <x:row r="120" ht="44" customHeight="1">
      <x:c r="A120" s="9"/>
      <x:c r="B120" s="9"/>
      <x:c r="C120" s="9"/>
      <x:c r="D120" s="9"/>
      <x:c r="E120" s="9"/>
      <x:c r="F120" s="9"/>
      <x:c r="G120" s="9"/>
      <x:c r="H120" s="9"/>
      <x:c r="I120" s="9"/>
      <x:c r="J120" s="9"/>
      <x:c r="K120" s="9"/>
      <x:c r="L120" s="9"/>
      <x:c r="M120" s="9"/>
      <x:c r="N120" s="9"/>
      <x:c r="O120" s="9"/>
      <x:c r="P120" s="9"/>
      <x:c r="Q120" s="9"/>
      <x:c r="R120" s="9"/>
      <x:c r="S120" s="9"/>
      <x:c r="T120" s="9"/>
      <x:c r="U120" s="9"/>
      <x:c r="V120" s="9"/>
      <x:c r="W120" s="12" t="str">
        <x:f>IF(A120="","",IF(COUNTIF($A$6:$A$505,A120)&gt;1,"记录ID重复",IF(COUNTIF('案件索引'!$A$6:$A$105,B120)=0,"案件ID未登记",IF(OR(C120="",D120="",F120="",G120="",H120="",I120="",J120="",K120="",M120="",N120="",Q120="",R120="",T120=""),"补对象、必要性、结果、依据或标注人",IF(AND(H120="条件必要",L120=""),"条件必要须写条件",IF(AND(R120="条件通过待执行核验",OR(M120="未知",M120="未满足",O120="",O120="未提供")),"条件或权限证据不足，退回核验","格式已填；仍须人工复核"))))))</x:f>
      </x:c>
    </x:row>
    <x:row r="121" ht="44" customHeight="1">
      <x:c r="A121" s="9"/>
      <x:c r="B121" s="9"/>
      <x:c r="C121" s="9"/>
      <x:c r="D121" s="9"/>
      <x:c r="E121" s="9"/>
      <x:c r="F121" s="9"/>
      <x:c r="G121" s="9"/>
      <x:c r="H121" s="9"/>
      <x:c r="I121" s="9"/>
      <x:c r="J121" s="9"/>
      <x:c r="K121" s="9"/>
      <x:c r="L121" s="9"/>
      <x:c r="M121" s="9"/>
      <x:c r="N121" s="9"/>
      <x:c r="O121" s="9"/>
      <x:c r="P121" s="9"/>
      <x:c r="Q121" s="9"/>
      <x:c r="R121" s="9"/>
      <x:c r="S121" s="9"/>
      <x:c r="T121" s="9"/>
      <x:c r="U121" s="9"/>
      <x:c r="V121" s="9"/>
      <x:c r="W121" s="12" t="str">
        <x:f>IF(A121="","",IF(COUNTIF($A$6:$A$505,A121)&gt;1,"记录ID重复",IF(COUNTIF('案件索引'!$A$6:$A$105,B121)=0,"案件ID未登记",IF(OR(C121="",D121="",F121="",G121="",H121="",I121="",J121="",K121="",M121="",N121="",Q121="",R121="",T121=""),"补对象、必要性、结果、依据或标注人",IF(AND(H121="条件必要",L121=""),"条件必要须写条件",IF(AND(R121="条件通过待执行核验",OR(M121="未知",M121="未满足",O121="",O121="未提供")),"条件或权限证据不足，退回核验","格式已填；仍须人工复核"))))))</x:f>
      </x:c>
    </x:row>
    <x:row r="122" ht="44" customHeight="1">
      <x:c r="A122" s="9"/>
      <x:c r="B122" s="9"/>
      <x:c r="C122" s="9"/>
      <x:c r="D122" s="9"/>
      <x:c r="E122" s="9"/>
      <x:c r="F122" s="9"/>
      <x:c r="G122" s="9"/>
      <x:c r="H122" s="9"/>
      <x:c r="I122" s="9"/>
      <x:c r="J122" s="9"/>
      <x:c r="K122" s="9"/>
      <x:c r="L122" s="9"/>
      <x:c r="M122" s="9"/>
      <x:c r="N122" s="9"/>
      <x:c r="O122" s="9"/>
      <x:c r="P122" s="9"/>
      <x:c r="Q122" s="9"/>
      <x:c r="R122" s="9"/>
      <x:c r="S122" s="9"/>
      <x:c r="T122" s="9"/>
      <x:c r="U122" s="9"/>
      <x:c r="V122" s="9"/>
      <x:c r="W122" s="12" t="str">
        <x:f>IF(A122="","",IF(COUNTIF($A$6:$A$505,A122)&gt;1,"记录ID重复",IF(COUNTIF('案件索引'!$A$6:$A$105,B122)=0,"案件ID未登记",IF(OR(C122="",D122="",F122="",G122="",H122="",I122="",J122="",K122="",M122="",N122="",Q122="",R122="",T122=""),"补对象、必要性、结果、依据或标注人",IF(AND(H122="条件必要",L122=""),"条件必要须写条件",IF(AND(R122="条件通过待执行核验",OR(M122="未知",M122="未满足",O122="",O122="未提供")),"条件或权限证据不足，退回核验","格式已填；仍须人工复核"))))))</x:f>
      </x:c>
    </x:row>
    <x:row r="123" ht="44" customHeight="1">
      <x:c r="A123" s="9"/>
      <x:c r="B123" s="9"/>
      <x:c r="C123" s="9"/>
      <x:c r="D123" s="9"/>
      <x:c r="E123" s="9"/>
      <x:c r="F123" s="9"/>
      <x:c r="G123" s="9"/>
      <x:c r="H123" s="9"/>
      <x:c r="I123" s="9"/>
      <x:c r="J123" s="9"/>
      <x:c r="K123" s="9"/>
      <x:c r="L123" s="9"/>
      <x:c r="M123" s="9"/>
      <x:c r="N123" s="9"/>
      <x:c r="O123" s="9"/>
      <x:c r="P123" s="9"/>
      <x:c r="Q123" s="9"/>
      <x:c r="R123" s="9"/>
      <x:c r="S123" s="9"/>
      <x:c r="T123" s="9"/>
      <x:c r="U123" s="9"/>
      <x:c r="V123" s="9"/>
      <x:c r="W123" s="12" t="str">
        <x:f>IF(A123="","",IF(COUNTIF($A$6:$A$505,A123)&gt;1,"记录ID重复",IF(COUNTIF('案件索引'!$A$6:$A$105,B123)=0,"案件ID未登记",IF(OR(C123="",D123="",F123="",G123="",H123="",I123="",J123="",K123="",M123="",N123="",Q123="",R123="",T123=""),"补对象、必要性、结果、依据或标注人",IF(AND(H123="条件必要",L123=""),"条件必要须写条件",IF(AND(R123="条件通过待执行核验",OR(M123="未知",M123="未满足",O123="",O123="未提供")),"条件或权限证据不足，退回核验","格式已填；仍须人工复核"))))))</x:f>
      </x:c>
    </x:row>
    <x:row r="124" ht="44" customHeight="1">
      <x:c r="A124" s="9"/>
      <x:c r="B124" s="9"/>
      <x:c r="C124" s="9"/>
      <x:c r="D124" s="9"/>
      <x:c r="E124" s="9"/>
      <x:c r="F124" s="9"/>
      <x:c r="G124" s="9"/>
      <x:c r="H124" s="9"/>
      <x:c r="I124" s="9"/>
      <x:c r="J124" s="9"/>
      <x:c r="K124" s="9"/>
      <x:c r="L124" s="9"/>
      <x:c r="M124" s="9"/>
      <x:c r="N124" s="9"/>
      <x:c r="O124" s="9"/>
      <x:c r="P124" s="9"/>
      <x:c r="Q124" s="9"/>
      <x:c r="R124" s="9"/>
      <x:c r="S124" s="9"/>
      <x:c r="T124" s="9"/>
      <x:c r="U124" s="9"/>
      <x:c r="V124" s="9"/>
      <x:c r="W124" s="12" t="str">
        <x:f>IF(A124="","",IF(COUNTIF($A$6:$A$505,A124)&gt;1,"记录ID重复",IF(COUNTIF('案件索引'!$A$6:$A$105,B124)=0,"案件ID未登记",IF(OR(C124="",D124="",F124="",G124="",H124="",I124="",J124="",K124="",M124="",N124="",Q124="",R124="",T124=""),"补对象、必要性、结果、依据或标注人",IF(AND(H124="条件必要",L124=""),"条件必要须写条件",IF(AND(R124="条件通过待执行核验",OR(M124="未知",M124="未满足",O124="",O124="未提供")),"条件或权限证据不足，退回核验","格式已填；仍须人工复核"))))))</x:f>
      </x:c>
    </x:row>
    <x:row r="125" ht="44" customHeight="1">
      <x:c r="A125" s="9"/>
      <x:c r="B125" s="9"/>
      <x:c r="C125" s="9"/>
      <x:c r="D125" s="9"/>
      <x:c r="E125" s="9"/>
      <x:c r="F125" s="9"/>
      <x:c r="G125" s="9"/>
      <x:c r="H125" s="9"/>
      <x:c r="I125" s="9"/>
      <x:c r="J125" s="9"/>
      <x:c r="K125" s="9"/>
      <x:c r="L125" s="9"/>
      <x:c r="M125" s="9"/>
      <x:c r="N125" s="9"/>
      <x:c r="O125" s="9"/>
      <x:c r="P125" s="9"/>
      <x:c r="Q125" s="9"/>
      <x:c r="R125" s="9"/>
      <x:c r="S125" s="9"/>
      <x:c r="T125" s="9"/>
      <x:c r="U125" s="9"/>
      <x:c r="V125" s="9"/>
      <x:c r="W125" s="12" t="str">
        <x:f>IF(A125="","",IF(COUNTIF($A$6:$A$505,A125)&gt;1,"记录ID重复",IF(COUNTIF('案件索引'!$A$6:$A$105,B125)=0,"案件ID未登记",IF(OR(C125="",D125="",F125="",G125="",H125="",I125="",J125="",K125="",M125="",N125="",Q125="",R125="",T125=""),"补对象、必要性、结果、依据或标注人",IF(AND(H125="条件必要",L125=""),"条件必要须写条件",IF(AND(R125="条件通过待执行核验",OR(M125="未知",M125="未满足",O125="",O125="未提供")),"条件或权限证据不足，退回核验","格式已填；仍须人工复核"))))))</x:f>
      </x:c>
    </x:row>
    <x:row r="126" ht="44" customHeight="1">
      <x:c r="A126" s="9"/>
      <x:c r="B126" s="9"/>
      <x:c r="C126" s="9"/>
      <x:c r="D126" s="9"/>
      <x:c r="E126" s="9"/>
      <x:c r="F126" s="9"/>
      <x:c r="G126" s="9"/>
      <x:c r="H126" s="9"/>
      <x:c r="I126" s="9"/>
      <x:c r="J126" s="9"/>
      <x:c r="K126" s="9"/>
      <x:c r="L126" s="9"/>
      <x:c r="M126" s="9"/>
      <x:c r="N126" s="9"/>
      <x:c r="O126" s="9"/>
      <x:c r="P126" s="9"/>
      <x:c r="Q126" s="9"/>
      <x:c r="R126" s="9"/>
      <x:c r="S126" s="9"/>
      <x:c r="T126" s="9"/>
      <x:c r="U126" s="9"/>
      <x:c r="V126" s="9"/>
      <x:c r="W126" s="12" t="str">
        <x:f>IF(A126="","",IF(COUNTIF($A$6:$A$505,A126)&gt;1,"记录ID重复",IF(COUNTIF('案件索引'!$A$6:$A$105,B126)=0,"案件ID未登记",IF(OR(C126="",D126="",F126="",G126="",H126="",I126="",J126="",K126="",M126="",N126="",Q126="",R126="",T126=""),"补对象、必要性、结果、依据或标注人",IF(AND(H126="条件必要",L126=""),"条件必要须写条件",IF(AND(R126="条件通过待执行核验",OR(M126="未知",M126="未满足",O126="",O126="未提供")),"条件或权限证据不足，退回核验","格式已填；仍须人工复核"))))))</x:f>
      </x:c>
    </x:row>
    <x:row r="127" ht="44" customHeight="1">
      <x:c r="A127" s="9"/>
      <x:c r="B127" s="9"/>
      <x:c r="C127" s="9"/>
      <x:c r="D127" s="9"/>
      <x:c r="E127" s="9"/>
      <x:c r="F127" s="9"/>
      <x:c r="G127" s="9"/>
      <x:c r="H127" s="9"/>
      <x:c r="I127" s="9"/>
      <x:c r="J127" s="9"/>
      <x:c r="K127" s="9"/>
      <x:c r="L127" s="9"/>
      <x:c r="M127" s="9"/>
      <x:c r="N127" s="9"/>
      <x:c r="O127" s="9"/>
      <x:c r="P127" s="9"/>
      <x:c r="Q127" s="9"/>
      <x:c r="R127" s="9"/>
      <x:c r="S127" s="9"/>
      <x:c r="T127" s="9"/>
      <x:c r="U127" s="9"/>
      <x:c r="V127" s="9"/>
      <x:c r="W127" s="12" t="str">
        <x:f>IF(A127="","",IF(COUNTIF($A$6:$A$505,A127)&gt;1,"记录ID重复",IF(COUNTIF('案件索引'!$A$6:$A$105,B127)=0,"案件ID未登记",IF(OR(C127="",D127="",F127="",G127="",H127="",I127="",J127="",K127="",M127="",N127="",Q127="",R127="",T127=""),"补对象、必要性、结果、依据或标注人",IF(AND(H127="条件必要",L127=""),"条件必要须写条件",IF(AND(R127="条件通过待执行核验",OR(M127="未知",M127="未满足",O127="",O127="未提供")),"条件或权限证据不足，退回核验","格式已填；仍须人工复核"))))))</x:f>
      </x:c>
    </x:row>
    <x:row r="128" ht="44" customHeight="1">
      <x:c r="A128" s="9"/>
      <x:c r="B128" s="9"/>
      <x:c r="C128" s="9"/>
      <x:c r="D128" s="9"/>
      <x:c r="E128" s="9"/>
      <x:c r="F128" s="9"/>
      <x:c r="G128" s="9"/>
      <x:c r="H128" s="9"/>
      <x:c r="I128" s="9"/>
      <x:c r="J128" s="9"/>
      <x:c r="K128" s="9"/>
      <x:c r="L128" s="9"/>
      <x:c r="M128" s="9"/>
      <x:c r="N128" s="9"/>
      <x:c r="O128" s="9"/>
      <x:c r="P128" s="9"/>
      <x:c r="Q128" s="9"/>
      <x:c r="R128" s="9"/>
      <x:c r="S128" s="9"/>
      <x:c r="T128" s="9"/>
      <x:c r="U128" s="9"/>
      <x:c r="V128" s="9"/>
      <x:c r="W128" s="12" t="str">
        <x:f>IF(A128="","",IF(COUNTIF($A$6:$A$505,A128)&gt;1,"记录ID重复",IF(COUNTIF('案件索引'!$A$6:$A$105,B128)=0,"案件ID未登记",IF(OR(C128="",D128="",F128="",G128="",H128="",I128="",J128="",K128="",M128="",N128="",Q128="",R128="",T128=""),"补对象、必要性、结果、依据或标注人",IF(AND(H128="条件必要",L128=""),"条件必要须写条件",IF(AND(R128="条件通过待执行核验",OR(M128="未知",M128="未满足",O128="",O128="未提供")),"条件或权限证据不足，退回核验","格式已填；仍须人工复核"))))))</x:f>
      </x:c>
    </x:row>
    <x:row r="129" ht="44" customHeight="1">
      <x:c r="A129" s="9"/>
      <x:c r="B129" s="9"/>
      <x:c r="C129" s="9"/>
      <x:c r="D129" s="9"/>
      <x:c r="E129" s="9"/>
      <x:c r="F129" s="9"/>
      <x:c r="G129" s="9"/>
      <x:c r="H129" s="9"/>
      <x:c r="I129" s="9"/>
      <x:c r="J129" s="9"/>
      <x:c r="K129" s="9"/>
      <x:c r="L129" s="9"/>
      <x:c r="M129" s="9"/>
      <x:c r="N129" s="9"/>
      <x:c r="O129" s="9"/>
      <x:c r="P129" s="9"/>
      <x:c r="Q129" s="9"/>
      <x:c r="R129" s="9"/>
      <x:c r="S129" s="9"/>
      <x:c r="T129" s="9"/>
      <x:c r="U129" s="9"/>
      <x:c r="V129" s="9"/>
      <x:c r="W129" s="12" t="str">
        <x:f>IF(A129="","",IF(COUNTIF($A$6:$A$505,A129)&gt;1,"记录ID重复",IF(COUNTIF('案件索引'!$A$6:$A$105,B129)=0,"案件ID未登记",IF(OR(C129="",D129="",F129="",G129="",H129="",I129="",J129="",K129="",M129="",N129="",Q129="",R129="",T129=""),"补对象、必要性、结果、依据或标注人",IF(AND(H129="条件必要",L129=""),"条件必要须写条件",IF(AND(R129="条件通过待执行核验",OR(M129="未知",M129="未满足",O129="",O129="未提供")),"条件或权限证据不足，退回核验","格式已填；仍须人工复核"))))))</x:f>
      </x:c>
    </x:row>
    <x:row r="130" ht="44" customHeight="1">
      <x:c r="A130" s="9"/>
      <x:c r="B130" s="9"/>
      <x:c r="C130" s="9"/>
      <x:c r="D130" s="9"/>
      <x:c r="E130" s="9"/>
      <x:c r="F130" s="9"/>
      <x:c r="G130" s="9"/>
      <x:c r="H130" s="9"/>
      <x:c r="I130" s="9"/>
      <x:c r="J130" s="9"/>
      <x:c r="K130" s="9"/>
      <x:c r="L130" s="9"/>
      <x:c r="M130" s="9"/>
      <x:c r="N130" s="9"/>
      <x:c r="O130" s="9"/>
      <x:c r="P130" s="9"/>
      <x:c r="Q130" s="9"/>
      <x:c r="R130" s="9"/>
      <x:c r="S130" s="9"/>
      <x:c r="T130" s="9"/>
      <x:c r="U130" s="9"/>
      <x:c r="V130" s="9"/>
      <x:c r="W130" s="12" t="str">
        <x:f>IF(A130="","",IF(COUNTIF($A$6:$A$505,A130)&gt;1,"记录ID重复",IF(COUNTIF('案件索引'!$A$6:$A$105,B130)=0,"案件ID未登记",IF(OR(C130="",D130="",F130="",G130="",H130="",I130="",J130="",K130="",M130="",N130="",Q130="",R130="",T130=""),"补对象、必要性、结果、依据或标注人",IF(AND(H130="条件必要",L130=""),"条件必要须写条件",IF(AND(R130="条件通过待执行核验",OR(M130="未知",M130="未满足",O130="",O130="未提供")),"条件或权限证据不足，退回核验","格式已填；仍须人工复核"))))))</x:f>
      </x:c>
    </x:row>
    <x:row r="131" ht="44" customHeight="1">
      <x:c r="A131" s="9"/>
      <x:c r="B131" s="9"/>
      <x:c r="C131" s="9"/>
      <x:c r="D131" s="9"/>
      <x:c r="E131" s="9"/>
      <x:c r="F131" s="9"/>
      <x:c r="G131" s="9"/>
      <x:c r="H131" s="9"/>
      <x:c r="I131" s="9"/>
      <x:c r="J131" s="9"/>
      <x:c r="K131" s="9"/>
      <x:c r="L131" s="9"/>
      <x:c r="M131" s="9"/>
      <x:c r="N131" s="9"/>
      <x:c r="O131" s="9"/>
      <x:c r="P131" s="9"/>
      <x:c r="Q131" s="9"/>
      <x:c r="R131" s="9"/>
      <x:c r="S131" s="9"/>
      <x:c r="T131" s="9"/>
      <x:c r="U131" s="9"/>
      <x:c r="V131" s="9"/>
      <x:c r="W131" s="12" t="str">
        <x:f>IF(A131="","",IF(COUNTIF($A$6:$A$505,A131)&gt;1,"记录ID重复",IF(COUNTIF('案件索引'!$A$6:$A$105,B131)=0,"案件ID未登记",IF(OR(C131="",D131="",F131="",G131="",H131="",I131="",J131="",K131="",M131="",N131="",Q131="",R131="",T131=""),"补对象、必要性、结果、依据或标注人",IF(AND(H131="条件必要",L131=""),"条件必要须写条件",IF(AND(R131="条件通过待执行核验",OR(M131="未知",M131="未满足",O131="",O131="未提供")),"条件或权限证据不足，退回核验","格式已填；仍须人工复核"))))))</x:f>
      </x:c>
    </x:row>
    <x:row r="132" ht="44" customHeight="1">
      <x:c r="A132" s="9"/>
      <x:c r="B132" s="9"/>
      <x:c r="C132" s="9"/>
      <x:c r="D132" s="9"/>
      <x:c r="E132" s="9"/>
      <x:c r="F132" s="9"/>
      <x:c r="G132" s="9"/>
      <x:c r="H132" s="9"/>
      <x:c r="I132" s="9"/>
      <x:c r="J132" s="9"/>
      <x:c r="K132" s="9"/>
      <x:c r="L132" s="9"/>
      <x:c r="M132" s="9"/>
      <x:c r="N132" s="9"/>
      <x:c r="O132" s="9"/>
      <x:c r="P132" s="9"/>
      <x:c r="Q132" s="9"/>
      <x:c r="R132" s="9"/>
      <x:c r="S132" s="9"/>
      <x:c r="T132" s="9"/>
      <x:c r="U132" s="9"/>
      <x:c r="V132" s="9"/>
      <x:c r="W132" s="12" t="str">
        <x:f>IF(A132="","",IF(COUNTIF($A$6:$A$505,A132)&gt;1,"记录ID重复",IF(COUNTIF('案件索引'!$A$6:$A$105,B132)=0,"案件ID未登记",IF(OR(C132="",D132="",F132="",G132="",H132="",I132="",J132="",K132="",M132="",N132="",Q132="",R132="",T132=""),"补对象、必要性、结果、依据或标注人",IF(AND(H132="条件必要",L132=""),"条件必要须写条件",IF(AND(R132="条件通过待执行核验",OR(M132="未知",M132="未满足",O132="",O132="未提供")),"条件或权限证据不足，退回核验","格式已填；仍须人工复核"))))))</x:f>
      </x:c>
    </x:row>
    <x:row r="133" ht="44" customHeight="1">
      <x:c r="A133" s="9"/>
      <x:c r="B133" s="9"/>
      <x:c r="C133" s="9"/>
      <x:c r="D133" s="9"/>
      <x:c r="E133" s="9"/>
      <x:c r="F133" s="9"/>
      <x:c r="G133" s="9"/>
      <x:c r="H133" s="9"/>
      <x:c r="I133" s="9"/>
      <x:c r="J133" s="9"/>
      <x:c r="K133" s="9"/>
      <x:c r="L133" s="9"/>
      <x:c r="M133" s="9"/>
      <x:c r="N133" s="9"/>
      <x:c r="O133" s="9"/>
      <x:c r="P133" s="9"/>
      <x:c r="Q133" s="9"/>
      <x:c r="R133" s="9"/>
      <x:c r="S133" s="9"/>
      <x:c r="T133" s="9"/>
      <x:c r="U133" s="9"/>
      <x:c r="V133" s="9"/>
      <x:c r="W133" s="12" t="str">
        <x:f>IF(A133="","",IF(COUNTIF($A$6:$A$505,A133)&gt;1,"记录ID重复",IF(COUNTIF('案件索引'!$A$6:$A$105,B133)=0,"案件ID未登记",IF(OR(C133="",D133="",F133="",G133="",H133="",I133="",J133="",K133="",M133="",N133="",Q133="",R133="",T133=""),"补对象、必要性、结果、依据或标注人",IF(AND(H133="条件必要",L133=""),"条件必要须写条件",IF(AND(R133="条件通过待执行核验",OR(M133="未知",M133="未满足",O133="",O133="未提供")),"条件或权限证据不足，退回核验","格式已填；仍须人工复核"))))))</x:f>
      </x:c>
    </x:row>
    <x:row r="134" ht="44" customHeight="1">
      <x:c r="A134" s="9"/>
      <x:c r="B134" s="9"/>
      <x:c r="C134" s="9"/>
      <x:c r="D134" s="9"/>
      <x:c r="E134" s="9"/>
      <x:c r="F134" s="9"/>
      <x:c r="G134" s="9"/>
      <x:c r="H134" s="9"/>
      <x:c r="I134" s="9"/>
      <x:c r="J134" s="9"/>
      <x:c r="K134" s="9"/>
      <x:c r="L134" s="9"/>
      <x:c r="M134" s="9"/>
      <x:c r="N134" s="9"/>
      <x:c r="O134" s="9"/>
      <x:c r="P134" s="9"/>
      <x:c r="Q134" s="9"/>
      <x:c r="R134" s="9"/>
      <x:c r="S134" s="9"/>
      <x:c r="T134" s="9"/>
      <x:c r="U134" s="9"/>
      <x:c r="V134" s="9"/>
      <x:c r="W134" s="12" t="str">
        <x:f>IF(A134="","",IF(COUNTIF($A$6:$A$505,A134)&gt;1,"记录ID重复",IF(COUNTIF('案件索引'!$A$6:$A$105,B134)=0,"案件ID未登记",IF(OR(C134="",D134="",F134="",G134="",H134="",I134="",J134="",K134="",M134="",N134="",Q134="",R134="",T134=""),"补对象、必要性、结果、依据或标注人",IF(AND(H134="条件必要",L134=""),"条件必要须写条件",IF(AND(R134="条件通过待执行核验",OR(M134="未知",M134="未满足",O134="",O134="未提供")),"条件或权限证据不足，退回核验","格式已填；仍须人工复核"))))))</x:f>
      </x:c>
    </x:row>
    <x:row r="135" ht="44" customHeight="1">
      <x:c r="A135" s="9"/>
      <x:c r="B135" s="9"/>
      <x:c r="C135" s="9"/>
      <x:c r="D135" s="9"/>
      <x:c r="E135" s="9"/>
      <x:c r="F135" s="9"/>
      <x:c r="G135" s="9"/>
      <x:c r="H135" s="9"/>
      <x:c r="I135" s="9"/>
      <x:c r="J135" s="9"/>
      <x:c r="K135" s="9"/>
      <x:c r="L135" s="9"/>
      <x:c r="M135" s="9"/>
      <x:c r="N135" s="9"/>
      <x:c r="O135" s="9"/>
      <x:c r="P135" s="9"/>
      <x:c r="Q135" s="9"/>
      <x:c r="R135" s="9"/>
      <x:c r="S135" s="9"/>
      <x:c r="T135" s="9"/>
      <x:c r="U135" s="9"/>
      <x:c r="V135" s="9"/>
      <x:c r="W135" s="12" t="str">
        <x:f>IF(A135="","",IF(COUNTIF($A$6:$A$505,A135)&gt;1,"记录ID重复",IF(COUNTIF('案件索引'!$A$6:$A$105,B135)=0,"案件ID未登记",IF(OR(C135="",D135="",F135="",G135="",H135="",I135="",J135="",K135="",M135="",N135="",Q135="",R135="",T135=""),"补对象、必要性、结果、依据或标注人",IF(AND(H135="条件必要",L135=""),"条件必要须写条件",IF(AND(R135="条件通过待执行核验",OR(M135="未知",M135="未满足",O135="",O135="未提供")),"条件或权限证据不足，退回核验","格式已填；仍须人工复核"))))))</x:f>
      </x:c>
    </x:row>
    <x:row r="136" ht="44" customHeight="1">
      <x:c r="A136" s="9"/>
      <x:c r="B136" s="9"/>
      <x:c r="C136" s="9"/>
      <x:c r="D136" s="9"/>
      <x:c r="E136" s="9"/>
      <x:c r="F136" s="9"/>
      <x:c r="G136" s="9"/>
      <x:c r="H136" s="9"/>
      <x:c r="I136" s="9"/>
      <x:c r="J136" s="9"/>
      <x:c r="K136" s="9"/>
      <x:c r="L136" s="9"/>
      <x:c r="M136" s="9"/>
      <x:c r="N136" s="9"/>
      <x:c r="O136" s="9"/>
      <x:c r="P136" s="9"/>
      <x:c r="Q136" s="9"/>
      <x:c r="R136" s="9"/>
      <x:c r="S136" s="9"/>
      <x:c r="T136" s="9"/>
      <x:c r="U136" s="9"/>
      <x:c r="V136" s="9"/>
      <x:c r="W136" s="12" t="str">
        <x:f>IF(A136="","",IF(COUNTIF($A$6:$A$505,A136)&gt;1,"记录ID重复",IF(COUNTIF('案件索引'!$A$6:$A$105,B136)=0,"案件ID未登记",IF(OR(C136="",D136="",F136="",G136="",H136="",I136="",J136="",K136="",M136="",N136="",Q136="",R136="",T136=""),"补对象、必要性、结果、依据或标注人",IF(AND(H136="条件必要",L136=""),"条件必要须写条件",IF(AND(R136="条件通过待执行核验",OR(M136="未知",M136="未满足",O136="",O136="未提供")),"条件或权限证据不足，退回核验","格式已填；仍须人工复核"))))))</x:f>
      </x:c>
    </x:row>
    <x:row r="137" ht="44" customHeight="1">
      <x:c r="A137" s="9"/>
      <x:c r="B137" s="9"/>
      <x:c r="C137" s="9"/>
      <x:c r="D137" s="9"/>
      <x:c r="E137" s="9"/>
      <x:c r="F137" s="9"/>
      <x:c r="G137" s="9"/>
      <x:c r="H137" s="9"/>
      <x:c r="I137" s="9"/>
      <x:c r="J137" s="9"/>
      <x:c r="K137" s="9"/>
      <x:c r="L137" s="9"/>
      <x:c r="M137" s="9"/>
      <x:c r="N137" s="9"/>
      <x:c r="O137" s="9"/>
      <x:c r="P137" s="9"/>
      <x:c r="Q137" s="9"/>
      <x:c r="R137" s="9"/>
      <x:c r="S137" s="9"/>
      <x:c r="T137" s="9"/>
      <x:c r="U137" s="9"/>
      <x:c r="V137" s="9"/>
      <x:c r="W137" s="12" t="str">
        <x:f>IF(A137="","",IF(COUNTIF($A$6:$A$505,A137)&gt;1,"记录ID重复",IF(COUNTIF('案件索引'!$A$6:$A$105,B137)=0,"案件ID未登记",IF(OR(C137="",D137="",F137="",G137="",H137="",I137="",J137="",K137="",M137="",N137="",Q137="",R137="",T137=""),"补对象、必要性、结果、依据或标注人",IF(AND(H137="条件必要",L137=""),"条件必要须写条件",IF(AND(R137="条件通过待执行核验",OR(M137="未知",M137="未满足",O137="",O137="未提供")),"条件或权限证据不足，退回核验","格式已填；仍须人工复核"))))))</x:f>
      </x:c>
    </x:row>
    <x:row r="138" ht="44" customHeight="1">
      <x:c r="A138" s="9"/>
      <x:c r="B138" s="9"/>
      <x:c r="C138" s="9"/>
      <x:c r="D138" s="9"/>
      <x:c r="E138" s="9"/>
      <x:c r="F138" s="9"/>
      <x:c r="G138" s="9"/>
      <x:c r="H138" s="9"/>
      <x:c r="I138" s="9"/>
      <x:c r="J138" s="9"/>
      <x:c r="K138" s="9"/>
      <x:c r="L138" s="9"/>
      <x:c r="M138" s="9"/>
      <x:c r="N138" s="9"/>
      <x:c r="O138" s="9"/>
      <x:c r="P138" s="9"/>
      <x:c r="Q138" s="9"/>
      <x:c r="R138" s="9"/>
      <x:c r="S138" s="9"/>
      <x:c r="T138" s="9"/>
      <x:c r="U138" s="9"/>
      <x:c r="V138" s="9"/>
      <x:c r="W138" s="12" t="str">
        <x:f>IF(A138="","",IF(COUNTIF($A$6:$A$505,A138)&gt;1,"记录ID重复",IF(COUNTIF('案件索引'!$A$6:$A$105,B138)=0,"案件ID未登记",IF(OR(C138="",D138="",F138="",G138="",H138="",I138="",J138="",K138="",M138="",N138="",Q138="",R138="",T138=""),"补对象、必要性、结果、依据或标注人",IF(AND(H138="条件必要",L138=""),"条件必要须写条件",IF(AND(R138="条件通过待执行核验",OR(M138="未知",M138="未满足",O138="",O138="未提供")),"条件或权限证据不足，退回核验","格式已填；仍须人工复核"))))))</x:f>
      </x:c>
    </x:row>
    <x:row r="139" ht="44" customHeight="1">
      <x:c r="A139" s="9"/>
      <x:c r="B139" s="9"/>
      <x:c r="C139" s="9"/>
      <x:c r="D139" s="9"/>
      <x:c r="E139" s="9"/>
      <x:c r="F139" s="9"/>
      <x:c r="G139" s="9"/>
      <x:c r="H139" s="9"/>
      <x:c r="I139" s="9"/>
      <x:c r="J139" s="9"/>
      <x:c r="K139" s="9"/>
      <x:c r="L139" s="9"/>
      <x:c r="M139" s="9"/>
      <x:c r="N139" s="9"/>
      <x:c r="O139" s="9"/>
      <x:c r="P139" s="9"/>
      <x:c r="Q139" s="9"/>
      <x:c r="R139" s="9"/>
      <x:c r="S139" s="9"/>
      <x:c r="T139" s="9"/>
      <x:c r="U139" s="9"/>
      <x:c r="V139" s="9"/>
      <x:c r="W139" s="12" t="str">
        <x:f>IF(A139="","",IF(COUNTIF($A$6:$A$505,A139)&gt;1,"记录ID重复",IF(COUNTIF('案件索引'!$A$6:$A$105,B139)=0,"案件ID未登记",IF(OR(C139="",D139="",F139="",G139="",H139="",I139="",J139="",K139="",M139="",N139="",Q139="",R139="",T139=""),"补对象、必要性、结果、依据或标注人",IF(AND(H139="条件必要",L139=""),"条件必要须写条件",IF(AND(R139="条件通过待执行核验",OR(M139="未知",M139="未满足",O139="",O139="未提供")),"条件或权限证据不足，退回核验","格式已填；仍须人工复核"))))))</x:f>
      </x:c>
    </x:row>
    <x:row r="140" ht="44" customHeight="1">
      <x:c r="A140" s="9"/>
      <x:c r="B140" s="9"/>
      <x:c r="C140" s="9"/>
      <x:c r="D140" s="9"/>
      <x:c r="E140" s="9"/>
      <x:c r="F140" s="9"/>
      <x:c r="G140" s="9"/>
      <x:c r="H140" s="9"/>
      <x:c r="I140" s="9"/>
      <x:c r="J140" s="9"/>
      <x:c r="K140" s="9"/>
      <x:c r="L140" s="9"/>
      <x:c r="M140" s="9"/>
      <x:c r="N140" s="9"/>
      <x:c r="O140" s="9"/>
      <x:c r="P140" s="9"/>
      <x:c r="Q140" s="9"/>
      <x:c r="R140" s="9"/>
      <x:c r="S140" s="9"/>
      <x:c r="T140" s="9"/>
      <x:c r="U140" s="9"/>
      <x:c r="V140" s="9"/>
      <x:c r="W140" s="12" t="str">
        <x:f>IF(A140="","",IF(COUNTIF($A$6:$A$505,A140)&gt;1,"记录ID重复",IF(COUNTIF('案件索引'!$A$6:$A$105,B140)=0,"案件ID未登记",IF(OR(C140="",D140="",F140="",G140="",H140="",I140="",J140="",K140="",M140="",N140="",Q140="",R140="",T140=""),"补对象、必要性、结果、依据或标注人",IF(AND(H140="条件必要",L140=""),"条件必要须写条件",IF(AND(R140="条件通过待执行核验",OR(M140="未知",M140="未满足",O140="",O140="未提供")),"条件或权限证据不足，退回核验","格式已填；仍须人工复核"))))))</x:f>
      </x:c>
    </x:row>
    <x:row r="141" ht="44" customHeight="1">
      <x:c r="A141" s="9"/>
      <x:c r="B141" s="9"/>
      <x:c r="C141" s="9"/>
      <x:c r="D141" s="9"/>
      <x:c r="E141" s="9"/>
      <x:c r="F141" s="9"/>
      <x:c r="G141" s="9"/>
      <x:c r="H141" s="9"/>
      <x:c r="I141" s="9"/>
      <x:c r="J141" s="9"/>
      <x:c r="K141" s="9"/>
      <x:c r="L141" s="9"/>
      <x:c r="M141" s="9"/>
      <x:c r="N141" s="9"/>
      <x:c r="O141" s="9"/>
      <x:c r="P141" s="9"/>
      <x:c r="Q141" s="9"/>
      <x:c r="R141" s="9"/>
      <x:c r="S141" s="9"/>
      <x:c r="T141" s="9"/>
      <x:c r="U141" s="9"/>
      <x:c r="V141" s="9"/>
      <x:c r="W141" s="12" t="str">
        <x:f>IF(A141="","",IF(COUNTIF($A$6:$A$505,A141)&gt;1,"记录ID重复",IF(COUNTIF('案件索引'!$A$6:$A$105,B141)=0,"案件ID未登记",IF(OR(C141="",D141="",F141="",G141="",H141="",I141="",J141="",K141="",M141="",N141="",Q141="",R141="",T141=""),"补对象、必要性、结果、依据或标注人",IF(AND(H141="条件必要",L141=""),"条件必要须写条件",IF(AND(R141="条件通过待执行核验",OR(M141="未知",M141="未满足",O141="",O141="未提供")),"条件或权限证据不足，退回核验","格式已填；仍须人工复核"))))))</x:f>
      </x:c>
    </x:row>
    <x:row r="142" ht="44" customHeight="1">
      <x:c r="A142" s="9"/>
      <x:c r="B142" s="9"/>
      <x:c r="C142" s="9"/>
      <x:c r="D142" s="9"/>
      <x:c r="E142" s="9"/>
      <x:c r="F142" s="9"/>
      <x:c r="G142" s="9"/>
      <x:c r="H142" s="9"/>
      <x:c r="I142" s="9"/>
      <x:c r="J142" s="9"/>
      <x:c r="K142" s="9"/>
      <x:c r="L142" s="9"/>
      <x:c r="M142" s="9"/>
      <x:c r="N142" s="9"/>
      <x:c r="O142" s="9"/>
      <x:c r="P142" s="9"/>
      <x:c r="Q142" s="9"/>
      <x:c r="R142" s="9"/>
      <x:c r="S142" s="9"/>
      <x:c r="T142" s="9"/>
      <x:c r="U142" s="9"/>
      <x:c r="V142" s="9"/>
      <x:c r="W142" s="12" t="str">
        <x:f>IF(A142="","",IF(COUNTIF($A$6:$A$505,A142)&gt;1,"记录ID重复",IF(COUNTIF('案件索引'!$A$6:$A$105,B142)=0,"案件ID未登记",IF(OR(C142="",D142="",F142="",G142="",H142="",I142="",J142="",K142="",M142="",N142="",Q142="",R142="",T142=""),"补对象、必要性、结果、依据或标注人",IF(AND(H142="条件必要",L142=""),"条件必要须写条件",IF(AND(R142="条件通过待执行核验",OR(M142="未知",M142="未满足",O142="",O142="未提供")),"条件或权限证据不足，退回核验","格式已填；仍须人工复核"))))))</x:f>
      </x:c>
    </x:row>
    <x:row r="143" ht="44" customHeight="1">
      <x:c r="A143" s="9"/>
      <x:c r="B143" s="9"/>
      <x:c r="C143" s="9"/>
      <x:c r="D143" s="9"/>
      <x:c r="E143" s="9"/>
      <x:c r="F143" s="9"/>
      <x:c r="G143" s="9"/>
      <x:c r="H143" s="9"/>
      <x:c r="I143" s="9"/>
      <x:c r="J143" s="9"/>
      <x:c r="K143" s="9"/>
      <x:c r="L143" s="9"/>
      <x:c r="M143" s="9"/>
      <x:c r="N143" s="9"/>
      <x:c r="O143" s="9"/>
      <x:c r="P143" s="9"/>
      <x:c r="Q143" s="9"/>
      <x:c r="R143" s="9"/>
      <x:c r="S143" s="9"/>
      <x:c r="T143" s="9"/>
      <x:c r="U143" s="9"/>
      <x:c r="V143" s="9"/>
      <x:c r="W143" s="12" t="str">
        <x:f>IF(A143="","",IF(COUNTIF($A$6:$A$505,A143)&gt;1,"记录ID重复",IF(COUNTIF('案件索引'!$A$6:$A$105,B143)=0,"案件ID未登记",IF(OR(C143="",D143="",F143="",G143="",H143="",I143="",J143="",K143="",M143="",N143="",Q143="",R143="",T143=""),"补对象、必要性、结果、依据或标注人",IF(AND(H143="条件必要",L143=""),"条件必要须写条件",IF(AND(R143="条件通过待执行核验",OR(M143="未知",M143="未满足",O143="",O143="未提供")),"条件或权限证据不足，退回核验","格式已填；仍须人工复核"))))))</x:f>
      </x:c>
    </x:row>
    <x:row r="144" ht="44" customHeight="1">
      <x:c r="A144" s="9"/>
      <x:c r="B144" s="9"/>
      <x:c r="C144" s="9"/>
      <x:c r="D144" s="9"/>
      <x:c r="E144" s="9"/>
      <x:c r="F144" s="9"/>
      <x:c r="G144" s="9"/>
      <x:c r="H144" s="9"/>
      <x:c r="I144" s="9"/>
      <x:c r="J144" s="9"/>
      <x:c r="K144" s="9"/>
      <x:c r="L144" s="9"/>
      <x:c r="M144" s="9"/>
      <x:c r="N144" s="9"/>
      <x:c r="O144" s="9"/>
      <x:c r="P144" s="9"/>
      <x:c r="Q144" s="9"/>
      <x:c r="R144" s="9"/>
      <x:c r="S144" s="9"/>
      <x:c r="T144" s="9"/>
      <x:c r="U144" s="9"/>
      <x:c r="V144" s="9"/>
      <x:c r="W144" s="12" t="str">
        <x:f>IF(A144="","",IF(COUNTIF($A$6:$A$505,A144)&gt;1,"记录ID重复",IF(COUNTIF('案件索引'!$A$6:$A$105,B144)=0,"案件ID未登记",IF(OR(C144="",D144="",F144="",G144="",H144="",I144="",J144="",K144="",M144="",N144="",Q144="",R144="",T144=""),"补对象、必要性、结果、依据或标注人",IF(AND(H144="条件必要",L144=""),"条件必要须写条件",IF(AND(R144="条件通过待执行核验",OR(M144="未知",M144="未满足",O144="",O144="未提供")),"条件或权限证据不足，退回核验","格式已填；仍须人工复核"))))))</x:f>
      </x:c>
    </x:row>
    <x:row r="145" ht="44" customHeight="1">
      <x:c r="A145" s="9"/>
      <x:c r="B145" s="9"/>
      <x:c r="C145" s="9"/>
      <x:c r="D145" s="9"/>
      <x:c r="E145" s="9"/>
      <x:c r="F145" s="9"/>
      <x:c r="G145" s="9"/>
      <x:c r="H145" s="9"/>
      <x:c r="I145" s="9"/>
      <x:c r="J145" s="9"/>
      <x:c r="K145" s="9"/>
      <x:c r="L145" s="9"/>
      <x:c r="M145" s="9"/>
      <x:c r="N145" s="9"/>
      <x:c r="O145" s="9"/>
      <x:c r="P145" s="9"/>
      <x:c r="Q145" s="9"/>
      <x:c r="R145" s="9"/>
      <x:c r="S145" s="9"/>
      <x:c r="T145" s="9"/>
      <x:c r="U145" s="9"/>
      <x:c r="V145" s="9"/>
      <x:c r="W145" s="12" t="str">
        <x:f>IF(A145="","",IF(COUNTIF($A$6:$A$505,A145)&gt;1,"记录ID重复",IF(COUNTIF('案件索引'!$A$6:$A$105,B145)=0,"案件ID未登记",IF(OR(C145="",D145="",F145="",G145="",H145="",I145="",J145="",K145="",M145="",N145="",Q145="",R145="",T145=""),"补对象、必要性、结果、依据或标注人",IF(AND(H145="条件必要",L145=""),"条件必要须写条件",IF(AND(R145="条件通过待执行核验",OR(M145="未知",M145="未满足",O145="",O145="未提供")),"条件或权限证据不足，退回核验","格式已填；仍须人工复核"))))))</x:f>
      </x:c>
    </x:row>
    <x:row r="146" ht="44" customHeight="1">
      <x:c r="A146" s="9"/>
      <x:c r="B146" s="9"/>
      <x:c r="C146" s="9"/>
      <x:c r="D146" s="9"/>
      <x:c r="E146" s="9"/>
      <x:c r="F146" s="9"/>
      <x:c r="G146" s="9"/>
      <x:c r="H146" s="9"/>
      <x:c r="I146" s="9"/>
      <x:c r="J146" s="9"/>
      <x:c r="K146" s="9"/>
      <x:c r="L146" s="9"/>
      <x:c r="M146" s="9"/>
      <x:c r="N146" s="9"/>
      <x:c r="O146" s="9"/>
      <x:c r="P146" s="9"/>
      <x:c r="Q146" s="9"/>
      <x:c r="R146" s="9"/>
      <x:c r="S146" s="9"/>
      <x:c r="T146" s="9"/>
      <x:c r="U146" s="9"/>
      <x:c r="V146" s="9"/>
      <x:c r="W146" s="12" t="str">
        <x:f>IF(A146="","",IF(COUNTIF($A$6:$A$505,A146)&gt;1,"记录ID重复",IF(COUNTIF('案件索引'!$A$6:$A$105,B146)=0,"案件ID未登记",IF(OR(C146="",D146="",F146="",G146="",H146="",I146="",J146="",K146="",M146="",N146="",Q146="",R146="",T146=""),"补对象、必要性、结果、依据或标注人",IF(AND(H146="条件必要",L146=""),"条件必要须写条件",IF(AND(R146="条件通过待执行核验",OR(M146="未知",M146="未满足",O146="",O146="未提供")),"条件或权限证据不足，退回核验","格式已填；仍须人工复核"))))))</x:f>
      </x:c>
    </x:row>
    <x:row r="147" ht="44" customHeight="1">
      <x:c r="A147" s="9"/>
      <x:c r="B147" s="9"/>
      <x:c r="C147" s="9"/>
      <x:c r="D147" s="9"/>
      <x:c r="E147" s="9"/>
      <x:c r="F147" s="9"/>
      <x:c r="G147" s="9"/>
      <x:c r="H147" s="9"/>
      <x:c r="I147" s="9"/>
      <x:c r="J147" s="9"/>
      <x:c r="K147" s="9"/>
      <x:c r="L147" s="9"/>
      <x:c r="M147" s="9"/>
      <x:c r="N147" s="9"/>
      <x:c r="O147" s="9"/>
      <x:c r="P147" s="9"/>
      <x:c r="Q147" s="9"/>
      <x:c r="R147" s="9"/>
      <x:c r="S147" s="9"/>
      <x:c r="T147" s="9"/>
      <x:c r="U147" s="9"/>
      <x:c r="V147" s="9"/>
      <x:c r="W147" s="12" t="str">
        <x:f>IF(A147="","",IF(COUNTIF($A$6:$A$505,A147)&gt;1,"记录ID重复",IF(COUNTIF('案件索引'!$A$6:$A$105,B147)=0,"案件ID未登记",IF(OR(C147="",D147="",F147="",G147="",H147="",I147="",J147="",K147="",M147="",N147="",Q147="",R147="",T147=""),"补对象、必要性、结果、依据或标注人",IF(AND(H147="条件必要",L147=""),"条件必要须写条件",IF(AND(R147="条件通过待执行核验",OR(M147="未知",M147="未满足",O147="",O147="未提供")),"条件或权限证据不足，退回核验","格式已填；仍须人工复核"))))))</x:f>
      </x:c>
    </x:row>
    <x:row r="148" ht="44" customHeight="1">
      <x:c r="A148" s="9"/>
      <x:c r="B148" s="9"/>
      <x:c r="C148" s="9"/>
      <x:c r="D148" s="9"/>
      <x:c r="E148" s="9"/>
      <x:c r="F148" s="9"/>
      <x:c r="G148" s="9"/>
      <x:c r="H148" s="9"/>
      <x:c r="I148" s="9"/>
      <x:c r="J148" s="9"/>
      <x:c r="K148" s="9"/>
      <x:c r="L148" s="9"/>
      <x:c r="M148" s="9"/>
      <x:c r="N148" s="9"/>
      <x:c r="O148" s="9"/>
      <x:c r="P148" s="9"/>
      <x:c r="Q148" s="9"/>
      <x:c r="R148" s="9"/>
      <x:c r="S148" s="9"/>
      <x:c r="T148" s="9"/>
      <x:c r="U148" s="9"/>
      <x:c r="V148" s="9"/>
      <x:c r="W148" s="12" t="str">
        <x:f>IF(A148="","",IF(COUNTIF($A$6:$A$505,A148)&gt;1,"记录ID重复",IF(COUNTIF('案件索引'!$A$6:$A$105,B148)=0,"案件ID未登记",IF(OR(C148="",D148="",F148="",G148="",H148="",I148="",J148="",K148="",M148="",N148="",Q148="",R148="",T148=""),"补对象、必要性、结果、依据或标注人",IF(AND(H148="条件必要",L148=""),"条件必要须写条件",IF(AND(R148="条件通过待执行核验",OR(M148="未知",M148="未满足",O148="",O148="未提供")),"条件或权限证据不足，退回核验","格式已填；仍须人工复核"))))))</x:f>
      </x:c>
    </x:row>
    <x:row r="149" ht="44" customHeight="1">
      <x:c r="A149" s="9"/>
      <x:c r="B149" s="9"/>
      <x:c r="C149" s="9"/>
      <x:c r="D149" s="9"/>
      <x:c r="E149" s="9"/>
      <x:c r="F149" s="9"/>
      <x:c r="G149" s="9"/>
      <x:c r="H149" s="9"/>
      <x:c r="I149" s="9"/>
      <x:c r="J149" s="9"/>
      <x:c r="K149" s="9"/>
      <x:c r="L149" s="9"/>
      <x:c r="M149" s="9"/>
      <x:c r="N149" s="9"/>
      <x:c r="O149" s="9"/>
      <x:c r="P149" s="9"/>
      <x:c r="Q149" s="9"/>
      <x:c r="R149" s="9"/>
      <x:c r="S149" s="9"/>
      <x:c r="T149" s="9"/>
      <x:c r="U149" s="9"/>
      <x:c r="V149" s="9"/>
      <x:c r="W149" s="12" t="str">
        <x:f>IF(A149="","",IF(COUNTIF($A$6:$A$505,A149)&gt;1,"记录ID重复",IF(COUNTIF('案件索引'!$A$6:$A$105,B149)=0,"案件ID未登记",IF(OR(C149="",D149="",F149="",G149="",H149="",I149="",J149="",K149="",M149="",N149="",Q149="",R149="",T149=""),"补对象、必要性、结果、依据或标注人",IF(AND(H149="条件必要",L149=""),"条件必要须写条件",IF(AND(R149="条件通过待执行核验",OR(M149="未知",M149="未满足",O149="",O149="未提供")),"条件或权限证据不足，退回核验","格式已填；仍须人工复核"))))))</x:f>
      </x:c>
    </x:row>
    <x:row r="150" ht="44" customHeight="1">
      <x:c r="A150" s="9"/>
      <x:c r="B150" s="9"/>
      <x:c r="C150" s="9"/>
      <x:c r="D150" s="9"/>
      <x:c r="E150" s="9"/>
      <x:c r="F150" s="9"/>
      <x:c r="G150" s="9"/>
      <x:c r="H150" s="9"/>
      <x:c r="I150" s="9"/>
      <x:c r="J150" s="9"/>
      <x:c r="K150" s="9"/>
      <x:c r="L150" s="9"/>
      <x:c r="M150" s="9"/>
      <x:c r="N150" s="9"/>
      <x:c r="O150" s="9"/>
      <x:c r="P150" s="9"/>
      <x:c r="Q150" s="9"/>
      <x:c r="R150" s="9"/>
      <x:c r="S150" s="9"/>
      <x:c r="T150" s="9"/>
      <x:c r="U150" s="9"/>
      <x:c r="V150" s="9"/>
      <x:c r="W150" s="12" t="str">
        <x:f>IF(A150="","",IF(COUNTIF($A$6:$A$505,A150)&gt;1,"记录ID重复",IF(COUNTIF('案件索引'!$A$6:$A$105,B150)=0,"案件ID未登记",IF(OR(C150="",D150="",F150="",G150="",H150="",I150="",J150="",K150="",M150="",N150="",Q150="",R150="",T150=""),"补对象、必要性、结果、依据或标注人",IF(AND(H150="条件必要",L150=""),"条件必要须写条件",IF(AND(R150="条件通过待执行核验",OR(M150="未知",M150="未满足",O150="",O150="未提供")),"条件或权限证据不足，退回核验","格式已填；仍须人工复核"))))))</x:f>
      </x:c>
    </x:row>
    <x:row r="151" ht="44" customHeight="1">
      <x:c r="A151" s="9"/>
      <x:c r="B151" s="9"/>
      <x:c r="C151" s="9"/>
      <x:c r="D151" s="9"/>
      <x:c r="E151" s="9"/>
      <x:c r="F151" s="9"/>
      <x:c r="G151" s="9"/>
      <x:c r="H151" s="9"/>
      <x:c r="I151" s="9"/>
      <x:c r="J151" s="9"/>
      <x:c r="K151" s="9"/>
      <x:c r="L151" s="9"/>
      <x:c r="M151" s="9"/>
      <x:c r="N151" s="9"/>
      <x:c r="O151" s="9"/>
      <x:c r="P151" s="9"/>
      <x:c r="Q151" s="9"/>
      <x:c r="R151" s="9"/>
      <x:c r="S151" s="9"/>
      <x:c r="T151" s="9"/>
      <x:c r="U151" s="9"/>
      <x:c r="V151" s="9"/>
      <x:c r="W151" s="12" t="str">
        <x:f>IF(A151="","",IF(COUNTIF($A$6:$A$505,A151)&gt;1,"记录ID重复",IF(COUNTIF('案件索引'!$A$6:$A$105,B151)=0,"案件ID未登记",IF(OR(C151="",D151="",F151="",G151="",H151="",I151="",J151="",K151="",M151="",N151="",Q151="",R151="",T151=""),"补对象、必要性、结果、依据或标注人",IF(AND(H151="条件必要",L151=""),"条件必要须写条件",IF(AND(R151="条件通过待执行核验",OR(M151="未知",M151="未满足",O151="",O151="未提供")),"条件或权限证据不足，退回核验","格式已填；仍须人工复核"))))))</x:f>
      </x:c>
    </x:row>
    <x:row r="152" ht="44" customHeight="1">
      <x:c r="A152" s="9"/>
      <x:c r="B152" s="9"/>
      <x:c r="C152" s="9"/>
      <x:c r="D152" s="9"/>
      <x:c r="E152" s="9"/>
      <x:c r="F152" s="9"/>
      <x:c r="G152" s="9"/>
      <x:c r="H152" s="9"/>
      <x:c r="I152" s="9"/>
      <x:c r="J152" s="9"/>
      <x:c r="K152" s="9"/>
      <x:c r="L152" s="9"/>
      <x:c r="M152" s="9"/>
      <x:c r="N152" s="9"/>
      <x:c r="O152" s="9"/>
      <x:c r="P152" s="9"/>
      <x:c r="Q152" s="9"/>
      <x:c r="R152" s="9"/>
      <x:c r="S152" s="9"/>
      <x:c r="T152" s="9"/>
      <x:c r="U152" s="9"/>
      <x:c r="V152" s="9"/>
      <x:c r="W152" s="12" t="str">
        <x:f>IF(A152="","",IF(COUNTIF($A$6:$A$505,A152)&gt;1,"记录ID重复",IF(COUNTIF('案件索引'!$A$6:$A$105,B152)=0,"案件ID未登记",IF(OR(C152="",D152="",F152="",G152="",H152="",I152="",J152="",K152="",M152="",N152="",Q152="",R152="",T152=""),"补对象、必要性、结果、依据或标注人",IF(AND(H152="条件必要",L152=""),"条件必要须写条件",IF(AND(R152="条件通过待执行核验",OR(M152="未知",M152="未满足",O152="",O152="未提供")),"条件或权限证据不足，退回核验","格式已填；仍须人工复核"))))))</x:f>
      </x:c>
    </x:row>
    <x:row r="153" ht="44" customHeight="1">
      <x:c r="A153" s="9"/>
      <x:c r="B153" s="9"/>
      <x:c r="C153" s="9"/>
      <x:c r="D153" s="9"/>
      <x:c r="E153" s="9"/>
      <x:c r="F153" s="9"/>
      <x:c r="G153" s="9"/>
      <x:c r="H153" s="9"/>
      <x:c r="I153" s="9"/>
      <x:c r="J153" s="9"/>
      <x:c r="K153" s="9"/>
      <x:c r="L153" s="9"/>
      <x:c r="M153" s="9"/>
      <x:c r="N153" s="9"/>
      <x:c r="O153" s="9"/>
      <x:c r="P153" s="9"/>
      <x:c r="Q153" s="9"/>
      <x:c r="R153" s="9"/>
      <x:c r="S153" s="9"/>
      <x:c r="T153" s="9"/>
      <x:c r="U153" s="9"/>
      <x:c r="V153" s="9"/>
      <x:c r="W153" s="12" t="str">
        <x:f>IF(A153="","",IF(COUNTIF($A$6:$A$505,A153)&gt;1,"记录ID重复",IF(COUNTIF('案件索引'!$A$6:$A$105,B153)=0,"案件ID未登记",IF(OR(C153="",D153="",F153="",G153="",H153="",I153="",J153="",K153="",M153="",N153="",Q153="",R153="",T153=""),"补对象、必要性、结果、依据或标注人",IF(AND(H153="条件必要",L153=""),"条件必要须写条件",IF(AND(R153="条件通过待执行核验",OR(M153="未知",M153="未满足",O153="",O153="未提供")),"条件或权限证据不足，退回核验","格式已填；仍须人工复核"))))))</x:f>
      </x:c>
    </x:row>
    <x:row r="154" ht="44" customHeight="1">
      <x:c r="A154" s="9"/>
      <x:c r="B154" s="9"/>
      <x:c r="C154" s="9"/>
      <x:c r="D154" s="9"/>
      <x:c r="E154" s="9"/>
      <x:c r="F154" s="9"/>
      <x:c r="G154" s="9"/>
      <x:c r="H154" s="9"/>
      <x:c r="I154" s="9"/>
      <x:c r="J154" s="9"/>
      <x:c r="K154" s="9"/>
      <x:c r="L154" s="9"/>
      <x:c r="M154" s="9"/>
      <x:c r="N154" s="9"/>
      <x:c r="O154" s="9"/>
      <x:c r="P154" s="9"/>
      <x:c r="Q154" s="9"/>
      <x:c r="R154" s="9"/>
      <x:c r="S154" s="9"/>
      <x:c r="T154" s="9"/>
      <x:c r="U154" s="9"/>
      <x:c r="V154" s="9"/>
      <x:c r="W154" s="12" t="str">
        <x:f>IF(A154="","",IF(COUNTIF($A$6:$A$505,A154)&gt;1,"记录ID重复",IF(COUNTIF('案件索引'!$A$6:$A$105,B154)=0,"案件ID未登记",IF(OR(C154="",D154="",F154="",G154="",H154="",I154="",J154="",K154="",M154="",N154="",Q154="",R154="",T154=""),"补对象、必要性、结果、依据或标注人",IF(AND(H154="条件必要",L154=""),"条件必要须写条件",IF(AND(R154="条件通过待执行核验",OR(M154="未知",M154="未满足",O154="",O154="未提供")),"条件或权限证据不足，退回核验","格式已填；仍须人工复核"))))))</x:f>
      </x:c>
    </x:row>
    <x:row r="155" ht="44" customHeight="1">
      <x:c r="A155" s="9"/>
      <x:c r="B155" s="9"/>
      <x:c r="C155" s="9"/>
      <x:c r="D155" s="9"/>
      <x:c r="E155" s="9"/>
      <x:c r="F155" s="9"/>
      <x:c r="G155" s="9"/>
      <x:c r="H155" s="9"/>
      <x:c r="I155" s="9"/>
      <x:c r="J155" s="9"/>
      <x:c r="K155" s="9"/>
      <x:c r="L155" s="9"/>
      <x:c r="M155" s="9"/>
      <x:c r="N155" s="9"/>
      <x:c r="O155" s="9"/>
      <x:c r="P155" s="9"/>
      <x:c r="Q155" s="9"/>
      <x:c r="R155" s="9"/>
      <x:c r="S155" s="9"/>
      <x:c r="T155" s="9"/>
      <x:c r="U155" s="9"/>
      <x:c r="V155" s="9"/>
      <x:c r="W155" s="12" t="str">
        <x:f>IF(A155="","",IF(COUNTIF($A$6:$A$505,A155)&gt;1,"记录ID重复",IF(COUNTIF('案件索引'!$A$6:$A$105,B155)=0,"案件ID未登记",IF(OR(C155="",D155="",F155="",G155="",H155="",I155="",J155="",K155="",M155="",N155="",Q155="",R155="",T155=""),"补对象、必要性、结果、依据或标注人",IF(AND(H155="条件必要",L155=""),"条件必要须写条件",IF(AND(R155="条件通过待执行核验",OR(M155="未知",M155="未满足",O155="",O155="未提供")),"条件或权限证据不足，退回核验","格式已填；仍须人工复核"))))))</x:f>
      </x:c>
    </x:row>
    <x:row r="156" ht="44" customHeight="1">
      <x:c r="A156" s="9"/>
      <x:c r="B156" s="9"/>
      <x:c r="C156" s="9"/>
      <x:c r="D156" s="9"/>
      <x:c r="E156" s="9"/>
      <x:c r="F156" s="9"/>
      <x:c r="G156" s="9"/>
      <x:c r="H156" s="9"/>
      <x:c r="I156" s="9"/>
      <x:c r="J156" s="9"/>
      <x:c r="K156" s="9"/>
      <x:c r="L156" s="9"/>
      <x:c r="M156" s="9"/>
      <x:c r="N156" s="9"/>
      <x:c r="O156" s="9"/>
      <x:c r="P156" s="9"/>
      <x:c r="Q156" s="9"/>
      <x:c r="R156" s="9"/>
      <x:c r="S156" s="9"/>
      <x:c r="T156" s="9"/>
      <x:c r="U156" s="9"/>
      <x:c r="V156" s="9"/>
      <x:c r="W156" s="12" t="str">
        <x:f>IF(A156="","",IF(COUNTIF($A$6:$A$505,A156)&gt;1,"记录ID重复",IF(COUNTIF('案件索引'!$A$6:$A$105,B156)=0,"案件ID未登记",IF(OR(C156="",D156="",F156="",G156="",H156="",I156="",J156="",K156="",M156="",N156="",Q156="",R156="",T156=""),"补对象、必要性、结果、依据或标注人",IF(AND(H156="条件必要",L156=""),"条件必要须写条件",IF(AND(R156="条件通过待执行核验",OR(M156="未知",M156="未满足",O156="",O156="未提供")),"条件或权限证据不足，退回核验","格式已填；仍须人工复核"))))))</x:f>
      </x:c>
    </x:row>
    <x:row r="157" ht="44" customHeight="1">
      <x:c r="A157" s="9"/>
      <x:c r="B157" s="9"/>
      <x:c r="C157" s="9"/>
      <x:c r="D157" s="9"/>
      <x:c r="E157" s="9"/>
      <x:c r="F157" s="9"/>
      <x:c r="G157" s="9"/>
      <x:c r="H157" s="9"/>
      <x:c r="I157" s="9"/>
      <x:c r="J157" s="9"/>
      <x:c r="K157" s="9"/>
      <x:c r="L157" s="9"/>
      <x:c r="M157" s="9"/>
      <x:c r="N157" s="9"/>
      <x:c r="O157" s="9"/>
      <x:c r="P157" s="9"/>
      <x:c r="Q157" s="9"/>
      <x:c r="R157" s="9"/>
      <x:c r="S157" s="9"/>
      <x:c r="T157" s="9"/>
      <x:c r="U157" s="9"/>
      <x:c r="V157" s="9"/>
      <x:c r="W157" s="12" t="str">
        <x:f>IF(A157="","",IF(COUNTIF($A$6:$A$505,A157)&gt;1,"记录ID重复",IF(COUNTIF('案件索引'!$A$6:$A$105,B157)=0,"案件ID未登记",IF(OR(C157="",D157="",F157="",G157="",H157="",I157="",J157="",K157="",M157="",N157="",Q157="",R157="",T157=""),"补对象、必要性、结果、依据或标注人",IF(AND(H157="条件必要",L157=""),"条件必要须写条件",IF(AND(R157="条件通过待执行核验",OR(M157="未知",M157="未满足",O157="",O157="未提供")),"条件或权限证据不足，退回核验","格式已填；仍须人工复核"))))))</x:f>
      </x:c>
    </x:row>
    <x:row r="158" ht="44" customHeight="1">
      <x:c r="A158" s="9"/>
      <x:c r="B158" s="9"/>
      <x:c r="C158" s="9"/>
      <x:c r="D158" s="9"/>
      <x:c r="E158" s="9"/>
      <x:c r="F158" s="9"/>
      <x:c r="G158" s="9"/>
      <x:c r="H158" s="9"/>
      <x:c r="I158" s="9"/>
      <x:c r="J158" s="9"/>
      <x:c r="K158" s="9"/>
      <x:c r="L158" s="9"/>
      <x:c r="M158" s="9"/>
      <x:c r="N158" s="9"/>
      <x:c r="O158" s="9"/>
      <x:c r="P158" s="9"/>
      <x:c r="Q158" s="9"/>
      <x:c r="R158" s="9"/>
      <x:c r="S158" s="9"/>
      <x:c r="T158" s="9"/>
      <x:c r="U158" s="9"/>
      <x:c r="V158" s="9"/>
      <x:c r="W158" s="12" t="str">
        <x:f>IF(A158="","",IF(COUNTIF($A$6:$A$505,A158)&gt;1,"记录ID重复",IF(COUNTIF('案件索引'!$A$6:$A$105,B158)=0,"案件ID未登记",IF(OR(C158="",D158="",F158="",G158="",H158="",I158="",J158="",K158="",M158="",N158="",Q158="",R158="",T158=""),"补对象、必要性、结果、依据或标注人",IF(AND(H158="条件必要",L158=""),"条件必要须写条件",IF(AND(R158="条件通过待执行核验",OR(M158="未知",M158="未满足",O158="",O158="未提供")),"条件或权限证据不足，退回核验","格式已填；仍须人工复核"))))))</x:f>
      </x:c>
    </x:row>
    <x:row r="159" ht="44" customHeight="1">
      <x:c r="A159" s="9"/>
      <x:c r="B159" s="9"/>
      <x:c r="C159" s="9"/>
      <x:c r="D159" s="9"/>
      <x:c r="E159" s="9"/>
      <x:c r="F159" s="9"/>
      <x:c r="G159" s="9"/>
      <x:c r="H159" s="9"/>
      <x:c r="I159" s="9"/>
      <x:c r="J159" s="9"/>
      <x:c r="K159" s="9"/>
      <x:c r="L159" s="9"/>
      <x:c r="M159" s="9"/>
      <x:c r="N159" s="9"/>
      <x:c r="O159" s="9"/>
      <x:c r="P159" s="9"/>
      <x:c r="Q159" s="9"/>
      <x:c r="R159" s="9"/>
      <x:c r="S159" s="9"/>
      <x:c r="T159" s="9"/>
      <x:c r="U159" s="9"/>
      <x:c r="V159" s="9"/>
      <x:c r="W159" s="12" t="str">
        <x:f>IF(A159="","",IF(COUNTIF($A$6:$A$505,A159)&gt;1,"记录ID重复",IF(COUNTIF('案件索引'!$A$6:$A$105,B159)=0,"案件ID未登记",IF(OR(C159="",D159="",F159="",G159="",H159="",I159="",J159="",K159="",M159="",N159="",Q159="",R159="",T159=""),"补对象、必要性、结果、依据或标注人",IF(AND(H159="条件必要",L159=""),"条件必要须写条件",IF(AND(R159="条件通过待执行核验",OR(M159="未知",M159="未满足",O159="",O159="未提供")),"条件或权限证据不足，退回核验","格式已填；仍须人工复核"))))))</x:f>
      </x:c>
    </x:row>
    <x:row r="160" ht="44" customHeight="1">
      <x:c r="A160" s="9"/>
      <x:c r="B160" s="9"/>
      <x:c r="C160" s="9"/>
      <x:c r="D160" s="9"/>
      <x:c r="E160" s="9"/>
      <x:c r="F160" s="9"/>
      <x:c r="G160" s="9"/>
      <x:c r="H160" s="9"/>
      <x:c r="I160" s="9"/>
      <x:c r="J160" s="9"/>
      <x:c r="K160" s="9"/>
      <x:c r="L160" s="9"/>
      <x:c r="M160" s="9"/>
      <x:c r="N160" s="9"/>
      <x:c r="O160" s="9"/>
      <x:c r="P160" s="9"/>
      <x:c r="Q160" s="9"/>
      <x:c r="R160" s="9"/>
      <x:c r="S160" s="9"/>
      <x:c r="T160" s="9"/>
      <x:c r="U160" s="9"/>
      <x:c r="V160" s="9"/>
      <x:c r="W160" s="12" t="str">
        <x:f>IF(A160="","",IF(COUNTIF($A$6:$A$505,A160)&gt;1,"记录ID重复",IF(COUNTIF('案件索引'!$A$6:$A$105,B160)=0,"案件ID未登记",IF(OR(C160="",D160="",F160="",G160="",H160="",I160="",J160="",K160="",M160="",N160="",Q160="",R160="",T160=""),"补对象、必要性、结果、依据或标注人",IF(AND(H160="条件必要",L160=""),"条件必要须写条件",IF(AND(R160="条件通过待执行核验",OR(M160="未知",M160="未满足",O160="",O160="未提供")),"条件或权限证据不足，退回核验","格式已填；仍须人工复核"))))))</x:f>
      </x:c>
    </x:row>
    <x:row r="161" ht="44" customHeight="1">
      <x:c r="A161" s="9"/>
      <x:c r="B161" s="9"/>
      <x:c r="C161" s="9"/>
      <x:c r="D161" s="9"/>
      <x:c r="E161" s="9"/>
      <x:c r="F161" s="9"/>
      <x:c r="G161" s="9"/>
      <x:c r="H161" s="9"/>
      <x:c r="I161" s="9"/>
      <x:c r="J161" s="9"/>
      <x:c r="K161" s="9"/>
      <x:c r="L161" s="9"/>
      <x:c r="M161" s="9"/>
      <x:c r="N161" s="9"/>
      <x:c r="O161" s="9"/>
      <x:c r="P161" s="9"/>
      <x:c r="Q161" s="9"/>
      <x:c r="R161" s="9"/>
      <x:c r="S161" s="9"/>
      <x:c r="T161" s="9"/>
      <x:c r="U161" s="9"/>
      <x:c r="V161" s="9"/>
      <x:c r="W161" s="12" t="str">
        <x:f>IF(A161="","",IF(COUNTIF($A$6:$A$505,A161)&gt;1,"记录ID重复",IF(COUNTIF('案件索引'!$A$6:$A$105,B161)=0,"案件ID未登记",IF(OR(C161="",D161="",F161="",G161="",H161="",I161="",J161="",K161="",M161="",N161="",Q161="",R161="",T161=""),"补对象、必要性、结果、依据或标注人",IF(AND(H161="条件必要",L161=""),"条件必要须写条件",IF(AND(R161="条件通过待执行核验",OR(M161="未知",M161="未满足",O161="",O161="未提供")),"条件或权限证据不足，退回核验","格式已填；仍须人工复核"))))))</x:f>
      </x:c>
    </x:row>
    <x:row r="162" ht="44" customHeight="1">
      <x:c r="A162" s="9"/>
      <x:c r="B162" s="9"/>
      <x:c r="C162" s="9"/>
      <x:c r="D162" s="9"/>
      <x:c r="E162" s="9"/>
      <x:c r="F162" s="9"/>
      <x:c r="G162" s="9"/>
      <x:c r="H162" s="9"/>
      <x:c r="I162" s="9"/>
      <x:c r="J162" s="9"/>
      <x:c r="K162" s="9"/>
      <x:c r="L162" s="9"/>
      <x:c r="M162" s="9"/>
      <x:c r="N162" s="9"/>
      <x:c r="O162" s="9"/>
      <x:c r="P162" s="9"/>
      <x:c r="Q162" s="9"/>
      <x:c r="R162" s="9"/>
      <x:c r="S162" s="9"/>
      <x:c r="T162" s="9"/>
      <x:c r="U162" s="9"/>
      <x:c r="V162" s="9"/>
      <x:c r="W162" s="12" t="str">
        <x:f>IF(A162="","",IF(COUNTIF($A$6:$A$505,A162)&gt;1,"记录ID重复",IF(COUNTIF('案件索引'!$A$6:$A$105,B162)=0,"案件ID未登记",IF(OR(C162="",D162="",F162="",G162="",H162="",I162="",J162="",K162="",M162="",N162="",Q162="",R162="",T162=""),"补对象、必要性、结果、依据或标注人",IF(AND(H162="条件必要",L162=""),"条件必要须写条件",IF(AND(R162="条件通过待执行核验",OR(M162="未知",M162="未满足",O162="",O162="未提供")),"条件或权限证据不足，退回核验","格式已填；仍须人工复核"))))))</x:f>
      </x:c>
    </x:row>
    <x:row r="163" ht="44" customHeight="1">
      <x:c r="A163" s="9"/>
      <x:c r="B163" s="9"/>
      <x:c r="C163" s="9"/>
      <x:c r="D163" s="9"/>
      <x:c r="E163" s="9"/>
      <x:c r="F163" s="9"/>
      <x:c r="G163" s="9"/>
      <x:c r="H163" s="9"/>
      <x:c r="I163" s="9"/>
      <x:c r="J163" s="9"/>
      <x:c r="K163" s="9"/>
      <x:c r="L163" s="9"/>
      <x:c r="M163" s="9"/>
      <x:c r="N163" s="9"/>
      <x:c r="O163" s="9"/>
      <x:c r="P163" s="9"/>
      <x:c r="Q163" s="9"/>
      <x:c r="R163" s="9"/>
      <x:c r="S163" s="9"/>
      <x:c r="T163" s="9"/>
      <x:c r="U163" s="9"/>
      <x:c r="V163" s="9"/>
      <x:c r="W163" s="12" t="str">
        <x:f>IF(A163="","",IF(COUNTIF($A$6:$A$505,A163)&gt;1,"记录ID重复",IF(COUNTIF('案件索引'!$A$6:$A$105,B163)=0,"案件ID未登记",IF(OR(C163="",D163="",F163="",G163="",H163="",I163="",J163="",K163="",M163="",N163="",Q163="",R163="",T163=""),"补对象、必要性、结果、依据或标注人",IF(AND(H163="条件必要",L163=""),"条件必要须写条件",IF(AND(R163="条件通过待执行核验",OR(M163="未知",M163="未满足",O163="",O163="未提供")),"条件或权限证据不足，退回核验","格式已填；仍须人工复核"))))))</x:f>
      </x:c>
    </x:row>
    <x:row r="164" ht="44" customHeight="1">
      <x:c r="A164" s="9"/>
      <x:c r="B164" s="9"/>
      <x:c r="C164" s="9"/>
      <x:c r="D164" s="9"/>
      <x:c r="E164" s="9"/>
      <x:c r="F164" s="9"/>
      <x:c r="G164" s="9"/>
      <x:c r="H164" s="9"/>
      <x:c r="I164" s="9"/>
      <x:c r="J164" s="9"/>
      <x:c r="K164" s="9"/>
      <x:c r="L164" s="9"/>
      <x:c r="M164" s="9"/>
      <x:c r="N164" s="9"/>
      <x:c r="O164" s="9"/>
      <x:c r="P164" s="9"/>
      <x:c r="Q164" s="9"/>
      <x:c r="R164" s="9"/>
      <x:c r="S164" s="9"/>
      <x:c r="T164" s="9"/>
      <x:c r="U164" s="9"/>
      <x:c r="V164" s="9"/>
      <x:c r="W164" s="12" t="str">
        <x:f>IF(A164="","",IF(COUNTIF($A$6:$A$505,A164)&gt;1,"记录ID重复",IF(COUNTIF('案件索引'!$A$6:$A$105,B164)=0,"案件ID未登记",IF(OR(C164="",D164="",F164="",G164="",H164="",I164="",J164="",K164="",M164="",N164="",Q164="",R164="",T164=""),"补对象、必要性、结果、依据或标注人",IF(AND(H164="条件必要",L164=""),"条件必要须写条件",IF(AND(R164="条件通过待执行核验",OR(M164="未知",M164="未满足",O164="",O164="未提供")),"条件或权限证据不足，退回核验","格式已填；仍须人工复核"))))))</x:f>
      </x:c>
    </x:row>
    <x:row r="165" ht="44" customHeight="1">
      <x:c r="A165" s="9"/>
      <x:c r="B165" s="9"/>
      <x:c r="C165" s="9"/>
      <x:c r="D165" s="9"/>
      <x:c r="E165" s="9"/>
      <x:c r="F165" s="9"/>
      <x:c r="G165" s="9"/>
      <x:c r="H165" s="9"/>
      <x:c r="I165" s="9"/>
      <x:c r="J165" s="9"/>
      <x:c r="K165" s="9"/>
      <x:c r="L165" s="9"/>
      <x:c r="M165" s="9"/>
      <x:c r="N165" s="9"/>
      <x:c r="O165" s="9"/>
      <x:c r="P165" s="9"/>
      <x:c r="Q165" s="9"/>
      <x:c r="R165" s="9"/>
      <x:c r="S165" s="9"/>
      <x:c r="T165" s="9"/>
      <x:c r="U165" s="9"/>
      <x:c r="V165" s="9"/>
      <x:c r="W165" s="12" t="str">
        <x:f>IF(A165="","",IF(COUNTIF($A$6:$A$505,A165)&gt;1,"记录ID重复",IF(COUNTIF('案件索引'!$A$6:$A$105,B165)=0,"案件ID未登记",IF(OR(C165="",D165="",F165="",G165="",H165="",I165="",J165="",K165="",M165="",N165="",Q165="",R165="",T165=""),"补对象、必要性、结果、依据或标注人",IF(AND(H165="条件必要",L165=""),"条件必要须写条件",IF(AND(R165="条件通过待执行核验",OR(M165="未知",M165="未满足",O165="",O165="未提供")),"条件或权限证据不足，退回核验","格式已填；仍须人工复核"))))))</x:f>
      </x:c>
    </x:row>
    <x:row r="166" ht="44" customHeight="1">
      <x:c r="A166" s="9"/>
      <x:c r="B166" s="9"/>
      <x:c r="C166" s="9"/>
      <x:c r="D166" s="9"/>
      <x:c r="E166" s="9"/>
      <x:c r="F166" s="9"/>
      <x:c r="G166" s="9"/>
      <x:c r="H166" s="9"/>
      <x:c r="I166" s="9"/>
      <x:c r="J166" s="9"/>
      <x:c r="K166" s="9"/>
      <x:c r="L166" s="9"/>
      <x:c r="M166" s="9"/>
      <x:c r="N166" s="9"/>
      <x:c r="O166" s="9"/>
      <x:c r="P166" s="9"/>
      <x:c r="Q166" s="9"/>
      <x:c r="R166" s="9"/>
      <x:c r="S166" s="9"/>
      <x:c r="T166" s="9"/>
      <x:c r="U166" s="9"/>
      <x:c r="V166" s="9"/>
      <x:c r="W166" s="12" t="str">
        <x:f>IF(A166="","",IF(COUNTIF($A$6:$A$505,A166)&gt;1,"记录ID重复",IF(COUNTIF('案件索引'!$A$6:$A$105,B166)=0,"案件ID未登记",IF(OR(C166="",D166="",F166="",G166="",H166="",I166="",J166="",K166="",M166="",N166="",Q166="",R166="",T166=""),"补对象、必要性、结果、依据或标注人",IF(AND(H166="条件必要",L166=""),"条件必要须写条件",IF(AND(R166="条件通过待执行核验",OR(M166="未知",M166="未满足",O166="",O166="未提供")),"条件或权限证据不足，退回核验","格式已填；仍须人工复核"))))))</x:f>
      </x:c>
    </x:row>
    <x:row r="167" ht="44" customHeight="1">
      <x:c r="A167" s="9"/>
      <x:c r="B167" s="9"/>
      <x:c r="C167" s="9"/>
      <x:c r="D167" s="9"/>
      <x:c r="E167" s="9"/>
      <x:c r="F167" s="9"/>
      <x:c r="G167" s="9"/>
      <x:c r="H167" s="9"/>
      <x:c r="I167" s="9"/>
      <x:c r="J167" s="9"/>
      <x:c r="K167" s="9"/>
      <x:c r="L167" s="9"/>
      <x:c r="M167" s="9"/>
      <x:c r="N167" s="9"/>
      <x:c r="O167" s="9"/>
      <x:c r="P167" s="9"/>
      <x:c r="Q167" s="9"/>
      <x:c r="R167" s="9"/>
      <x:c r="S167" s="9"/>
      <x:c r="T167" s="9"/>
      <x:c r="U167" s="9"/>
      <x:c r="V167" s="9"/>
      <x:c r="W167" s="12" t="str">
        <x:f>IF(A167="","",IF(COUNTIF($A$6:$A$505,A167)&gt;1,"记录ID重复",IF(COUNTIF('案件索引'!$A$6:$A$105,B167)=0,"案件ID未登记",IF(OR(C167="",D167="",F167="",G167="",H167="",I167="",J167="",K167="",M167="",N167="",Q167="",R167="",T167=""),"补对象、必要性、结果、依据或标注人",IF(AND(H167="条件必要",L167=""),"条件必要须写条件",IF(AND(R167="条件通过待执行核验",OR(M167="未知",M167="未满足",O167="",O167="未提供")),"条件或权限证据不足，退回核验","格式已填；仍须人工复核"))))))</x:f>
      </x:c>
    </x:row>
    <x:row r="168" ht="44" customHeight="1">
      <x:c r="A168" s="9"/>
      <x:c r="B168" s="9"/>
      <x:c r="C168" s="9"/>
      <x:c r="D168" s="9"/>
      <x:c r="E168" s="9"/>
      <x:c r="F168" s="9"/>
      <x:c r="G168" s="9"/>
      <x:c r="H168" s="9"/>
      <x:c r="I168" s="9"/>
      <x:c r="J168" s="9"/>
      <x:c r="K168" s="9"/>
      <x:c r="L168" s="9"/>
      <x:c r="M168" s="9"/>
      <x:c r="N168" s="9"/>
      <x:c r="O168" s="9"/>
      <x:c r="P168" s="9"/>
      <x:c r="Q168" s="9"/>
      <x:c r="R168" s="9"/>
      <x:c r="S168" s="9"/>
      <x:c r="T168" s="9"/>
      <x:c r="U168" s="9"/>
      <x:c r="V168" s="9"/>
      <x:c r="W168" s="12" t="str">
        <x:f>IF(A168="","",IF(COUNTIF($A$6:$A$505,A168)&gt;1,"记录ID重复",IF(COUNTIF('案件索引'!$A$6:$A$105,B168)=0,"案件ID未登记",IF(OR(C168="",D168="",F168="",G168="",H168="",I168="",J168="",K168="",M168="",N168="",Q168="",R168="",T168=""),"补对象、必要性、结果、依据或标注人",IF(AND(H168="条件必要",L168=""),"条件必要须写条件",IF(AND(R168="条件通过待执行核验",OR(M168="未知",M168="未满足",O168="",O168="未提供")),"条件或权限证据不足，退回核验","格式已填；仍须人工复核"))))))</x:f>
      </x:c>
    </x:row>
    <x:row r="169" ht="44" customHeight="1">
      <x:c r="A169" s="9"/>
      <x:c r="B169" s="9"/>
      <x:c r="C169" s="9"/>
      <x:c r="D169" s="9"/>
      <x:c r="E169" s="9"/>
      <x:c r="F169" s="9"/>
      <x:c r="G169" s="9"/>
      <x:c r="H169" s="9"/>
      <x:c r="I169" s="9"/>
      <x:c r="J169" s="9"/>
      <x:c r="K169" s="9"/>
      <x:c r="L169" s="9"/>
      <x:c r="M169" s="9"/>
      <x:c r="N169" s="9"/>
      <x:c r="O169" s="9"/>
      <x:c r="P169" s="9"/>
      <x:c r="Q169" s="9"/>
      <x:c r="R169" s="9"/>
      <x:c r="S169" s="9"/>
      <x:c r="T169" s="9"/>
      <x:c r="U169" s="9"/>
      <x:c r="V169" s="9"/>
      <x:c r="W169" s="12" t="str">
        <x:f>IF(A169="","",IF(COUNTIF($A$6:$A$505,A169)&gt;1,"记录ID重复",IF(COUNTIF('案件索引'!$A$6:$A$105,B169)=0,"案件ID未登记",IF(OR(C169="",D169="",F169="",G169="",H169="",I169="",J169="",K169="",M169="",N169="",Q169="",R169="",T169=""),"补对象、必要性、结果、依据或标注人",IF(AND(H169="条件必要",L169=""),"条件必要须写条件",IF(AND(R169="条件通过待执行核验",OR(M169="未知",M169="未满足",O169="",O169="未提供")),"条件或权限证据不足，退回核验","格式已填；仍须人工复核"))))))</x:f>
      </x:c>
    </x:row>
    <x:row r="170" ht="44" customHeight="1">
      <x:c r="A170" s="9"/>
      <x:c r="B170" s="9"/>
      <x:c r="C170" s="9"/>
      <x:c r="D170" s="9"/>
      <x:c r="E170" s="9"/>
      <x:c r="F170" s="9"/>
      <x:c r="G170" s="9"/>
      <x:c r="H170" s="9"/>
      <x:c r="I170" s="9"/>
      <x:c r="J170" s="9"/>
      <x:c r="K170" s="9"/>
      <x:c r="L170" s="9"/>
      <x:c r="M170" s="9"/>
      <x:c r="N170" s="9"/>
      <x:c r="O170" s="9"/>
      <x:c r="P170" s="9"/>
      <x:c r="Q170" s="9"/>
      <x:c r="R170" s="9"/>
      <x:c r="S170" s="9"/>
      <x:c r="T170" s="9"/>
      <x:c r="U170" s="9"/>
      <x:c r="V170" s="9"/>
      <x:c r="W170" s="12" t="str">
        <x:f>IF(A170="","",IF(COUNTIF($A$6:$A$505,A170)&gt;1,"记录ID重复",IF(COUNTIF('案件索引'!$A$6:$A$105,B170)=0,"案件ID未登记",IF(OR(C170="",D170="",F170="",G170="",H170="",I170="",J170="",K170="",M170="",N170="",Q170="",R170="",T170=""),"补对象、必要性、结果、依据或标注人",IF(AND(H170="条件必要",L170=""),"条件必要须写条件",IF(AND(R170="条件通过待执行核验",OR(M170="未知",M170="未满足",O170="",O170="未提供")),"条件或权限证据不足，退回核验","格式已填；仍须人工复核"))))))</x:f>
      </x:c>
    </x:row>
    <x:row r="171" ht="44" customHeight="1">
      <x:c r="A171" s="9"/>
      <x:c r="B171" s="9"/>
      <x:c r="C171" s="9"/>
      <x:c r="D171" s="9"/>
      <x:c r="E171" s="9"/>
      <x:c r="F171" s="9"/>
      <x:c r="G171" s="9"/>
      <x:c r="H171" s="9"/>
      <x:c r="I171" s="9"/>
      <x:c r="J171" s="9"/>
      <x:c r="K171" s="9"/>
      <x:c r="L171" s="9"/>
      <x:c r="M171" s="9"/>
      <x:c r="N171" s="9"/>
      <x:c r="O171" s="9"/>
      <x:c r="P171" s="9"/>
      <x:c r="Q171" s="9"/>
      <x:c r="R171" s="9"/>
      <x:c r="S171" s="9"/>
      <x:c r="T171" s="9"/>
      <x:c r="U171" s="9"/>
      <x:c r="V171" s="9"/>
      <x:c r="W171" s="12" t="str">
        <x:f>IF(A171="","",IF(COUNTIF($A$6:$A$505,A171)&gt;1,"记录ID重复",IF(COUNTIF('案件索引'!$A$6:$A$105,B171)=0,"案件ID未登记",IF(OR(C171="",D171="",F171="",G171="",H171="",I171="",J171="",K171="",M171="",N171="",Q171="",R171="",T171=""),"补对象、必要性、结果、依据或标注人",IF(AND(H171="条件必要",L171=""),"条件必要须写条件",IF(AND(R171="条件通过待执行核验",OR(M171="未知",M171="未满足",O171="",O171="未提供")),"条件或权限证据不足，退回核验","格式已填；仍须人工复核"))))))</x:f>
      </x:c>
    </x:row>
    <x:row r="172" ht="44" customHeight="1">
      <x:c r="A172" s="9"/>
      <x:c r="B172" s="9"/>
      <x:c r="C172" s="9"/>
      <x:c r="D172" s="9"/>
      <x:c r="E172" s="9"/>
      <x:c r="F172" s="9"/>
      <x:c r="G172" s="9"/>
      <x:c r="H172" s="9"/>
      <x:c r="I172" s="9"/>
      <x:c r="J172" s="9"/>
      <x:c r="K172" s="9"/>
      <x:c r="L172" s="9"/>
      <x:c r="M172" s="9"/>
      <x:c r="N172" s="9"/>
      <x:c r="O172" s="9"/>
      <x:c r="P172" s="9"/>
      <x:c r="Q172" s="9"/>
      <x:c r="R172" s="9"/>
      <x:c r="S172" s="9"/>
      <x:c r="T172" s="9"/>
      <x:c r="U172" s="9"/>
      <x:c r="V172" s="9"/>
      <x:c r="W172" s="12" t="str">
        <x:f>IF(A172="","",IF(COUNTIF($A$6:$A$505,A172)&gt;1,"记录ID重复",IF(COUNTIF('案件索引'!$A$6:$A$105,B172)=0,"案件ID未登记",IF(OR(C172="",D172="",F172="",G172="",H172="",I172="",J172="",K172="",M172="",N172="",Q172="",R172="",T172=""),"补对象、必要性、结果、依据或标注人",IF(AND(H172="条件必要",L172=""),"条件必要须写条件",IF(AND(R172="条件通过待执行核验",OR(M172="未知",M172="未满足",O172="",O172="未提供")),"条件或权限证据不足，退回核验","格式已填；仍须人工复核"))))))</x:f>
      </x:c>
    </x:row>
    <x:row r="173" ht="44" customHeight="1">
      <x:c r="A173" s="9"/>
      <x:c r="B173" s="9"/>
      <x:c r="C173" s="9"/>
      <x:c r="D173" s="9"/>
      <x:c r="E173" s="9"/>
      <x:c r="F173" s="9"/>
      <x:c r="G173" s="9"/>
      <x:c r="H173" s="9"/>
      <x:c r="I173" s="9"/>
      <x:c r="J173" s="9"/>
      <x:c r="K173" s="9"/>
      <x:c r="L173" s="9"/>
      <x:c r="M173" s="9"/>
      <x:c r="N173" s="9"/>
      <x:c r="O173" s="9"/>
      <x:c r="P173" s="9"/>
      <x:c r="Q173" s="9"/>
      <x:c r="R173" s="9"/>
      <x:c r="S173" s="9"/>
      <x:c r="T173" s="9"/>
      <x:c r="U173" s="9"/>
      <x:c r="V173" s="9"/>
      <x:c r="W173" s="12" t="str">
        <x:f>IF(A173="","",IF(COUNTIF($A$6:$A$505,A173)&gt;1,"记录ID重复",IF(COUNTIF('案件索引'!$A$6:$A$105,B173)=0,"案件ID未登记",IF(OR(C173="",D173="",F173="",G173="",H173="",I173="",J173="",K173="",M173="",N173="",Q173="",R173="",T173=""),"补对象、必要性、结果、依据或标注人",IF(AND(H173="条件必要",L173=""),"条件必要须写条件",IF(AND(R173="条件通过待执行核验",OR(M173="未知",M173="未满足",O173="",O173="未提供")),"条件或权限证据不足，退回核验","格式已填；仍须人工复核"))))))</x:f>
      </x:c>
    </x:row>
    <x:row r="174" ht="44" customHeight="1">
      <x:c r="A174" s="9"/>
      <x:c r="B174" s="9"/>
      <x:c r="C174" s="9"/>
      <x:c r="D174" s="9"/>
      <x:c r="E174" s="9"/>
      <x:c r="F174" s="9"/>
      <x:c r="G174" s="9"/>
      <x:c r="H174" s="9"/>
      <x:c r="I174" s="9"/>
      <x:c r="J174" s="9"/>
      <x:c r="K174" s="9"/>
      <x:c r="L174" s="9"/>
      <x:c r="M174" s="9"/>
      <x:c r="N174" s="9"/>
      <x:c r="O174" s="9"/>
      <x:c r="P174" s="9"/>
      <x:c r="Q174" s="9"/>
      <x:c r="R174" s="9"/>
      <x:c r="S174" s="9"/>
      <x:c r="T174" s="9"/>
      <x:c r="U174" s="9"/>
      <x:c r="V174" s="9"/>
      <x:c r="W174" s="12" t="str">
        <x:f>IF(A174="","",IF(COUNTIF($A$6:$A$505,A174)&gt;1,"记录ID重复",IF(COUNTIF('案件索引'!$A$6:$A$105,B174)=0,"案件ID未登记",IF(OR(C174="",D174="",F174="",G174="",H174="",I174="",J174="",K174="",M174="",N174="",Q174="",R174="",T174=""),"补对象、必要性、结果、依据或标注人",IF(AND(H174="条件必要",L174=""),"条件必要须写条件",IF(AND(R174="条件通过待执行核验",OR(M174="未知",M174="未满足",O174="",O174="未提供")),"条件或权限证据不足，退回核验","格式已填；仍须人工复核"))))))</x:f>
      </x:c>
    </x:row>
    <x:row r="175" ht="44" customHeight="1">
      <x:c r="A175" s="9"/>
      <x:c r="B175" s="9"/>
      <x:c r="C175" s="9"/>
      <x:c r="D175" s="9"/>
      <x:c r="E175" s="9"/>
      <x:c r="F175" s="9"/>
      <x:c r="G175" s="9"/>
      <x:c r="H175" s="9"/>
      <x:c r="I175" s="9"/>
      <x:c r="J175" s="9"/>
      <x:c r="K175" s="9"/>
      <x:c r="L175" s="9"/>
      <x:c r="M175" s="9"/>
      <x:c r="N175" s="9"/>
      <x:c r="O175" s="9"/>
      <x:c r="P175" s="9"/>
      <x:c r="Q175" s="9"/>
      <x:c r="R175" s="9"/>
      <x:c r="S175" s="9"/>
      <x:c r="T175" s="9"/>
      <x:c r="U175" s="9"/>
      <x:c r="V175" s="9"/>
      <x:c r="W175" s="12" t="str">
        <x:f>IF(A175="","",IF(COUNTIF($A$6:$A$505,A175)&gt;1,"记录ID重复",IF(COUNTIF('案件索引'!$A$6:$A$105,B175)=0,"案件ID未登记",IF(OR(C175="",D175="",F175="",G175="",H175="",I175="",J175="",K175="",M175="",N175="",Q175="",R175="",T175=""),"补对象、必要性、结果、依据或标注人",IF(AND(H175="条件必要",L175=""),"条件必要须写条件",IF(AND(R175="条件通过待执行核验",OR(M175="未知",M175="未满足",O175="",O175="未提供")),"条件或权限证据不足，退回核验","格式已填；仍须人工复核"))))))</x:f>
      </x:c>
    </x:row>
    <x:row r="176" ht="44" customHeight="1">
      <x:c r="A176" s="9"/>
      <x:c r="B176" s="9"/>
      <x:c r="C176" s="9"/>
      <x:c r="D176" s="9"/>
      <x:c r="E176" s="9"/>
      <x:c r="F176" s="9"/>
      <x:c r="G176" s="9"/>
      <x:c r="H176" s="9"/>
      <x:c r="I176" s="9"/>
      <x:c r="J176" s="9"/>
      <x:c r="K176" s="9"/>
      <x:c r="L176" s="9"/>
      <x:c r="M176" s="9"/>
      <x:c r="N176" s="9"/>
      <x:c r="O176" s="9"/>
      <x:c r="P176" s="9"/>
      <x:c r="Q176" s="9"/>
      <x:c r="R176" s="9"/>
      <x:c r="S176" s="9"/>
      <x:c r="T176" s="9"/>
      <x:c r="U176" s="9"/>
      <x:c r="V176" s="9"/>
      <x:c r="W176" s="12" t="str">
        <x:f>IF(A176="","",IF(COUNTIF($A$6:$A$505,A176)&gt;1,"记录ID重复",IF(COUNTIF('案件索引'!$A$6:$A$105,B176)=0,"案件ID未登记",IF(OR(C176="",D176="",F176="",G176="",H176="",I176="",J176="",K176="",M176="",N176="",Q176="",R176="",T176=""),"补对象、必要性、结果、依据或标注人",IF(AND(H176="条件必要",L176=""),"条件必要须写条件",IF(AND(R176="条件通过待执行核验",OR(M176="未知",M176="未满足",O176="",O176="未提供")),"条件或权限证据不足，退回核验","格式已填；仍须人工复核"))))))</x:f>
      </x:c>
    </x:row>
    <x:row r="177" ht="44" customHeight="1">
      <x:c r="A177" s="9"/>
      <x:c r="B177" s="9"/>
      <x:c r="C177" s="9"/>
      <x:c r="D177" s="9"/>
      <x:c r="E177" s="9"/>
      <x:c r="F177" s="9"/>
      <x:c r="G177" s="9"/>
      <x:c r="H177" s="9"/>
      <x:c r="I177" s="9"/>
      <x:c r="J177" s="9"/>
      <x:c r="K177" s="9"/>
      <x:c r="L177" s="9"/>
      <x:c r="M177" s="9"/>
      <x:c r="N177" s="9"/>
      <x:c r="O177" s="9"/>
      <x:c r="P177" s="9"/>
      <x:c r="Q177" s="9"/>
      <x:c r="R177" s="9"/>
      <x:c r="S177" s="9"/>
      <x:c r="T177" s="9"/>
      <x:c r="U177" s="9"/>
      <x:c r="V177" s="9"/>
      <x:c r="W177" s="12" t="str">
        <x:f>IF(A177="","",IF(COUNTIF($A$6:$A$505,A177)&gt;1,"记录ID重复",IF(COUNTIF('案件索引'!$A$6:$A$105,B177)=0,"案件ID未登记",IF(OR(C177="",D177="",F177="",G177="",H177="",I177="",J177="",K177="",M177="",N177="",Q177="",R177="",T177=""),"补对象、必要性、结果、依据或标注人",IF(AND(H177="条件必要",L177=""),"条件必要须写条件",IF(AND(R177="条件通过待执行核验",OR(M177="未知",M177="未满足",O177="",O177="未提供")),"条件或权限证据不足，退回核验","格式已填；仍须人工复核"))))))</x:f>
      </x:c>
    </x:row>
    <x:row r="178" ht="44" customHeight="1">
      <x:c r="A178" s="9"/>
      <x:c r="B178" s="9"/>
      <x:c r="C178" s="9"/>
      <x:c r="D178" s="9"/>
      <x:c r="E178" s="9"/>
      <x:c r="F178" s="9"/>
      <x:c r="G178" s="9"/>
      <x:c r="H178" s="9"/>
      <x:c r="I178" s="9"/>
      <x:c r="J178" s="9"/>
      <x:c r="K178" s="9"/>
      <x:c r="L178" s="9"/>
      <x:c r="M178" s="9"/>
      <x:c r="N178" s="9"/>
      <x:c r="O178" s="9"/>
      <x:c r="P178" s="9"/>
      <x:c r="Q178" s="9"/>
      <x:c r="R178" s="9"/>
      <x:c r="S178" s="9"/>
      <x:c r="T178" s="9"/>
      <x:c r="U178" s="9"/>
      <x:c r="V178" s="9"/>
      <x:c r="W178" s="12" t="str">
        <x:f>IF(A178="","",IF(COUNTIF($A$6:$A$505,A178)&gt;1,"记录ID重复",IF(COUNTIF('案件索引'!$A$6:$A$105,B178)=0,"案件ID未登记",IF(OR(C178="",D178="",F178="",G178="",H178="",I178="",J178="",K178="",M178="",N178="",Q178="",R178="",T178=""),"补对象、必要性、结果、依据或标注人",IF(AND(H178="条件必要",L178=""),"条件必要须写条件",IF(AND(R178="条件通过待执行核验",OR(M178="未知",M178="未满足",O178="",O178="未提供")),"条件或权限证据不足，退回核验","格式已填；仍须人工复核"))))))</x:f>
      </x:c>
    </x:row>
    <x:row r="179" ht="44" customHeight="1">
      <x:c r="A179" s="9"/>
      <x:c r="B179" s="9"/>
      <x:c r="C179" s="9"/>
      <x:c r="D179" s="9"/>
      <x:c r="E179" s="9"/>
      <x:c r="F179" s="9"/>
      <x:c r="G179" s="9"/>
      <x:c r="H179" s="9"/>
      <x:c r="I179" s="9"/>
      <x:c r="J179" s="9"/>
      <x:c r="K179" s="9"/>
      <x:c r="L179" s="9"/>
      <x:c r="M179" s="9"/>
      <x:c r="N179" s="9"/>
      <x:c r="O179" s="9"/>
      <x:c r="P179" s="9"/>
      <x:c r="Q179" s="9"/>
      <x:c r="R179" s="9"/>
      <x:c r="S179" s="9"/>
      <x:c r="T179" s="9"/>
      <x:c r="U179" s="9"/>
      <x:c r="V179" s="9"/>
      <x:c r="W179" s="12" t="str">
        <x:f>IF(A179="","",IF(COUNTIF($A$6:$A$505,A179)&gt;1,"记录ID重复",IF(COUNTIF('案件索引'!$A$6:$A$105,B179)=0,"案件ID未登记",IF(OR(C179="",D179="",F179="",G179="",H179="",I179="",J179="",K179="",M179="",N179="",Q179="",R179="",T179=""),"补对象、必要性、结果、依据或标注人",IF(AND(H179="条件必要",L179=""),"条件必要须写条件",IF(AND(R179="条件通过待执行核验",OR(M179="未知",M179="未满足",O179="",O179="未提供")),"条件或权限证据不足，退回核验","格式已填；仍须人工复核"))))))</x:f>
      </x:c>
    </x:row>
    <x:row r="180" ht="44" customHeight="1">
      <x:c r="A180" s="9"/>
      <x:c r="B180" s="9"/>
      <x:c r="C180" s="9"/>
      <x:c r="D180" s="9"/>
      <x:c r="E180" s="9"/>
      <x:c r="F180" s="9"/>
      <x:c r="G180" s="9"/>
      <x:c r="H180" s="9"/>
      <x:c r="I180" s="9"/>
      <x:c r="J180" s="9"/>
      <x:c r="K180" s="9"/>
      <x:c r="L180" s="9"/>
      <x:c r="M180" s="9"/>
      <x:c r="N180" s="9"/>
      <x:c r="O180" s="9"/>
      <x:c r="P180" s="9"/>
      <x:c r="Q180" s="9"/>
      <x:c r="R180" s="9"/>
      <x:c r="S180" s="9"/>
      <x:c r="T180" s="9"/>
      <x:c r="U180" s="9"/>
      <x:c r="V180" s="9"/>
      <x:c r="W180" s="12" t="str">
        <x:f>IF(A180="","",IF(COUNTIF($A$6:$A$505,A180)&gt;1,"记录ID重复",IF(COUNTIF('案件索引'!$A$6:$A$105,B180)=0,"案件ID未登记",IF(OR(C180="",D180="",F180="",G180="",H180="",I180="",J180="",K180="",M180="",N180="",Q180="",R180="",T180=""),"补对象、必要性、结果、依据或标注人",IF(AND(H180="条件必要",L180=""),"条件必要须写条件",IF(AND(R180="条件通过待执行核验",OR(M180="未知",M180="未满足",O180="",O180="未提供")),"条件或权限证据不足，退回核验","格式已填；仍须人工复核"))))))</x:f>
      </x:c>
    </x:row>
    <x:row r="181" ht="44" customHeight="1">
      <x:c r="A181" s="9"/>
      <x:c r="B181" s="9"/>
      <x:c r="C181" s="9"/>
      <x:c r="D181" s="9"/>
      <x:c r="E181" s="9"/>
      <x:c r="F181" s="9"/>
      <x:c r="G181" s="9"/>
      <x:c r="H181" s="9"/>
      <x:c r="I181" s="9"/>
      <x:c r="J181" s="9"/>
      <x:c r="K181" s="9"/>
      <x:c r="L181" s="9"/>
      <x:c r="M181" s="9"/>
      <x:c r="N181" s="9"/>
      <x:c r="O181" s="9"/>
      <x:c r="P181" s="9"/>
      <x:c r="Q181" s="9"/>
      <x:c r="R181" s="9"/>
      <x:c r="S181" s="9"/>
      <x:c r="T181" s="9"/>
      <x:c r="U181" s="9"/>
      <x:c r="V181" s="9"/>
      <x:c r="W181" s="12" t="str">
        <x:f>IF(A181="","",IF(COUNTIF($A$6:$A$505,A181)&gt;1,"记录ID重复",IF(COUNTIF('案件索引'!$A$6:$A$105,B181)=0,"案件ID未登记",IF(OR(C181="",D181="",F181="",G181="",H181="",I181="",J181="",K181="",M181="",N181="",Q181="",R181="",T181=""),"补对象、必要性、结果、依据或标注人",IF(AND(H181="条件必要",L181=""),"条件必要须写条件",IF(AND(R181="条件通过待执行核验",OR(M181="未知",M181="未满足",O181="",O181="未提供")),"条件或权限证据不足，退回核验","格式已填；仍须人工复核"))))))</x:f>
      </x:c>
    </x:row>
    <x:row r="182" ht="44" customHeight="1">
      <x:c r="A182" s="9"/>
      <x:c r="B182" s="9"/>
      <x:c r="C182" s="9"/>
      <x:c r="D182" s="9"/>
      <x:c r="E182" s="9"/>
      <x:c r="F182" s="9"/>
      <x:c r="G182" s="9"/>
      <x:c r="H182" s="9"/>
      <x:c r="I182" s="9"/>
      <x:c r="J182" s="9"/>
      <x:c r="K182" s="9"/>
      <x:c r="L182" s="9"/>
      <x:c r="M182" s="9"/>
      <x:c r="N182" s="9"/>
      <x:c r="O182" s="9"/>
      <x:c r="P182" s="9"/>
      <x:c r="Q182" s="9"/>
      <x:c r="R182" s="9"/>
      <x:c r="S182" s="9"/>
      <x:c r="T182" s="9"/>
      <x:c r="U182" s="9"/>
      <x:c r="V182" s="9"/>
      <x:c r="W182" s="12" t="str">
        <x:f>IF(A182="","",IF(COUNTIF($A$6:$A$505,A182)&gt;1,"记录ID重复",IF(COUNTIF('案件索引'!$A$6:$A$105,B182)=0,"案件ID未登记",IF(OR(C182="",D182="",F182="",G182="",H182="",I182="",J182="",K182="",M182="",N182="",Q182="",R182="",T182=""),"补对象、必要性、结果、依据或标注人",IF(AND(H182="条件必要",L182=""),"条件必要须写条件",IF(AND(R182="条件通过待执行核验",OR(M182="未知",M182="未满足",O182="",O182="未提供")),"条件或权限证据不足，退回核验","格式已填；仍须人工复核"))))))</x:f>
      </x:c>
    </x:row>
    <x:row r="183" ht="44" customHeight="1">
      <x:c r="A183" s="9"/>
      <x:c r="B183" s="9"/>
      <x:c r="C183" s="9"/>
      <x:c r="D183" s="9"/>
      <x:c r="E183" s="9"/>
      <x:c r="F183" s="9"/>
      <x:c r="G183" s="9"/>
      <x:c r="H183" s="9"/>
      <x:c r="I183" s="9"/>
      <x:c r="J183" s="9"/>
      <x:c r="K183" s="9"/>
      <x:c r="L183" s="9"/>
      <x:c r="M183" s="9"/>
      <x:c r="N183" s="9"/>
      <x:c r="O183" s="9"/>
      <x:c r="P183" s="9"/>
      <x:c r="Q183" s="9"/>
      <x:c r="R183" s="9"/>
      <x:c r="S183" s="9"/>
      <x:c r="T183" s="9"/>
      <x:c r="U183" s="9"/>
      <x:c r="V183" s="9"/>
      <x:c r="W183" s="12" t="str">
        <x:f>IF(A183="","",IF(COUNTIF($A$6:$A$505,A183)&gt;1,"记录ID重复",IF(COUNTIF('案件索引'!$A$6:$A$105,B183)=0,"案件ID未登记",IF(OR(C183="",D183="",F183="",G183="",H183="",I183="",J183="",K183="",M183="",N183="",Q183="",R183="",T183=""),"补对象、必要性、结果、依据或标注人",IF(AND(H183="条件必要",L183=""),"条件必要须写条件",IF(AND(R183="条件通过待执行核验",OR(M183="未知",M183="未满足",O183="",O183="未提供")),"条件或权限证据不足，退回核验","格式已填；仍须人工复核"))))))</x:f>
      </x:c>
    </x:row>
    <x:row r="184" ht="44" customHeight="1">
      <x:c r="A184" s="9"/>
      <x:c r="B184" s="9"/>
      <x:c r="C184" s="9"/>
      <x:c r="D184" s="9"/>
      <x:c r="E184" s="9"/>
      <x:c r="F184" s="9"/>
      <x:c r="G184" s="9"/>
      <x:c r="H184" s="9"/>
      <x:c r="I184" s="9"/>
      <x:c r="J184" s="9"/>
      <x:c r="K184" s="9"/>
      <x:c r="L184" s="9"/>
      <x:c r="M184" s="9"/>
      <x:c r="N184" s="9"/>
      <x:c r="O184" s="9"/>
      <x:c r="P184" s="9"/>
      <x:c r="Q184" s="9"/>
      <x:c r="R184" s="9"/>
      <x:c r="S184" s="9"/>
      <x:c r="T184" s="9"/>
      <x:c r="U184" s="9"/>
      <x:c r="V184" s="9"/>
      <x:c r="W184" s="12" t="str">
        <x:f>IF(A184="","",IF(COUNTIF($A$6:$A$505,A184)&gt;1,"记录ID重复",IF(COUNTIF('案件索引'!$A$6:$A$105,B184)=0,"案件ID未登记",IF(OR(C184="",D184="",F184="",G184="",H184="",I184="",J184="",K184="",M184="",N184="",Q184="",R184="",T184=""),"补对象、必要性、结果、依据或标注人",IF(AND(H184="条件必要",L184=""),"条件必要须写条件",IF(AND(R184="条件通过待执行核验",OR(M184="未知",M184="未满足",O184="",O184="未提供")),"条件或权限证据不足，退回核验","格式已填；仍须人工复核"))))))</x:f>
      </x:c>
    </x:row>
    <x:row r="185" ht="44" customHeight="1">
      <x:c r="A185" s="9"/>
      <x:c r="B185" s="9"/>
      <x:c r="C185" s="9"/>
      <x:c r="D185" s="9"/>
      <x:c r="E185" s="9"/>
      <x:c r="F185" s="9"/>
      <x:c r="G185" s="9"/>
      <x:c r="H185" s="9"/>
      <x:c r="I185" s="9"/>
      <x:c r="J185" s="9"/>
      <x:c r="K185" s="9"/>
      <x:c r="L185" s="9"/>
      <x:c r="M185" s="9"/>
      <x:c r="N185" s="9"/>
      <x:c r="O185" s="9"/>
      <x:c r="P185" s="9"/>
      <x:c r="Q185" s="9"/>
      <x:c r="R185" s="9"/>
      <x:c r="S185" s="9"/>
      <x:c r="T185" s="9"/>
      <x:c r="U185" s="9"/>
      <x:c r="V185" s="9"/>
      <x:c r="W185" s="12" t="str">
        <x:f>IF(A185="","",IF(COUNTIF($A$6:$A$505,A185)&gt;1,"记录ID重复",IF(COUNTIF('案件索引'!$A$6:$A$105,B185)=0,"案件ID未登记",IF(OR(C185="",D185="",F185="",G185="",H185="",I185="",J185="",K185="",M185="",N185="",Q185="",R185="",T185=""),"补对象、必要性、结果、依据或标注人",IF(AND(H185="条件必要",L185=""),"条件必要须写条件",IF(AND(R185="条件通过待执行核验",OR(M185="未知",M185="未满足",O185="",O185="未提供")),"条件或权限证据不足，退回核验","格式已填；仍须人工复核"))))))</x:f>
      </x:c>
    </x:row>
    <x:row r="186" ht="44" customHeight="1">
      <x:c r="A186" s="9"/>
      <x:c r="B186" s="9"/>
      <x:c r="C186" s="9"/>
      <x:c r="D186" s="9"/>
      <x:c r="E186" s="9"/>
      <x:c r="F186" s="9"/>
      <x:c r="G186" s="9"/>
      <x:c r="H186" s="9"/>
      <x:c r="I186" s="9"/>
      <x:c r="J186" s="9"/>
      <x:c r="K186" s="9"/>
      <x:c r="L186" s="9"/>
      <x:c r="M186" s="9"/>
      <x:c r="N186" s="9"/>
      <x:c r="O186" s="9"/>
      <x:c r="P186" s="9"/>
      <x:c r="Q186" s="9"/>
      <x:c r="R186" s="9"/>
      <x:c r="S186" s="9"/>
      <x:c r="T186" s="9"/>
      <x:c r="U186" s="9"/>
      <x:c r="V186" s="9"/>
      <x:c r="W186" s="12" t="str">
        <x:f>IF(A186="","",IF(COUNTIF($A$6:$A$505,A186)&gt;1,"记录ID重复",IF(COUNTIF('案件索引'!$A$6:$A$105,B186)=0,"案件ID未登记",IF(OR(C186="",D186="",F186="",G186="",H186="",I186="",J186="",K186="",M186="",N186="",Q186="",R186="",T186=""),"补对象、必要性、结果、依据或标注人",IF(AND(H186="条件必要",L186=""),"条件必要须写条件",IF(AND(R186="条件通过待执行核验",OR(M186="未知",M186="未满足",O186="",O186="未提供")),"条件或权限证据不足，退回核验","格式已填；仍须人工复核"))))))</x:f>
      </x:c>
    </x:row>
    <x:row r="187" ht="44" customHeight="1">
      <x:c r="A187" s="9"/>
      <x:c r="B187" s="9"/>
      <x:c r="C187" s="9"/>
      <x:c r="D187" s="9"/>
      <x:c r="E187" s="9"/>
      <x:c r="F187" s="9"/>
      <x:c r="G187" s="9"/>
      <x:c r="H187" s="9"/>
      <x:c r="I187" s="9"/>
      <x:c r="J187" s="9"/>
      <x:c r="K187" s="9"/>
      <x:c r="L187" s="9"/>
      <x:c r="M187" s="9"/>
      <x:c r="N187" s="9"/>
      <x:c r="O187" s="9"/>
      <x:c r="P187" s="9"/>
      <x:c r="Q187" s="9"/>
      <x:c r="R187" s="9"/>
      <x:c r="S187" s="9"/>
      <x:c r="T187" s="9"/>
      <x:c r="U187" s="9"/>
      <x:c r="V187" s="9"/>
      <x:c r="W187" s="12" t="str">
        <x:f>IF(A187="","",IF(COUNTIF($A$6:$A$505,A187)&gt;1,"记录ID重复",IF(COUNTIF('案件索引'!$A$6:$A$105,B187)=0,"案件ID未登记",IF(OR(C187="",D187="",F187="",G187="",H187="",I187="",J187="",K187="",M187="",N187="",Q187="",R187="",T187=""),"补对象、必要性、结果、依据或标注人",IF(AND(H187="条件必要",L187=""),"条件必要须写条件",IF(AND(R187="条件通过待执行核验",OR(M187="未知",M187="未满足",O187="",O187="未提供")),"条件或权限证据不足，退回核验","格式已填；仍须人工复核"))))))</x:f>
      </x:c>
    </x:row>
    <x:row r="188" ht="44" customHeight="1">
      <x:c r="A188" s="9"/>
      <x:c r="B188" s="9"/>
      <x:c r="C188" s="9"/>
      <x:c r="D188" s="9"/>
      <x:c r="E188" s="9"/>
      <x:c r="F188" s="9"/>
      <x:c r="G188" s="9"/>
      <x:c r="H188" s="9"/>
      <x:c r="I188" s="9"/>
      <x:c r="J188" s="9"/>
      <x:c r="K188" s="9"/>
      <x:c r="L188" s="9"/>
      <x:c r="M188" s="9"/>
      <x:c r="N188" s="9"/>
      <x:c r="O188" s="9"/>
      <x:c r="P188" s="9"/>
      <x:c r="Q188" s="9"/>
      <x:c r="R188" s="9"/>
      <x:c r="S188" s="9"/>
      <x:c r="T188" s="9"/>
      <x:c r="U188" s="9"/>
      <x:c r="V188" s="9"/>
      <x:c r="W188" s="12" t="str">
        <x:f>IF(A188="","",IF(COUNTIF($A$6:$A$505,A188)&gt;1,"记录ID重复",IF(COUNTIF('案件索引'!$A$6:$A$105,B188)=0,"案件ID未登记",IF(OR(C188="",D188="",F188="",G188="",H188="",I188="",J188="",K188="",M188="",N188="",Q188="",R188="",T188=""),"补对象、必要性、结果、依据或标注人",IF(AND(H188="条件必要",L188=""),"条件必要须写条件",IF(AND(R188="条件通过待执行核验",OR(M188="未知",M188="未满足",O188="",O188="未提供")),"条件或权限证据不足，退回核验","格式已填；仍须人工复核"))))))</x:f>
      </x:c>
    </x:row>
    <x:row r="189" ht="44" customHeight="1">
      <x:c r="A189" s="9"/>
      <x:c r="B189" s="9"/>
      <x:c r="C189" s="9"/>
      <x:c r="D189" s="9"/>
      <x:c r="E189" s="9"/>
      <x:c r="F189" s="9"/>
      <x:c r="G189" s="9"/>
      <x:c r="H189" s="9"/>
      <x:c r="I189" s="9"/>
      <x:c r="J189" s="9"/>
      <x:c r="K189" s="9"/>
      <x:c r="L189" s="9"/>
      <x:c r="M189" s="9"/>
      <x:c r="N189" s="9"/>
      <x:c r="O189" s="9"/>
      <x:c r="P189" s="9"/>
      <x:c r="Q189" s="9"/>
      <x:c r="R189" s="9"/>
      <x:c r="S189" s="9"/>
      <x:c r="T189" s="9"/>
      <x:c r="U189" s="9"/>
      <x:c r="V189" s="9"/>
      <x:c r="W189" s="12" t="str">
        <x:f>IF(A189="","",IF(COUNTIF($A$6:$A$505,A189)&gt;1,"记录ID重复",IF(COUNTIF('案件索引'!$A$6:$A$105,B189)=0,"案件ID未登记",IF(OR(C189="",D189="",F189="",G189="",H189="",I189="",J189="",K189="",M189="",N189="",Q189="",R189="",T189=""),"补对象、必要性、结果、依据或标注人",IF(AND(H189="条件必要",L189=""),"条件必要须写条件",IF(AND(R189="条件通过待执行核验",OR(M189="未知",M189="未满足",O189="",O189="未提供")),"条件或权限证据不足，退回核验","格式已填；仍须人工复核"))))))</x:f>
      </x:c>
    </x:row>
    <x:row r="190" ht="44" customHeight="1">
      <x:c r="A190" s="9"/>
      <x:c r="B190" s="9"/>
      <x:c r="C190" s="9"/>
      <x:c r="D190" s="9"/>
      <x:c r="E190" s="9"/>
      <x:c r="F190" s="9"/>
      <x:c r="G190" s="9"/>
      <x:c r="H190" s="9"/>
      <x:c r="I190" s="9"/>
      <x:c r="J190" s="9"/>
      <x:c r="K190" s="9"/>
      <x:c r="L190" s="9"/>
      <x:c r="M190" s="9"/>
      <x:c r="N190" s="9"/>
      <x:c r="O190" s="9"/>
      <x:c r="P190" s="9"/>
      <x:c r="Q190" s="9"/>
      <x:c r="R190" s="9"/>
      <x:c r="S190" s="9"/>
      <x:c r="T190" s="9"/>
      <x:c r="U190" s="9"/>
      <x:c r="V190" s="9"/>
      <x:c r="W190" s="12" t="str">
        <x:f>IF(A190="","",IF(COUNTIF($A$6:$A$505,A190)&gt;1,"记录ID重复",IF(COUNTIF('案件索引'!$A$6:$A$105,B190)=0,"案件ID未登记",IF(OR(C190="",D190="",F190="",G190="",H190="",I190="",J190="",K190="",M190="",N190="",Q190="",R190="",T190=""),"补对象、必要性、结果、依据或标注人",IF(AND(H190="条件必要",L190=""),"条件必要须写条件",IF(AND(R190="条件通过待执行核验",OR(M190="未知",M190="未满足",O190="",O190="未提供")),"条件或权限证据不足，退回核验","格式已填；仍须人工复核"))))))</x:f>
      </x:c>
    </x:row>
    <x:row r="191" ht="44" customHeight="1">
      <x:c r="A191" s="9"/>
      <x:c r="B191" s="9"/>
      <x:c r="C191" s="9"/>
      <x:c r="D191" s="9"/>
      <x:c r="E191" s="9"/>
      <x:c r="F191" s="9"/>
      <x:c r="G191" s="9"/>
      <x:c r="H191" s="9"/>
      <x:c r="I191" s="9"/>
      <x:c r="J191" s="9"/>
      <x:c r="K191" s="9"/>
      <x:c r="L191" s="9"/>
      <x:c r="M191" s="9"/>
      <x:c r="N191" s="9"/>
      <x:c r="O191" s="9"/>
      <x:c r="P191" s="9"/>
      <x:c r="Q191" s="9"/>
      <x:c r="R191" s="9"/>
      <x:c r="S191" s="9"/>
      <x:c r="T191" s="9"/>
      <x:c r="U191" s="9"/>
      <x:c r="V191" s="9"/>
      <x:c r="W191" s="12" t="str">
        <x:f>IF(A191="","",IF(COUNTIF($A$6:$A$505,A191)&gt;1,"记录ID重复",IF(COUNTIF('案件索引'!$A$6:$A$105,B191)=0,"案件ID未登记",IF(OR(C191="",D191="",F191="",G191="",H191="",I191="",J191="",K191="",M191="",N191="",Q191="",R191="",T191=""),"补对象、必要性、结果、依据或标注人",IF(AND(H191="条件必要",L191=""),"条件必要须写条件",IF(AND(R191="条件通过待执行核验",OR(M191="未知",M191="未满足",O191="",O191="未提供")),"条件或权限证据不足，退回核验","格式已填；仍须人工复核"))))))</x:f>
      </x:c>
    </x:row>
    <x:row r="192" ht="44" customHeight="1">
      <x:c r="A192" s="9"/>
      <x:c r="B192" s="9"/>
      <x:c r="C192" s="9"/>
      <x:c r="D192" s="9"/>
      <x:c r="E192" s="9"/>
      <x:c r="F192" s="9"/>
      <x:c r="G192" s="9"/>
      <x:c r="H192" s="9"/>
      <x:c r="I192" s="9"/>
      <x:c r="J192" s="9"/>
      <x:c r="K192" s="9"/>
      <x:c r="L192" s="9"/>
      <x:c r="M192" s="9"/>
      <x:c r="N192" s="9"/>
      <x:c r="O192" s="9"/>
      <x:c r="P192" s="9"/>
      <x:c r="Q192" s="9"/>
      <x:c r="R192" s="9"/>
      <x:c r="S192" s="9"/>
      <x:c r="T192" s="9"/>
      <x:c r="U192" s="9"/>
      <x:c r="V192" s="9"/>
      <x:c r="W192" s="12" t="str">
        <x:f>IF(A192="","",IF(COUNTIF($A$6:$A$505,A192)&gt;1,"记录ID重复",IF(COUNTIF('案件索引'!$A$6:$A$105,B192)=0,"案件ID未登记",IF(OR(C192="",D192="",F192="",G192="",H192="",I192="",J192="",K192="",M192="",N192="",Q192="",R192="",T192=""),"补对象、必要性、结果、依据或标注人",IF(AND(H192="条件必要",L192=""),"条件必要须写条件",IF(AND(R192="条件通过待执行核验",OR(M192="未知",M192="未满足",O192="",O192="未提供")),"条件或权限证据不足，退回核验","格式已填；仍须人工复核"))))))</x:f>
      </x:c>
    </x:row>
    <x:row r="193" ht="44" customHeight="1">
      <x:c r="A193" s="9"/>
      <x:c r="B193" s="9"/>
      <x:c r="C193" s="9"/>
      <x:c r="D193" s="9"/>
      <x:c r="E193" s="9"/>
      <x:c r="F193" s="9"/>
      <x:c r="G193" s="9"/>
      <x:c r="H193" s="9"/>
      <x:c r="I193" s="9"/>
      <x:c r="J193" s="9"/>
      <x:c r="K193" s="9"/>
      <x:c r="L193" s="9"/>
      <x:c r="M193" s="9"/>
      <x:c r="N193" s="9"/>
      <x:c r="O193" s="9"/>
      <x:c r="P193" s="9"/>
      <x:c r="Q193" s="9"/>
      <x:c r="R193" s="9"/>
      <x:c r="S193" s="9"/>
      <x:c r="T193" s="9"/>
      <x:c r="U193" s="9"/>
      <x:c r="V193" s="9"/>
      <x:c r="W193" s="12" t="str">
        <x:f>IF(A193="","",IF(COUNTIF($A$6:$A$505,A193)&gt;1,"记录ID重复",IF(COUNTIF('案件索引'!$A$6:$A$105,B193)=0,"案件ID未登记",IF(OR(C193="",D193="",F193="",G193="",H193="",I193="",J193="",K193="",M193="",N193="",Q193="",R193="",T193=""),"补对象、必要性、结果、依据或标注人",IF(AND(H193="条件必要",L193=""),"条件必要须写条件",IF(AND(R193="条件通过待执行核验",OR(M193="未知",M193="未满足",O193="",O193="未提供")),"条件或权限证据不足，退回核验","格式已填；仍须人工复核"))))))</x:f>
      </x:c>
    </x:row>
    <x:row r="194" ht="44" customHeight="1">
      <x:c r="A194" s="9"/>
      <x:c r="B194" s="9"/>
      <x:c r="C194" s="9"/>
      <x:c r="D194" s="9"/>
      <x:c r="E194" s="9"/>
      <x:c r="F194" s="9"/>
      <x:c r="G194" s="9"/>
      <x:c r="H194" s="9"/>
      <x:c r="I194" s="9"/>
      <x:c r="J194" s="9"/>
      <x:c r="K194" s="9"/>
      <x:c r="L194" s="9"/>
      <x:c r="M194" s="9"/>
      <x:c r="N194" s="9"/>
      <x:c r="O194" s="9"/>
      <x:c r="P194" s="9"/>
      <x:c r="Q194" s="9"/>
      <x:c r="R194" s="9"/>
      <x:c r="S194" s="9"/>
      <x:c r="T194" s="9"/>
      <x:c r="U194" s="9"/>
      <x:c r="V194" s="9"/>
      <x:c r="W194" s="12" t="str">
        <x:f>IF(A194="","",IF(COUNTIF($A$6:$A$505,A194)&gt;1,"记录ID重复",IF(COUNTIF('案件索引'!$A$6:$A$105,B194)=0,"案件ID未登记",IF(OR(C194="",D194="",F194="",G194="",H194="",I194="",J194="",K194="",M194="",N194="",Q194="",R194="",T194=""),"补对象、必要性、结果、依据或标注人",IF(AND(H194="条件必要",L194=""),"条件必要须写条件",IF(AND(R194="条件通过待执行核验",OR(M194="未知",M194="未满足",O194="",O194="未提供")),"条件或权限证据不足，退回核验","格式已填；仍须人工复核"))))))</x:f>
      </x:c>
    </x:row>
    <x:row r="195" ht="44" customHeight="1">
      <x:c r="A195" s="9"/>
      <x:c r="B195" s="9"/>
      <x:c r="C195" s="9"/>
      <x:c r="D195" s="9"/>
      <x:c r="E195" s="9"/>
      <x:c r="F195" s="9"/>
      <x:c r="G195" s="9"/>
      <x:c r="H195" s="9"/>
      <x:c r="I195" s="9"/>
      <x:c r="J195" s="9"/>
      <x:c r="K195" s="9"/>
      <x:c r="L195" s="9"/>
      <x:c r="M195" s="9"/>
      <x:c r="N195" s="9"/>
      <x:c r="O195" s="9"/>
      <x:c r="P195" s="9"/>
      <x:c r="Q195" s="9"/>
      <x:c r="R195" s="9"/>
      <x:c r="S195" s="9"/>
      <x:c r="T195" s="9"/>
      <x:c r="U195" s="9"/>
      <x:c r="V195" s="9"/>
      <x:c r="W195" s="12" t="str">
        <x:f>IF(A195="","",IF(COUNTIF($A$6:$A$505,A195)&gt;1,"记录ID重复",IF(COUNTIF('案件索引'!$A$6:$A$105,B195)=0,"案件ID未登记",IF(OR(C195="",D195="",F195="",G195="",H195="",I195="",J195="",K195="",M195="",N195="",Q195="",R195="",T195=""),"补对象、必要性、结果、依据或标注人",IF(AND(H195="条件必要",L195=""),"条件必要须写条件",IF(AND(R195="条件通过待执行核验",OR(M195="未知",M195="未满足",O195="",O195="未提供")),"条件或权限证据不足，退回核验","格式已填；仍须人工复核"))))))</x:f>
      </x:c>
    </x:row>
    <x:row r="196" ht="44" customHeight="1">
      <x:c r="A196" s="9"/>
      <x:c r="B196" s="9"/>
      <x:c r="C196" s="9"/>
      <x:c r="D196" s="9"/>
      <x:c r="E196" s="9"/>
      <x:c r="F196" s="9"/>
      <x:c r="G196" s="9"/>
      <x:c r="H196" s="9"/>
      <x:c r="I196" s="9"/>
      <x:c r="J196" s="9"/>
      <x:c r="K196" s="9"/>
      <x:c r="L196" s="9"/>
      <x:c r="M196" s="9"/>
      <x:c r="N196" s="9"/>
      <x:c r="O196" s="9"/>
      <x:c r="P196" s="9"/>
      <x:c r="Q196" s="9"/>
      <x:c r="R196" s="9"/>
      <x:c r="S196" s="9"/>
      <x:c r="T196" s="9"/>
      <x:c r="U196" s="9"/>
      <x:c r="V196" s="9"/>
      <x:c r="W196" s="12" t="str">
        <x:f>IF(A196="","",IF(COUNTIF($A$6:$A$505,A196)&gt;1,"记录ID重复",IF(COUNTIF('案件索引'!$A$6:$A$105,B196)=0,"案件ID未登记",IF(OR(C196="",D196="",F196="",G196="",H196="",I196="",J196="",K196="",M196="",N196="",Q196="",R196="",T196=""),"补对象、必要性、结果、依据或标注人",IF(AND(H196="条件必要",L196=""),"条件必要须写条件",IF(AND(R196="条件通过待执行核验",OR(M196="未知",M196="未满足",O196="",O196="未提供")),"条件或权限证据不足，退回核验","格式已填；仍须人工复核"))))))</x:f>
      </x:c>
    </x:row>
    <x:row r="197" ht="44" customHeight="1">
      <x:c r="A197" s="9"/>
      <x:c r="B197" s="9"/>
      <x:c r="C197" s="9"/>
      <x:c r="D197" s="9"/>
      <x:c r="E197" s="9"/>
      <x:c r="F197" s="9"/>
      <x:c r="G197" s="9"/>
      <x:c r="H197" s="9"/>
      <x:c r="I197" s="9"/>
      <x:c r="J197" s="9"/>
      <x:c r="K197" s="9"/>
      <x:c r="L197" s="9"/>
      <x:c r="M197" s="9"/>
      <x:c r="N197" s="9"/>
      <x:c r="O197" s="9"/>
      <x:c r="P197" s="9"/>
      <x:c r="Q197" s="9"/>
      <x:c r="R197" s="9"/>
      <x:c r="S197" s="9"/>
      <x:c r="T197" s="9"/>
      <x:c r="U197" s="9"/>
      <x:c r="V197" s="9"/>
      <x:c r="W197" s="12" t="str">
        <x:f>IF(A197="","",IF(COUNTIF($A$6:$A$505,A197)&gt;1,"记录ID重复",IF(COUNTIF('案件索引'!$A$6:$A$105,B197)=0,"案件ID未登记",IF(OR(C197="",D197="",F197="",G197="",H197="",I197="",J197="",K197="",M197="",N197="",Q197="",R197="",T197=""),"补对象、必要性、结果、依据或标注人",IF(AND(H197="条件必要",L197=""),"条件必要须写条件",IF(AND(R197="条件通过待执行核验",OR(M197="未知",M197="未满足",O197="",O197="未提供")),"条件或权限证据不足，退回核验","格式已填；仍须人工复核"))))))</x:f>
      </x:c>
    </x:row>
    <x:row r="198" ht="44" customHeight="1">
      <x:c r="A198" s="9"/>
      <x:c r="B198" s="9"/>
      <x:c r="C198" s="9"/>
      <x:c r="D198" s="9"/>
      <x:c r="E198" s="9"/>
      <x:c r="F198" s="9"/>
      <x:c r="G198" s="9"/>
      <x:c r="H198" s="9"/>
      <x:c r="I198" s="9"/>
      <x:c r="J198" s="9"/>
      <x:c r="K198" s="9"/>
      <x:c r="L198" s="9"/>
      <x:c r="M198" s="9"/>
      <x:c r="N198" s="9"/>
      <x:c r="O198" s="9"/>
      <x:c r="P198" s="9"/>
      <x:c r="Q198" s="9"/>
      <x:c r="R198" s="9"/>
      <x:c r="S198" s="9"/>
      <x:c r="T198" s="9"/>
      <x:c r="U198" s="9"/>
      <x:c r="V198" s="9"/>
      <x:c r="W198" s="12" t="str">
        <x:f>IF(A198="","",IF(COUNTIF($A$6:$A$505,A198)&gt;1,"记录ID重复",IF(COUNTIF('案件索引'!$A$6:$A$105,B198)=0,"案件ID未登记",IF(OR(C198="",D198="",F198="",G198="",H198="",I198="",J198="",K198="",M198="",N198="",Q198="",R198="",T198=""),"补对象、必要性、结果、依据或标注人",IF(AND(H198="条件必要",L198=""),"条件必要须写条件",IF(AND(R198="条件通过待执行核验",OR(M198="未知",M198="未满足",O198="",O198="未提供")),"条件或权限证据不足，退回核验","格式已填；仍须人工复核"))))))</x:f>
      </x:c>
    </x:row>
    <x:row r="199" ht="44" customHeight="1">
      <x:c r="A199" s="9"/>
      <x:c r="B199" s="9"/>
      <x:c r="C199" s="9"/>
      <x:c r="D199" s="9"/>
      <x:c r="E199" s="9"/>
      <x:c r="F199" s="9"/>
      <x:c r="G199" s="9"/>
      <x:c r="H199" s="9"/>
      <x:c r="I199" s="9"/>
      <x:c r="J199" s="9"/>
      <x:c r="K199" s="9"/>
      <x:c r="L199" s="9"/>
      <x:c r="M199" s="9"/>
      <x:c r="N199" s="9"/>
      <x:c r="O199" s="9"/>
      <x:c r="P199" s="9"/>
      <x:c r="Q199" s="9"/>
      <x:c r="R199" s="9"/>
      <x:c r="S199" s="9"/>
      <x:c r="T199" s="9"/>
      <x:c r="U199" s="9"/>
      <x:c r="V199" s="9"/>
      <x:c r="W199" s="12" t="str">
        <x:f>IF(A199="","",IF(COUNTIF($A$6:$A$505,A199)&gt;1,"记录ID重复",IF(COUNTIF('案件索引'!$A$6:$A$105,B199)=0,"案件ID未登记",IF(OR(C199="",D199="",F199="",G199="",H199="",I199="",J199="",K199="",M199="",N199="",Q199="",R199="",T199=""),"补对象、必要性、结果、依据或标注人",IF(AND(H199="条件必要",L199=""),"条件必要须写条件",IF(AND(R199="条件通过待执行核验",OR(M199="未知",M199="未满足",O199="",O199="未提供")),"条件或权限证据不足，退回核验","格式已填；仍须人工复核"))))))</x:f>
      </x:c>
    </x:row>
    <x:row r="200" ht="44" customHeight="1">
      <x:c r="A200" s="9"/>
      <x:c r="B200" s="9"/>
      <x:c r="C200" s="9"/>
      <x:c r="D200" s="9"/>
      <x:c r="E200" s="9"/>
      <x:c r="F200" s="9"/>
      <x:c r="G200" s="9"/>
      <x:c r="H200" s="9"/>
      <x:c r="I200" s="9"/>
      <x:c r="J200" s="9"/>
      <x:c r="K200" s="9"/>
      <x:c r="L200" s="9"/>
      <x:c r="M200" s="9"/>
      <x:c r="N200" s="9"/>
      <x:c r="O200" s="9"/>
      <x:c r="P200" s="9"/>
      <x:c r="Q200" s="9"/>
      <x:c r="R200" s="9"/>
      <x:c r="S200" s="9"/>
      <x:c r="T200" s="9"/>
      <x:c r="U200" s="9"/>
      <x:c r="V200" s="9"/>
      <x:c r="W200" s="12" t="str">
        <x:f>IF(A200="","",IF(COUNTIF($A$6:$A$505,A200)&gt;1,"记录ID重复",IF(COUNTIF('案件索引'!$A$6:$A$105,B200)=0,"案件ID未登记",IF(OR(C200="",D200="",F200="",G200="",H200="",I200="",J200="",K200="",M200="",N200="",Q200="",R200="",T200=""),"补对象、必要性、结果、依据或标注人",IF(AND(H200="条件必要",L200=""),"条件必要须写条件",IF(AND(R200="条件通过待执行核验",OR(M200="未知",M200="未满足",O200="",O200="未提供")),"条件或权限证据不足，退回核验","格式已填；仍须人工复核"))))))</x:f>
      </x:c>
    </x:row>
    <x:row r="201" ht="44" customHeight="1">
      <x:c r="A201" s="9"/>
      <x:c r="B201" s="9"/>
      <x:c r="C201" s="9"/>
      <x:c r="D201" s="9"/>
      <x:c r="E201" s="9"/>
      <x:c r="F201" s="9"/>
      <x:c r="G201" s="9"/>
      <x:c r="H201" s="9"/>
      <x:c r="I201" s="9"/>
      <x:c r="J201" s="9"/>
      <x:c r="K201" s="9"/>
      <x:c r="L201" s="9"/>
      <x:c r="M201" s="9"/>
      <x:c r="N201" s="9"/>
      <x:c r="O201" s="9"/>
      <x:c r="P201" s="9"/>
      <x:c r="Q201" s="9"/>
      <x:c r="R201" s="9"/>
      <x:c r="S201" s="9"/>
      <x:c r="T201" s="9"/>
      <x:c r="U201" s="9"/>
      <x:c r="V201" s="9"/>
      <x:c r="W201" s="12" t="str">
        <x:f>IF(A201="","",IF(COUNTIF($A$6:$A$505,A201)&gt;1,"记录ID重复",IF(COUNTIF('案件索引'!$A$6:$A$105,B201)=0,"案件ID未登记",IF(OR(C201="",D201="",F201="",G201="",H201="",I201="",J201="",K201="",M201="",N201="",Q201="",R201="",T201=""),"补对象、必要性、结果、依据或标注人",IF(AND(H201="条件必要",L201=""),"条件必要须写条件",IF(AND(R201="条件通过待执行核验",OR(M201="未知",M201="未满足",O201="",O201="未提供")),"条件或权限证据不足，退回核验","格式已填；仍须人工复核"))))))</x:f>
      </x:c>
    </x:row>
    <x:row r="202" ht="44" customHeight="1">
      <x:c r="A202" s="9"/>
      <x:c r="B202" s="9"/>
      <x:c r="C202" s="9"/>
      <x:c r="D202" s="9"/>
      <x:c r="E202" s="9"/>
      <x:c r="F202" s="9"/>
      <x:c r="G202" s="9"/>
      <x:c r="H202" s="9"/>
      <x:c r="I202" s="9"/>
      <x:c r="J202" s="9"/>
      <x:c r="K202" s="9"/>
      <x:c r="L202" s="9"/>
      <x:c r="M202" s="9"/>
      <x:c r="N202" s="9"/>
      <x:c r="O202" s="9"/>
      <x:c r="P202" s="9"/>
      <x:c r="Q202" s="9"/>
      <x:c r="R202" s="9"/>
      <x:c r="S202" s="9"/>
      <x:c r="T202" s="9"/>
      <x:c r="U202" s="9"/>
      <x:c r="V202" s="9"/>
      <x:c r="W202" s="12" t="str">
        <x:f>IF(A202="","",IF(COUNTIF($A$6:$A$505,A202)&gt;1,"记录ID重复",IF(COUNTIF('案件索引'!$A$6:$A$105,B202)=0,"案件ID未登记",IF(OR(C202="",D202="",F202="",G202="",H202="",I202="",J202="",K202="",M202="",N202="",Q202="",R202="",T202=""),"补对象、必要性、结果、依据或标注人",IF(AND(H202="条件必要",L202=""),"条件必要须写条件",IF(AND(R202="条件通过待执行核验",OR(M202="未知",M202="未满足",O202="",O202="未提供")),"条件或权限证据不足，退回核验","格式已填；仍须人工复核"))))))</x:f>
      </x:c>
    </x:row>
    <x:row r="203" ht="44" customHeight="1">
      <x:c r="A203" s="9"/>
      <x:c r="B203" s="9"/>
      <x:c r="C203" s="9"/>
      <x:c r="D203" s="9"/>
      <x:c r="E203" s="9"/>
      <x:c r="F203" s="9"/>
      <x:c r="G203" s="9"/>
      <x:c r="H203" s="9"/>
      <x:c r="I203" s="9"/>
      <x:c r="J203" s="9"/>
      <x:c r="K203" s="9"/>
      <x:c r="L203" s="9"/>
      <x:c r="M203" s="9"/>
      <x:c r="N203" s="9"/>
      <x:c r="O203" s="9"/>
      <x:c r="P203" s="9"/>
      <x:c r="Q203" s="9"/>
      <x:c r="R203" s="9"/>
      <x:c r="S203" s="9"/>
      <x:c r="T203" s="9"/>
      <x:c r="U203" s="9"/>
      <x:c r="V203" s="9"/>
      <x:c r="W203" s="12" t="str">
        <x:f>IF(A203="","",IF(COUNTIF($A$6:$A$505,A203)&gt;1,"记录ID重复",IF(COUNTIF('案件索引'!$A$6:$A$105,B203)=0,"案件ID未登记",IF(OR(C203="",D203="",F203="",G203="",H203="",I203="",J203="",K203="",M203="",N203="",Q203="",R203="",T203=""),"补对象、必要性、结果、依据或标注人",IF(AND(H203="条件必要",L203=""),"条件必要须写条件",IF(AND(R203="条件通过待执行核验",OR(M203="未知",M203="未满足",O203="",O203="未提供")),"条件或权限证据不足，退回核验","格式已填；仍须人工复核"))))))</x:f>
      </x:c>
    </x:row>
    <x:row r="204" ht="44" customHeight="1">
      <x:c r="A204" s="9"/>
      <x:c r="B204" s="9"/>
      <x:c r="C204" s="9"/>
      <x:c r="D204" s="9"/>
      <x:c r="E204" s="9"/>
      <x:c r="F204" s="9"/>
      <x:c r="G204" s="9"/>
      <x:c r="H204" s="9"/>
      <x:c r="I204" s="9"/>
      <x:c r="J204" s="9"/>
      <x:c r="K204" s="9"/>
      <x:c r="L204" s="9"/>
      <x:c r="M204" s="9"/>
      <x:c r="N204" s="9"/>
      <x:c r="O204" s="9"/>
      <x:c r="P204" s="9"/>
      <x:c r="Q204" s="9"/>
      <x:c r="R204" s="9"/>
      <x:c r="S204" s="9"/>
      <x:c r="T204" s="9"/>
      <x:c r="U204" s="9"/>
      <x:c r="V204" s="9"/>
      <x:c r="W204" s="12" t="str">
        <x:f>IF(A204="","",IF(COUNTIF($A$6:$A$505,A204)&gt;1,"记录ID重复",IF(COUNTIF('案件索引'!$A$6:$A$105,B204)=0,"案件ID未登记",IF(OR(C204="",D204="",F204="",G204="",H204="",I204="",J204="",K204="",M204="",N204="",Q204="",R204="",T204=""),"补对象、必要性、结果、依据或标注人",IF(AND(H204="条件必要",L204=""),"条件必要须写条件",IF(AND(R204="条件通过待执行核验",OR(M204="未知",M204="未满足",O204="",O204="未提供")),"条件或权限证据不足，退回核验","格式已填；仍须人工复核"))))))</x:f>
      </x:c>
    </x:row>
    <x:row r="205" ht="44" customHeight="1">
      <x:c r="A205" s="9"/>
      <x:c r="B205" s="9"/>
      <x:c r="C205" s="9"/>
      <x:c r="D205" s="9"/>
      <x:c r="E205" s="9"/>
      <x:c r="F205" s="9"/>
      <x:c r="G205" s="9"/>
      <x:c r="H205" s="9"/>
      <x:c r="I205" s="9"/>
      <x:c r="J205" s="9"/>
      <x:c r="K205" s="9"/>
      <x:c r="L205" s="9"/>
      <x:c r="M205" s="9"/>
      <x:c r="N205" s="9"/>
      <x:c r="O205" s="9"/>
      <x:c r="P205" s="9"/>
      <x:c r="Q205" s="9"/>
      <x:c r="R205" s="9"/>
      <x:c r="S205" s="9"/>
      <x:c r="T205" s="9"/>
      <x:c r="U205" s="9"/>
      <x:c r="V205" s="9"/>
      <x:c r="W205" s="12" t="str">
        <x:f>IF(A205="","",IF(COUNTIF($A$6:$A$505,A205)&gt;1,"记录ID重复",IF(COUNTIF('案件索引'!$A$6:$A$105,B205)=0,"案件ID未登记",IF(OR(C205="",D205="",F205="",G205="",H205="",I205="",J205="",K205="",M205="",N205="",Q205="",R205="",T205=""),"补对象、必要性、结果、依据或标注人",IF(AND(H205="条件必要",L205=""),"条件必要须写条件",IF(AND(R205="条件通过待执行核验",OR(M205="未知",M205="未满足",O205="",O205="未提供")),"条件或权限证据不足，退回核验","格式已填；仍须人工复核"))))))</x:f>
      </x:c>
    </x:row>
    <x:row r="206" ht="44" customHeight="1">
      <x:c r="A206" s="9"/>
      <x:c r="B206" s="9"/>
      <x:c r="C206" s="9"/>
      <x:c r="D206" s="9"/>
      <x:c r="E206" s="9"/>
      <x:c r="F206" s="9"/>
      <x:c r="G206" s="9"/>
      <x:c r="H206" s="9"/>
      <x:c r="I206" s="9"/>
      <x:c r="J206" s="9"/>
      <x:c r="K206" s="9"/>
      <x:c r="L206" s="9"/>
      <x:c r="M206" s="9"/>
      <x:c r="N206" s="9"/>
      <x:c r="O206" s="9"/>
      <x:c r="P206" s="9"/>
      <x:c r="Q206" s="9"/>
      <x:c r="R206" s="9"/>
      <x:c r="S206" s="9"/>
      <x:c r="T206" s="9"/>
      <x:c r="U206" s="9"/>
      <x:c r="V206" s="9"/>
      <x:c r="W206" s="12" t="str">
        <x:f>IF(A206="","",IF(COUNTIF($A$6:$A$505,A206)&gt;1,"记录ID重复",IF(COUNTIF('案件索引'!$A$6:$A$105,B206)=0,"案件ID未登记",IF(OR(C206="",D206="",F206="",G206="",H206="",I206="",J206="",K206="",M206="",N206="",Q206="",R206="",T206=""),"补对象、必要性、结果、依据或标注人",IF(AND(H206="条件必要",L206=""),"条件必要须写条件",IF(AND(R206="条件通过待执行核验",OR(M206="未知",M206="未满足",O206="",O206="未提供")),"条件或权限证据不足，退回核验","格式已填；仍须人工复核"))))))</x:f>
      </x:c>
    </x:row>
    <x:row r="207" ht="44" customHeight="1">
      <x:c r="A207" s="9"/>
      <x:c r="B207" s="9"/>
      <x:c r="C207" s="9"/>
      <x:c r="D207" s="9"/>
      <x:c r="E207" s="9"/>
      <x:c r="F207" s="9"/>
      <x:c r="G207" s="9"/>
      <x:c r="H207" s="9"/>
      <x:c r="I207" s="9"/>
      <x:c r="J207" s="9"/>
      <x:c r="K207" s="9"/>
      <x:c r="L207" s="9"/>
      <x:c r="M207" s="9"/>
      <x:c r="N207" s="9"/>
      <x:c r="O207" s="9"/>
      <x:c r="P207" s="9"/>
      <x:c r="Q207" s="9"/>
      <x:c r="R207" s="9"/>
      <x:c r="S207" s="9"/>
      <x:c r="T207" s="9"/>
      <x:c r="U207" s="9"/>
      <x:c r="V207" s="9"/>
      <x:c r="W207" s="12" t="str">
        <x:f>IF(A207="","",IF(COUNTIF($A$6:$A$505,A207)&gt;1,"记录ID重复",IF(COUNTIF('案件索引'!$A$6:$A$105,B207)=0,"案件ID未登记",IF(OR(C207="",D207="",F207="",G207="",H207="",I207="",J207="",K207="",M207="",N207="",Q207="",R207="",T207=""),"补对象、必要性、结果、依据或标注人",IF(AND(H207="条件必要",L207=""),"条件必要须写条件",IF(AND(R207="条件通过待执行核验",OR(M207="未知",M207="未满足",O207="",O207="未提供")),"条件或权限证据不足，退回核验","格式已填；仍须人工复核"))))))</x:f>
      </x:c>
    </x:row>
    <x:row r="208" ht="44" customHeight="1">
      <x:c r="A208" s="9"/>
      <x:c r="B208" s="9"/>
      <x:c r="C208" s="9"/>
      <x:c r="D208" s="9"/>
      <x:c r="E208" s="9"/>
      <x:c r="F208" s="9"/>
      <x:c r="G208" s="9"/>
      <x:c r="H208" s="9"/>
      <x:c r="I208" s="9"/>
      <x:c r="J208" s="9"/>
      <x:c r="K208" s="9"/>
      <x:c r="L208" s="9"/>
      <x:c r="M208" s="9"/>
      <x:c r="N208" s="9"/>
      <x:c r="O208" s="9"/>
      <x:c r="P208" s="9"/>
      <x:c r="Q208" s="9"/>
      <x:c r="R208" s="9"/>
      <x:c r="S208" s="9"/>
      <x:c r="T208" s="9"/>
      <x:c r="U208" s="9"/>
      <x:c r="V208" s="9"/>
      <x:c r="W208" s="12" t="str">
        <x:f>IF(A208="","",IF(COUNTIF($A$6:$A$505,A208)&gt;1,"记录ID重复",IF(COUNTIF('案件索引'!$A$6:$A$105,B208)=0,"案件ID未登记",IF(OR(C208="",D208="",F208="",G208="",H208="",I208="",J208="",K208="",M208="",N208="",Q208="",R208="",T208=""),"补对象、必要性、结果、依据或标注人",IF(AND(H208="条件必要",L208=""),"条件必要须写条件",IF(AND(R208="条件通过待执行核验",OR(M208="未知",M208="未满足",O208="",O208="未提供")),"条件或权限证据不足，退回核验","格式已填；仍须人工复核"))))))</x:f>
      </x:c>
    </x:row>
    <x:row r="209" ht="44" customHeight="1">
      <x:c r="A209" s="9"/>
      <x:c r="B209" s="9"/>
      <x:c r="C209" s="9"/>
      <x:c r="D209" s="9"/>
      <x:c r="E209" s="9"/>
      <x:c r="F209" s="9"/>
      <x:c r="G209" s="9"/>
      <x:c r="H209" s="9"/>
      <x:c r="I209" s="9"/>
      <x:c r="J209" s="9"/>
      <x:c r="K209" s="9"/>
      <x:c r="L209" s="9"/>
      <x:c r="M209" s="9"/>
      <x:c r="N209" s="9"/>
      <x:c r="O209" s="9"/>
      <x:c r="P209" s="9"/>
      <x:c r="Q209" s="9"/>
      <x:c r="R209" s="9"/>
      <x:c r="S209" s="9"/>
      <x:c r="T209" s="9"/>
      <x:c r="U209" s="9"/>
      <x:c r="V209" s="9"/>
      <x:c r="W209" s="12" t="str">
        <x:f>IF(A209="","",IF(COUNTIF($A$6:$A$505,A209)&gt;1,"记录ID重复",IF(COUNTIF('案件索引'!$A$6:$A$105,B209)=0,"案件ID未登记",IF(OR(C209="",D209="",F209="",G209="",H209="",I209="",J209="",K209="",M209="",N209="",Q209="",R209="",T209=""),"补对象、必要性、结果、依据或标注人",IF(AND(H209="条件必要",L209=""),"条件必要须写条件",IF(AND(R209="条件通过待执行核验",OR(M209="未知",M209="未满足",O209="",O209="未提供")),"条件或权限证据不足，退回核验","格式已填；仍须人工复核"))))))</x:f>
      </x:c>
    </x:row>
    <x:row r="210" ht="44" customHeight="1">
      <x:c r="A210" s="9"/>
      <x:c r="B210" s="9"/>
      <x:c r="C210" s="9"/>
      <x:c r="D210" s="9"/>
      <x:c r="E210" s="9"/>
      <x:c r="F210" s="9"/>
      <x:c r="G210" s="9"/>
      <x:c r="H210" s="9"/>
      <x:c r="I210" s="9"/>
      <x:c r="J210" s="9"/>
      <x:c r="K210" s="9"/>
      <x:c r="L210" s="9"/>
      <x:c r="M210" s="9"/>
      <x:c r="N210" s="9"/>
      <x:c r="O210" s="9"/>
      <x:c r="P210" s="9"/>
      <x:c r="Q210" s="9"/>
      <x:c r="R210" s="9"/>
      <x:c r="S210" s="9"/>
      <x:c r="T210" s="9"/>
      <x:c r="U210" s="9"/>
      <x:c r="V210" s="9"/>
      <x:c r="W210" s="12" t="str">
        <x:f>IF(A210="","",IF(COUNTIF($A$6:$A$505,A210)&gt;1,"记录ID重复",IF(COUNTIF('案件索引'!$A$6:$A$105,B210)=0,"案件ID未登记",IF(OR(C210="",D210="",F210="",G210="",H210="",I210="",J210="",K210="",M210="",N210="",Q210="",R210="",T210=""),"补对象、必要性、结果、依据或标注人",IF(AND(H210="条件必要",L210=""),"条件必要须写条件",IF(AND(R210="条件通过待执行核验",OR(M210="未知",M210="未满足",O210="",O210="未提供")),"条件或权限证据不足，退回核验","格式已填；仍须人工复核"))))))</x:f>
      </x:c>
    </x:row>
    <x:row r="211" ht="44" customHeight="1">
      <x:c r="A211" s="9"/>
      <x:c r="B211" s="9"/>
      <x:c r="C211" s="9"/>
      <x:c r="D211" s="9"/>
      <x:c r="E211" s="9"/>
      <x:c r="F211" s="9"/>
      <x:c r="G211" s="9"/>
      <x:c r="H211" s="9"/>
      <x:c r="I211" s="9"/>
      <x:c r="J211" s="9"/>
      <x:c r="K211" s="9"/>
      <x:c r="L211" s="9"/>
      <x:c r="M211" s="9"/>
      <x:c r="N211" s="9"/>
      <x:c r="O211" s="9"/>
      <x:c r="P211" s="9"/>
      <x:c r="Q211" s="9"/>
      <x:c r="R211" s="9"/>
      <x:c r="S211" s="9"/>
      <x:c r="T211" s="9"/>
      <x:c r="U211" s="9"/>
      <x:c r="V211" s="9"/>
      <x:c r="W211" s="12" t="str">
        <x:f>IF(A211="","",IF(COUNTIF($A$6:$A$505,A211)&gt;1,"记录ID重复",IF(COUNTIF('案件索引'!$A$6:$A$105,B211)=0,"案件ID未登记",IF(OR(C211="",D211="",F211="",G211="",H211="",I211="",J211="",K211="",M211="",N211="",Q211="",R211="",T211=""),"补对象、必要性、结果、依据或标注人",IF(AND(H211="条件必要",L211=""),"条件必要须写条件",IF(AND(R211="条件通过待执行核验",OR(M211="未知",M211="未满足",O211="",O211="未提供")),"条件或权限证据不足，退回核验","格式已填；仍须人工复核"))))))</x:f>
      </x:c>
    </x:row>
    <x:row r="212" ht="44" customHeight="1">
      <x:c r="A212" s="9"/>
      <x:c r="B212" s="9"/>
      <x:c r="C212" s="9"/>
      <x:c r="D212" s="9"/>
      <x:c r="E212" s="9"/>
      <x:c r="F212" s="9"/>
      <x:c r="G212" s="9"/>
      <x:c r="H212" s="9"/>
      <x:c r="I212" s="9"/>
      <x:c r="J212" s="9"/>
      <x:c r="K212" s="9"/>
      <x:c r="L212" s="9"/>
      <x:c r="M212" s="9"/>
      <x:c r="N212" s="9"/>
      <x:c r="O212" s="9"/>
      <x:c r="P212" s="9"/>
      <x:c r="Q212" s="9"/>
      <x:c r="R212" s="9"/>
      <x:c r="S212" s="9"/>
      <x:c r="T212" s="9"/>
      <x:c r="U212" s="9"/>
      <x:c r="V212" s="9"/>
      <x:c r="W212" s="12" t="str">
        <x:f>IF(A212="","",IF(COUNTIF($A$6:$A$505,A212)&gt;1,"记录ID重复",IF(COUNTIF('案件索引'!$A$6:$A$105,B212)=0,"案件ID未登记",IF(OR(C212="",D212="",F212="",G212="",H212="",I212="",J212="",K212="",M212="",N212="",Q212="",R212="",T212=""),"补对象、必要性、结果、依据或标注人",IF(AND(H212="条件必要",L212=""),"条件必要须写条件",IF(AND(R212="条件通过待执行核验",OR(M212="未知",M212="未满足",O212="",O212="未提供")),"条件或权限证据不足，退回核验","格式已填；仍须人工复核"))))))</x:f>
      </x:c>
    </x:row>
    <x:row r="213" ht="44" customHeight="1">
      <x:c r="A213" s="9"/>
      <x:c r="B213" s="9"/>
      <x:c r="C213" s="9"/>
      <x:c r="D213" s="9"/>
      <x:c r="E213" s="9"/>
      <x:c r="F213" s="9"/>
      <x:c r="G213" s="9"/>
      <x:c r="H213" s="9"/>
      <x:c r="I213" s="9"/>
      <x:c r="J213" s="9"/>
      <x:c r="K213" s="9"/>
      <x:c r="L213" s="9"/>
      <x:c r="M213" s="9"/>
      <x:c r="N213" s="9"/>
      <x:c r="O213" s="9"/>
      <x:c r="P213" s="9"/>
      <x:c r="Q213" s="9"/>
      <x:c r="R213" s="9"/>
      <x:c r="S213" s="9"/>
      <x:c r="T213" s="9"/>
      <x:c r="U213" s="9"/>
      <x:c r="V213" s="9"/>
      <x:c r="W213" s="12" t="str">
        <x:f>IF(A213="","",IF(COUNTIF($A$6:$A$505,A213)&gt;1,"记录ID重复",IF(COUNTIF('案件索引'!$A$6:$A$105,B213)=0,"案件ID未登记",IF(OR(C213="",D213="",F213="",G213="",H213="",I213="",J213="",K213="",M213="",N213="",Q213="",R213="",T213=""),"补对象、必要性、结果、依据或标注人",IF(AND(H213="条件必要",L213=""),"条件必要须写条件",IF(AND(R213="条件通过待执行核验",OR(M213="未知",M213="未满足",O213="",O213="未提供")),"条件或权限证据不足，退回核验","格式已填；仍须人工复核"))))))</x:f>
      </x:c>
    </x:row>
    <x:row r="214" ht="44" customHeight="1">
      <x:c r="A214" s="9"/>
      <x:c r="B214" s="9"/>
      <x:c r="C214" s="9"/>
      <x:c r="D214" s="9"/>
      <x:c r="E214" s="9"/>
      <x:c r="F214" s="9"/>
      <x:c r="G214" s="9"/>
      <x:c r="H214" s="9"/>
      <x:c r="I214" s="9"/>
      <x:c r="J214" s="9"/>
      <x:c r="K214" s="9"/>
      <x:c r="L214" s="9"/>
      <x:c r="M214" s="9"/>
      <x:c r="N214" s="9"/>
      <x:c r="O214" s="9"/>
      <x:c r="P214" s="9"/>
      <x:c r="Q214" s="9"/>
      <x:c r="R214" s="9"/>
      <x:c r="S214" s="9"/>
      <x:c r="T214" s="9"/>
      <x:c r="U214" s="9"/>
      <x:c r="V214" s="9"/>
      <x:c r="W214" s="12" t="str">
        <x:f>IF(A214="","",IF(COUNTIF($A$6:$A$505,A214)&gt;1,"记录ID重复",IF(COUNTIF('案件索引'!$A$6:$A$105,B214)=0,"案件ID未登记",IF(OR(C214="",D214="",F214="",G214="",H214="",I214="",J214="",K214="",M214="",N214="",Q214="",R214="",T214=""),"补对象、必要性、结果、依据或标注人",IF(AND(H214="条件必要",L214=""),"条件必要须写条件",IF(AND(R214="条件通过待执行核验",OR(M214="未知",M214="未满足",O214="",O214="未提供")),"条件或权限证据不足，退回核验","格式已填；仍须人工复核"))))))</x:f>
      </x:c>
    </x:row>
    <x:row r="215" ht="44" customHeight="1">
      <x:c r="A215" s="9"/>
      <x:c r="B215" s="9"/>
      <x:c r="C215" s="9"/>
      <x:c r="D215" s="9"/>
      <x:c r="E215" s="9"/>
      <x:c r="F215" s="9"/>
      <x:c r="G215" s="9"/>
      <x:c r="H215" s="9"/>
      <x:c r="I215" s="9"/>
      <x:c r="J215" s="9"/>
      <x:c r="K215" s="9"/>
      <x:c r="L215" s="9"/>
      <x:c r="M215" s="9"/>
      <x:c r="N215" s="9"/>
      <x:c r="O215" s="9"/>
      <x:c r="P215" s="9"/>
      <x:c r="Q215" s="9"/>
      <x:c r="R215" s="9"/>
      <x:c r="S215" s="9"/>
      <x:c r="T215" s="9"/>
      <x:c r="U215" s="9"/>
      <x:c r="V215" s="9"/>
      <x:c r="W215" s="12" t="str">
        <x:f>IF(A215="","",IF(COUNTIF($A$6:$A$505,A215)&gt;1,"记录ID重复",IF(COUNTIF('案件索引'!$A$6:$A$105,B215)=0,"案件ID未登记",IF(OR(C215="",D215="",F215="",G215="",H215="",I215="",J215="",K215="",M215="",N215="",Q215="",R215="",T215=""),"补对象、必要性、结果、依据或标注人",IF(AND(H215="条件必要",L215=""),"条件必要须写条件",IF(AND(R215="条件通过待执行核验",OR(M215="未知",M215="未满足",O215="",O215="未提供")),"条件或权限证据不足，退回核验","格式已填；仍须人工复核"))))))</x:f>
      </x:c>
    </x:row>
    <x:row r="216" ht="44" customHeight="1">
      <x:c r="A216" s="9"/>
      <x:c r="B216" s="9"/>
      <x:c r="C216" s="9"/>
      <x:c r="D216" s="9"/>
      <x:c r="E216" s="9"/>
      <x:c r="F216" s="9"/>
      <x:c r="G216" s="9"/>
      <x:c r="H216" s="9"/>
      <x:c r="I216" s="9"/>
      <x:c r="J216" s="9"/>
      <x:c r="K216" s="9"/>
      <x:c r="L216" s="9"/>
      <x:c r="M216" s="9"/>
      <x:c r="N216" s="9"/>
      <x:c r="O216" s="9"/>
      <x:c r="P216" s="9"/>
      <x:c r="Q216" s="9"/>
      <x:c r="R216" s="9"/>
      <x:c r="S216" s="9"/>
      <x:c r="T216" s="9"/>
      <x:c r="U216" s="9"/>
      <x:c r="V216" s="9"/>
      <x:c r="W216" s="12" t="str">
        <x:f>IF(A216="","",IF(COUNTIF($A$6:$A$505,A216)&gt;1,"记录ID重复",IF(COUNTIF('案件索引'!$A$6:$A$105,B216)=0,"案件ID未登记",IF(OR(C216="",D216="",F216="",G216="",H216="",I216="",J216="",K216="",M216="",N216="",Q216="",R216="",T216=""),"补对象、必要性、结果、依据或标注人",IF(AND(H216="条件必要",L216=""),"条件必要须写条件",IF(AND(R216="条件通过待执行核验",OR(M216="未知",M216="未满足",O216="",O216="未提供")),"条件或权限证据不足，退回核验","格式已填；仍须人工复核"))))))</x:f>
      </x:c>
    </x:row>
    <x:row r="217" ht="44" customHeight="1">
      <x:c r="A217" s="9"/>
      <x:c r="B217" s="9"/>
      <x:c r="C217" s="9"/>
      <x:c r="D217" s="9"/>
      <x:c r="E217" s="9"/>
      <x:c r="F217" s="9"/>
      <x:c r="G217" s="9"/>
      <x:c r="H217" s="9"/>
      <x:c r="I217" s="9"/>
      <x:c r="J217" s="9"/>
      <x:c r="K217" s="9"/>
      <x:c r="L217" s="9"/>
      <x:c r="M217" s="9"/>
      <x:c r="N217" s="9"/>
      <x:c r="O217" s="9"/>
      <x:c r="P217" s="9"/>
      <x:c r="Q217" s="9"/>
      <x:c r="R217" s="9"/>
      <x:c r="S217" s="9"/>
      <x:c r="T217" s="9"/>
      <x:c r="U217" s="9"/>
      <x:c r="V217" s="9"/>
      <x:c r="W217" s="12" t="str">
        <x:f>IF(A217="","",IF(COUNTIF($A$6:$A$505,A217)&gt;1,"记录ID重复",IF(COUNTIF('案件索引'!$A$6:$A$105,B217)=0,"案件ID未登记",IF(OR(C217="",D217="",F217="",G217="",H217="",I217="",J217="",K217="",M217="",N217="",Q217="",R217="",T217=""),"补对象、必要性、结果、依据或标注人",IF(AND(H217="条件必要",L217=""),"条件必要须写条件",IF(AND(R217="条件通过待执行核验",OR(M217="未知",M217="未满足",O217="",O217="未提供")),"条件或权限证据不足，退回核验","格式已填；仍须人工复核"))))))</x:f>
      </x:c>
    </x:row>
    <x:row r="218" ht="44" customHeight="1">
      <x:c r="A218" s="9"/>
      <x:c r="B218" s="9"/>
      <x:c r="C218" s="9"/>
      <x:c r="D218" s="9"/>
      <x:c r="E218" s="9"/>
      <x:c r="F218" s="9"/>
      <x:c r="G218" s="9"/>
      <x:c r="H218" s="9"/>
      <x:c r="I218" s="9"/>
      <x:c r="J218" s="9"/>
      <x:c r="K218" s="9"/>
      <x:c r="L218" s="9"/>
      <x:c r="M218" s="9"/>
      <x:c r="N218" s="9"/>
      <x:c r="O218" s="9"/>
      <x:c r="P218" s="9"/>
      <x:c r="Q218" s="9"/>
      <x:c r="R218" s="9"/>
      <x:c r="S218" s="9"/>
      <x:c r="T218" s="9"/>
      <x:c r="U218" s="9"/>
      <x:c r="V218" s="9"/>
      <x:c r="W218" s="12" t="str">
        <x:f>IF(A218="","",IF(COUNTIF($A$6:$A$505,A218)&gt;1,"记录ID重复",IF(COUNTIF('案件索引'!$A$6:$A$105,B218)=0,"案件ID未登记",IF(OR(C218="",D218="",F218="",G218="",H218="",I218="",J218="",K218="",M218="",N218="",Q218="",R218="",T218=""),"补对象、必要性、结果、依据或标注人",IF(AND(H218="条件必要",L218=""),"条件必要须写条件",IF(AND(R218="条件通过待执行核验",OR(M218="未知",M218="未满足",O218="",O218="未提供")),"条件或权限证据不足，退回核验","格式已填；仍须人工复核"))))))</x:f>
      </x:c>
    </x:row>
    <x:row r="219" ht="44" customHeight="1">
      <x:c r="A219" s="9"/>
      <x:c r="B219" s="9"/>
      <x:c r="C219" s="9"/>
      <x:c r="D219" s="9"/>
      <x:c r="E219" s="9"/>
      <x:c r="F219" s="9"/>
      <x:c r="G219" s="9"/>
      <x:c r="H219" s="9"/>
      <x:c r="I219" s="9"/>
      <x:c r="J219" s="9"/>
      <x:c r="K219" s="9"/>
      <x:c r="L219" s="9"/>
      <x:c r="M219" s="9"/>
      <x:c r="N219" s="9"/>
      <x:c r="O219" s="9"/>
      <x:c r="P219" s="9"/>
      <x:c r="Q219" s="9"/>
      <x:c r="R219" s="9"/>
      <x:c r="S219" s="9"/>
      <x:c r="T219" s="9"/>
      <x:c r="U219" s="9"/>
      <x:c r="V219" s="9"/>
      <x:c r="W219" s="12" t="str">
        <x:f>IF(A219="","",IF(COUNTIF($A$6:$A$505,A219)&gt;1,"记录ID重复",IF(COUNTIF('案件索引'!$A$6:$A$105,B219)=0,"案件ID未登记",IF(OR(C219="",D219="",F219="",G219="",H219="",I219="",J219="",K219="",M219="",N219="",Q219="",R219="",T219=""),"补对象、必要性、结果、依据或标注人",IF(AND(H219="条件必要",L219=""),"条件必要须写条件",IF(AND(R219="条件通过待执行核验",OR(M219="未知",M219="未满足",O219="",O219="未提供")),"条件或权限证据不足，退回核验","格式已填；仍须人工复核"))))))</x:f>
      </x:c>
    </x:row>
    <x:row r="220" ht="44" customHeight="1">
      <x:c r="A220" s="9"/>
      <x:c r="B220" s="9"/>
      <x:c r="C220" s="9"/>
      <x:c r="D220" s="9"/>
      <x:c r="E220" s="9"/>
      <x:c r="F220" s="9"/>
      <x:c r="G220" s="9"/>
      <x:c r="H220" s="9"/>
      <x:c r="I220" s="9"/>
      <x:c r="J220" s="9"/>
      <x:c r="K220" s="9"/>
      <x:c r="L220" s="9"/>
      <x:c r="M220" s="9"/>
      <x:c r="N220" s="9"/>
      <x:c r="O220" s="9"/>
      <x:c r="P220" s="9"/>
      <x:c r="Q220" s="9"/>
      <x:c r="R220" s="9"/>
      <x:c r="S220" s="9"/>
      <x:c r="T220" s="9"/>
      <x:c r="U220" s="9"/>
      <x:c r="V220" s="9"/>
      <x:c r="W220" s="12" t="str">
        <x:f>IF(A220="","",IF(COUNTIF($A$6:$A$505,A220)&gt;1,"记录ID重复",IF(COUNTIF('案件索引'!$A$6:$A$105,B220)=0,"案件ID未登记",IF(OR(C220="",D220="",F220="",G220="",H220="",I220="",J220="",K220="",M220="",N220="",Q220="",R220="",T220=""),"补对象、必要性、结果、依据或标注人",IF(AND(H220="条件必要",L220=""),"条件必要须写条件",IF(AND(R220="条件通过待执行核验",OR(M220="未知",M220="未满足",O220="",O220="未提供")),"条件或权限证据不足，退回核验","格式已填；仍须人工复核"))))))</x:f>
      </x:c>
    </x:row>
    <x:row r="221" ht="44" customHeight="1">
      <x:c r="A221" s="9"/>
      <x:c r="B221" s="9"/>
      <x:c r="C221" s="9"/>
      <x:c r="D221" s="9"/>
      <x:c r="E221" s="9"/>
      <x:c r="F221" s="9"/>
      <x:c r="G221" s="9"/>
      <x:c r="H221" s="9"/>
      <x:c r="I221" s="9"/>
      <x:c r="J221" s="9"/>
      <x:c r="K221" s="9"/>
      <x:c r="L221" s="9"/>
      <x:c r="M221" s="9"/>
      <x:c r="N221" s="9"/>
      <x:c r="O221" s="9"/>
      <x:c r="P221" s="9"/>
      <x:c r="Q221" s="9"/>
      <x:c r="R221" s="9"/>
      <x:c r="S221" s="9"/>
      <x:c r="T221" s="9"/>
      <x:c r="U221" s="9"/>
      <x:c r="V221" s="9"/>
      <x:c r="W221" s="12" t="str">
        <x:f>IF(A221="","",IF(COUNTIF($A$6:$A$505,A221)&gt;1,"记录ID重复",IF(COUNTIF('案件索引'!$A$6:$A$105,B221)=0,"案件ID未登记",IF(OR(C221="",D221="",F221="",G221="",H221="",I221="",J221="",K221="",M221="",N221="",Q221="",R221="",T221=""),"补对象、必要性、结果、依据或标注人",IF(AND(H221="条件必要",L221=""),"条件必要须写条件",IF(AND(R221="条件通过待执行核验",OR(M221="未知",M221="未满足",O221="",O221="未提供")),"条件或权限证据不足，退回核验","格式已填；仍须人工复核"))))))</x:f>
      </x:c>
    </x:row>
    <x:row r="222" ht="44" customHeight="1">
      <x:c r="A222" s="9"/>
      <x:c r="B222" s="9"/>
      <x:c r="C222" s="9"/>
      <x:c r="D222" s="9"/>
      <x:c r="E222" s="9"/>
      <x:c r="F222" s="9"/>
      <x:c r="G222" s="9"/>
      <x:c r="H222" s="9"/>
      <x:c r="I222" s="9"/>
      <x:c r="J222" s="9"/>
      <x:c r="K222" s="9"/>
      <x:c r="L222" s="9"/>
      <x:c r="M222" s="9"/>
      <x:c r="N222" s="9"/>
      <x:c r="O222" s="9"/>
      <x:c r="P222" s="9"/>
      <x:c r="Q222" s="9"/>
      <x:c r="R222" s="9"/>
      <x:c r="S222" s="9"/>
      <x:c r="T222" s="9"/>
      <x:c r="U222" s="9"/>
      <x:c r="V222" s="9"/>
      <x:c r="W222" s="12" t="str">
        <x:f>IF(A222="","",IF(COUNTIF($A$6:$A$505,A222)&gt;1,"记录ID重复",IF(COUNTIF('案件索引'!$A$6:$A$105,B222)=0,"案件ID未登记",IF(OR(C222="",D222="",F222="",G222="",H222="",I222="",J222="",K222="",M222="",N222="",Q222="",R222="",T222=""),"补对象、必要性、结果、依据或标注人",IF(AND(H222="条件必要",L222=""),"条件必要须写条件",IF(AND(R222="条件通过待执行核验",OR(M222="未知",M222="未满足",O222="",O222="未提供")),"条件或权限证据不足，退回核验","格式已填；仍须人工复核"))))))</x:f>
      </x:c>
    </x:row>
    <x:row r="223" ht="44" customHeight="1">
      <x:c r="A223" s="9"/>
      <x:c r="B223" s="9"/>
      <x:c r="C223" s="9"/>
      <x:c r="D223" s="9"/>
      <x:c r="E223" s="9"/>
      <x:c r="F223" s="9"/>
      <x:c r="G223" s="9"/>
      <x:c r="H223" s="9"/>
      <x:c r="I223" s="9"/>
      <x:c r="J223" s="9"/>
      <x:c r="K223" s="9"/>
      <x:c r="L223" s="9"/>
      <x:c r="M223" s="9"/>
      <x:c r="N223" s="9"/>
      <x:c r="O223" s="9"/>
      <x:c r="P223" s="9"/>
      <x:c r="Q223" s="9"/>
      <x:c r="R223" s="9"/>
      <x:c r="S223" s="9"/>
      <x:c r="T223" s="9"/>
      <x:c r="U223" s="9"/>
      <x:c r="V223" s="9"/>
      <x:c r="W223" s="12" t="str">
        <x:f>IF(A223="","",IF(COUNTIF($A$6:$A$505,A223)&gt;1,"记录ID重复",IF(COUNTIF('案件索引'!$A$6:$A$105,B223)=0,"案件ID未登记",IF(OR(C223="",D223="",F223="",G223="",H223="",I223="",J223="",K223="",M223="",N223="",Q223="",R223="",T223=""),"补对象、必要性、结果、依据或标注人",IF(AND(H223="条件必要",L223=""),"条件必要须写条件",IF(AND(R223="条件通过待执行核验",OR(M223="未知",M223="未满足",O223="",O223="未提供")),"条件或权限证据不足，退回核验","格式已填；仍须人工复核"))))))</x:f>
      </x:c>
    </x:row>
    <x:row r="224" ht="44" customHeight="1">
      <x:c r="A224" s="9"/>
      <x:c r="B224" s="9"/>
      <x:c r="C224" s="9"/>
      <x:c r="D224" s="9"/>
      <x:c r="E224" s="9"/>
      <x:c r="F224" s="9"/>
      <x:c r="G224" s="9"/>
      <x:c r="H224" s="9"/>
      <x:c r="I224" s="9"/>
      <x:c r="J224" s="9"/>
      <x:c r="K224" s="9"/>
      <x:c r="L224" s="9"/>
      <x:c r="M224" s="9"/>
      <x:c r="N224" s="9"/>
      <x:c r="O224" s="9"/>
      <x:c r="P224" s="9"/>
      <x:c r="Q224" s="9"/>
      <x:c r="R224" s="9"/>
      <x:c r="S224" s="9"/>
      <x:c r="T224" s="9"/>
      <x:c r="U224" s="9"/>
      <x:c r="V224" s="9"/>
      <x:c r="W224" s="12" t="str">
        <x:f>IF(A224="","",IF(COUNTIF($A$6:$A$505,A224)&gt;1,"记录ID重复",IF(COUNTIF('案件索引'!$A$6:$A$105,B224)=0,"案件ID未登记",IF(OR(C224="",D224="",F224="",G224="",H224="",I224="",J224="",K224="",M224="",N224="",Q224="",R224="",T224=""),"补对象、必要性、结果、依据或标注人",IF(AND(H224="条件必要",L224=""),"条件必要须写条件",IF(AND(R224="条件通过待执行核验",OR(M224="未知",M224="未满足",O224="",O224="未提供")),"条件或权限证据不足，退回核验","格式已填；仍须人工复核"))))))</x:f>
      </x:c>
    </x:row>
    <x:row r="225" ht="44" customHeight="1">
      <x:c r="A225" s="9"/>
      <x:c r="B225" s="9"/>
      <x:c r="C225" s="9"/>
      <x:c r="D225" s="9"/>
      <x:c r="E225" s="9"/>
      <x:c r="F225" s="9"/>
      <x:c r="G225" s="9"/>
      <x:c r="H225" s="9"/>
      <x:c r="I225" s="9"/>
      <x:c r="J225" s="9"/>
      <x:c r="K225" s="9"/>
      <x:c r="L225" s="9"/>
      <x:c r="M225" s="9"/>
      <x:c r="N225" s="9"/>
      <x:c r="O225" s="9"/>
      <x:c r="P225" s="9"/>
      <x:c r="Q225" s="9"/>
      <x:c r="R225" s="9"/>
      <x:c r="S225" s="9"/>
      <x:c r="T225" s="9"/>
      <x:c r="U225" s="9"/>
      <x:c r="V225" s="9"/>
      <x:c r="W225" s="12" t="str">
        <x:f>IF(A225="","",IF(COUNTIF($A$6:$A$505,A225)&gt;1,"记录ID重复",IF(COUNTIF('案件索引'!$A$6:$A$105,B225)=0,"案件ID未登记",IF(OR(C225="",D225="",F225="",G225="",H225="",I225="",J225="",K225="",M225="",N225="",Q225="",R225="",T225=""),"补对象、必要性、结果、依据或标注人",IF(AND(H225="条件必要",L225=""),"条件必要须写条件",IF(AND(R225="条件通过待执行核验",OR(M225="未知",M225="未满足",O225="",O225="未提供")),"条件或权限证据不足，退回核验","格式已填；仍须人工复核"))))))</x:f>
      </x:c>
    </x:row>
    <x:row r="226" ht="44" customHeight="1">
      <x:c r="A226" s="9"/>
      <x:c r="B226" s="9"/>
      <x:c r="C226" s="9"/>
      <x:c r="D226" s="9"/>
      <x:c r="E226" s="9"/>
      <x:c r="F226" s="9"/>
      <x:c r="G226" s="9"/>
      <x:c r="H226" s="9"/>
      <x:c r="I226" s="9"/>
      <x:c r="J226" s="9"/>
      <x:c r="K226" s="9"/>
      <x:c r="L226" s="9"/>
      <x:c r="M226" s="9"/>
      <x:c r="N226" s="9"/>
      <x:c r="O226" s="9"/>
      <x:c r="P226" s="9"/>
      <x:c r="Q226" s="9"/>
      <x:c r="R226" s="9"/>
      <x:c r="S226" s="9"/>
      <x:c r="T226" s="9"/>
      <x:c r="U226" s="9"/>
      <x:c r="V226" s="9"/>
      <x:c r="W226" s="12" t="str">
        <x:f>IF(A226="","",IF(COUNTIF($A$6:$A$505,A226)&gt;1,"记录ID重复",IF(COUNTIF('案件索引'!$A$6:$A$105,B226)=0,"案件ID未登记",IF(OR(C226="",D226="",F226="",G226="",H226="",I226="",J226="",K226="",M226="",N226="",Q226="",R226="",T226=""),"补对象、必要性、结果、依据或标注人",IF(AND(H226="条件必要",L226=""),"条件必要须写条件",IF(AND(R226="条件通过待执行核验",OR(M226="未知",M226="未满足",O226="",O226="未提供")),"条件或权限证据不足，退回核验","格式已填；仍须人工复核"))))))</x:f>
      </x:c>
    </x:row>
    <x:row r="227" ht="44" customHeight="1">
      <x:c r="A227" s="9"/>
      <x:c r="B227" s="9"/>
      <x:c r="C227" s="9"/>
      <x:c r="D227" s="9"/>
      <x:c r="E227" s="9"/>
      <x:c r="F227" s="9"/>
      <x:c r="G227" s="9"/>
      <x:c r="H227" s="9"/>
      <x:c r="I227" s="9"/>
      <x:c r="J227" s="9"/>
      <x:c r="K227" s="9"/>
      <x:c r="L227" s="9"/>
      <x:c r="M227" s="9"/>
      <x:c r="N227" s="9"/>
      <x:c r="O227" s="9"/>
      <x:c r="P227" s="9"/>
      <x:c r="Q227" s="9"/>
      <x:c r="R227" s="9"/>
      <x:c r="S227" s="9"/>
      <x:c r="T227" s="9"/>
      <x:c r="U227" s="9"/>
      <x:c r="V227" s="9"/>
      <x:c r="W227" s="12" t="str">
        <x:f>IF(A227="","",IF(COUNTIF($A$6:$A$505,A227)&gt;1,"记录ID重复",IF(COUNTIF('案件索引'!$A$6:$A$105,B227)=0,"案件ID未登记",IF(OR(C227="",D227="",F227="",G227="",H227="",I227="",J227="",K227="",M227="",N227="",Q227="",R227="",T227=""),"补对象、必要性、结果、依据或标注人",IF(AND(H227="条件必要",L227=""),"条件必要须写条件",IF(AND(R227="条件通过待执行核验",OR(M227="未知",M227="未满足",O227="",O227="未提供")),"条件或权限证据不足，退回核验","格式已填；仍须人工复核"))))))</x:f>
      </x:c>
    </x:row>
    <x:row r="228" ht="44" customHeight="1">
      <x:c r="A228" s="9"/>
      <x:c r="B228" s="9"/>
      <x:c r="C228" s="9"/>
      <x:c r="D228" s="9"/>
      <x:c r="E228" s="9"/>
      <x:c r="F228" s="9"/>
      <x:c r="G228" s="9"/>
      <x:c r="H228" s="9"/>
      <x:c r="I228" s="9"/>
      <x:c r="J228" s="9"/>
      <x:c r="K228" s="9"/>
      <x:c r="L228" s="9"/>
      <x:c r="M228" s="9"/>
      <x:c r="N228" s="9"/>
      <x:c r="O228" s="9"/>
      <x:c r="P228" s="9"/>
      <x:c r="Q228" s="9"/>
      <x:c r="R228" s="9"/>
      <x:c r="S228" s="9"/>
      <x:c r="T228" s="9"/>
      <x:c r="U228" s="9"/>
      <x:c r="V228" s="9"/>
      <x:c r="W228" s="12" t="str">
        <x:f>IF(A228="","",IF(COUNTIF($A$6:$A$505,A228)&gt;1,"记录ID重复",IF(COUNTIF('案件索引'!$A$6:$A$105,B228)=0,"案件ID未登记",IF(OR(C228="",D228="",F228="",G228="",H228="",I228="",J228="",K228="",M228="",N228="",Q228="",R228="",T228=""),"补对象、必要性、结果、依据或标注人",IF(AND(H228="条件必要",L228=""),"条件必要须写条件",IF(AND(R228="条件通过待执行核验",OR(M228="未知",M228="未满足",O228="",O228="未提供")),"条件或权限证据不足，退回核验","格式已填；仍须人工复核"))))))</x:f>
      </x:c>
    </x:row>
    <x:row r="229" ht="44" customHeight="1">
      <x:c r="A229" s="9"/>
      <x:c r="B229" s="9"/>
      <x:c r="C229" s="9"/>
      <x:c r="D229" s="9"/>
      <x:c r="E229" s="9"/>
      <x:c r="F229" s="9"/>
      <x:c r="G229" s="9"/>
      <x:c r="H229" s="9"/>
      <x:c r="I229" s="9"/>
      <x:c r="J229" s="9"/>
      <x:c r="K229" s="9"/>
      <x:c r="L229" s="9"/>
      <x:c r="M229" s="9"/>
      <x:c r="N229" s="9"/>
      <x:c r="O229" s="9"/>
      <x:c r="P229" s="9"/>
      <x:c r="Q229" s="9"/>
      <x:c r="R229" s="9"/>
      <x:c r="S229" s="9"/>
      <x:c r="T229" s="9"/>
      <x:c r="U229" s="9"/>
      <x:c r="V229" s="9"/>
      <x:c r="W229" s="12" t="str">
        <x:f>IF(A229="","",IF(COUNTIF($A$6:$A$505,A229)&gt;1,"记录ID重复",IF(COUNTIF('案件索引'!$A$6:$A$105,B229)=0,"案件ID未登记",IF(OR(C229="",D229="",F229="",G229="",H229="",I229="",J229="",K229="",M229="",N229="",Q229="",R229="",T229=""),"补对象、必要性、结果、依据或标注人",IF(AND(H229="条件必要",L229=""),"条件必要须写条件",IF(AND(R229="条件通过待执行核验",OR(M229="未知",M229="未满足",O229="",O229="未提供")),"条件或权限证据不足，退回核验","格式已填；仍须人工复核"))))))</x:f>
      </x:c>
    </x:row>
    <x:row r="230" ht="44" customHeight="1">
      <x:c r="A230" s="9"/>
      <x:c r="B230" s="9"/>
      <x:c r="C230" s="9"/>
      <x:c r="D230" s="9"/>
      <x:c r="E230" s="9"/>
      <x:c r="F230" s="9"/>
      <x:c r="G230" s="9"/>
      <x:c r="H230" s="9"/>
      <x:c r="I230" s="9"/>
      <x:c r="J230" s="9"/>
      <x:c r="K230" s="9"/>
      <x:c r="L230" s="9"/>
      <x:c r="M230" s="9"/>
      <x:c r="N230" s="9"/>
      <x:c r="O230" s="9"/>
      <x:c r="P230" s="9"/>
      <x:c r="Q230" s="9"/>
      <x:c r="R230" s="9"/>
      <x:c r="S230" s="9"/>
      <x:c r="T230" s="9"/>
      <x:c r="U230" s="9"/>
      <x:c r="V230" s="9"/>
      <x:c r="W230" s="12" t="str">
        <x:f>IF(A230="","",IF(COUNTIF($A$6:$A$505,A230)&gt;1,"记录ID重复",IF(COUNTIF('案件索引'!$A$6:$A$105,B230)=0,"案件ID未登记",IF(OR(C230="",D230="",F230="",G230="",H230="",I230="",J230="",K230="",M230="",N230="",Q230="",R230="",T230=""),"补对象、必要性、结果、依据或标注人",IF(AND(H230="条件必要",L230=""),"条件必要须写条件",IF(AND(R230="条件通过待执行核验",OR(M230="未知",M230="未满足",O230="",O230="未提供")),"条件或权限证据不足，退回核验","格式已填；仍须人工复核"))))))</x:f>
      </x:c>
    </x:row>
    <x:row r="231" ht="44" customHeight="1">
      <x:c r="A231" s="9"/>
      <x:c r="B231" s="9"/>
      <x:c r="C231" s="9"/>
      <x:c r="D231" s="9"/>
      <x:c r="E231" s="9"/>
      <x:c r="F231" s="9"/>
      <x:c r="G231" s="9"/>
      <x:c r="H231" s="9"/>
      <x:c r="I231" s="9"/>
      <x:c r="J231" s="9"/>
      <x:c r="K231" s="9"/>
      <x:c r="L231" s="9"/>
      <x:c r="M231" s="9"/>
      <x:c r="N231" s="9"/>
      <x:c r="O231" s="9"/>
      <x:c r="P231" s="9"/>
      <x:c r="Q231" s="9"/>
      <x:c r="R231" s="9"/>
      <x:c r="S231" s="9"/>
      <x:c r="T231" s="9"/>
      <x:c r="U231" s="9"/>
      <x:c r="V231" s="9"/>
      <x:c r="W231" s="12" t="str">
        <x:f>IF(A231="","",IF(COUNTIF($A$6:$A$505,A231)&gt;1,"记录ID重复",IF(COUNTIF('案件索引'!$A$6:$A$105,B231)=0,"案件ID未登记",IF(OR(C231="",D231="",F231="",G231="",H231="",I231="",J231="",K231="",M231="",N231="",Q231="",R231="",T231=""),"补对象、必要性、结果、依据或标注人",IF(AND(H231="条件必要",L231=""),"条件必要须写条件",IF(AND(R231="条件通过待执行核验",OR(M231="未知",M231="未满足",O231="",O231="未提供")),"条件或权限证据不足，退回核验","格式已填；仍须人工复核"))))))</x:f>
      </x:c>
    </x:row>
    <x:row r="232" ht="44" customHeight="1">
      <x:c r="A232" s="9"/>
      <x:c r="B232" s="9"/>
      <x:c r="C232" s="9"/>
      <x:c r="D232" s="9"/>
      <x:c r="E232" s="9"/>
      <x:c r="F232" s="9"/>
      <x:c r="G232" s="9"/>
      <x:c r="H232" s="9"/>
      <x:c r="I232" s="9"/>
      <x:c r="J232" s="9"/>
      <x:c r="K232" s="9"/>
      <x:c r="L232" s="9"/>
      <x:c r="M232" s="9"/>
      <x:c r="N232" s="9"/>
      <x:c r="O232" s="9"/>
      <x:c r="P232" s="9"/>
      <x:c r="Q232" s="9"/>
      <x:c r="R232" s="9"/>
      <x:c r="S232" s="9"/>
      <x:c r="T232" s="9"/>
      <x:c r="U232" s="9"/>
      <x:c r="V232" s="9"/>
      <x:c r="W232" s="12" t="str">
        <x:f>IF(A232="","",IF(COUNTIF($A$6:$A$505,A232)&gt;1,"记录ID重复",IF(COUNTIF('案件索引'!$A$6:$A$105,B232)=0,"案件ID未登记",IF(OR(C232="",D232="",F232="",G232="",H232="",I232="",J232="",K232="",M232="",N232="",Q232="",R232="",T232=""),"补对象、必要性、结果、依据或标注人",IF(AND(H232="条件必要",L232=""),"条件必要须写条件",IF(AND(R232="条件通过待执行核验",OR(M232="未知",M232="未满足",O232="",O232="未提供")),"条件或权限证据不足，退回核验","格式已填；仍须人工复核"))))))</x:f>
      </x:c>
    </x:row>
    <x:row r="233" ht="44" customHeight="1">
      <x:c r="A233" s="9"/>
      <x:c r="B233" s="9"/>
      <x:c r="C233" s="9"/>
      <x:c r="D233" s="9"/>
      <x:c r="E233" s="9"/>
      <x:c r="F233" s="9"/>
      <x:c r="G233" s="9"/>
      <x:c r="H233" s="9"/>
      <x:c r="I233" s="9"/>
      <x:c r="J233" s="9"/>
      <x:c r="K233" s="9"/>
      <x:c r="L233" s="9"/>
      <x:c r="M233" s="9"/>
      <x:c r="N233" s="9"/>
      <x:c r="O233" s="9"/>
      <x:c r="P233" s="9"/>
      <x:c r="Q233" s="9"/>
      <x:c r="R233" s="9"/>
      <x:c r="S233" s="9"/>
      <x:c r="T233" s="9"/>
      <x:c r="U233" s="9"/>
      <x:c r="V233" s="9"/>
      <x:c r="W233" s="12" t="str">
        <x:f>IF(A233="","",IF(COUNTIF($A$6:$A$505,A233)&gt;1,"记录ID重复",IF(COUNTIF('案件索引'!$A$6:$A$105,B233)=0,"案件ID未登记",IF(OR(C233="",D233="",F233="",G233="",H233="",I233="",J233="",K233="",M233="",N233="",Q233="",R233="",T233=""),"补对象、必要性、结果、依据或标注人",IF(AND(H233="条件必要",L233=""),"条件必要须写条件",IF(AND(R233="条件通过待执行核验",OR(M233="未知",M233="未满足",O233="",O233="未提供")),"条件或权限证据不足，退回核验","格式已填；仍须人工复核"))))))</x:f>
      </x:c>
    </x:row>
    <x:row r="234" ht="44" customHeight="1">
      <x:c r="A234" s="9"/>
      <x:c r="B234" s="9"/>
      <x:c r="C234" s="9"/>
      <x:c r="D234" s="9"/>
      <x:c r="E234" s="9"/>
      <x:c r="F234" s="9"/>
      <x:c r="G234" s="9"/>
      <x:c r="H234" s="9"/>
      <x:c r="I234" s="9"/>
      <x:c r="J234" s="9"/>
      <x:c r="K234" s="9"/>
      <x:c r="L234" s="9"/>
      <x:c r="M234" s="9"/>
      <x:c r="N234" s="9"/>
      <x:c r="O234" s="9"/>
      <x:c r="P234" s="9"/>
      <x:c r="Q234" s="9"/>
      <x:c r="R234" s="9"/>
      <x:c r="S234" s="9"/>
      <x:c r="T234" s="9"/>
      <x:c r="U234" s="9"/>
      <x:c r="V234" s="9"/>
      <x:c r="W234" s="12" t="str">
        <x:f>IF(A234="","",IF(COUNTIF($A$6:$A$505,A234)&gt;1,"记录ID重复",IF(COUNTIF('案件索引'!$A$6:$A$105,B234)=0,"案件ID未登记",IF(OR(C234="",D234="",F234="",G234="",H234="",I234="",J234="",K234="",M234="",N234="",Q234="",R234="",T234=""),"补对象、必要性、结果、依据或标注人",IF(AND(H234="条件必要",L234=""),"条件必要须写条件",IF(AND(R234="条件通过待执行核验",OR(M234="未知",M234="未满足",O234="",O234="未提供")),"条件或权限证据不足，退回核验","格式已填；仍须人工复核"))))))</x:f>
      </x:c>
    </x:row>
    <x:row r="235" ht="44" customHeight="1">
      <x:c r="A235" s="9"/>
      <x:c r="B235" s="9"/>
      <x:c r="C235" s="9"/>
      <x:c r="D235" s="9"/>
      <x:c r="E235" s="9"/>
      <x:c r="F235" s="9"/>
      <x:c r="G235" s="9"/>
      <x:c r="H235" s="9"/>
      <x:c r="I235" s="9"/>
      <x:c r="J235" s="9"/>
      <x:c r="K235" s="9"/>
      <x:c r="L235" s="9"/>
      <x:c r="M235" s="9"/>
      <x:c r="N235" s="9"/>
      <x:c r="O235" s="9"/>
      <x:c r="P235" s="9"/>
      <x:c r="Q235" s="9"/>
      <x:c r="R235" s="9"/>
      <x:c r="S235" s="9"/>
      <x:c r="T235" s="9"/>
      <x:c r="U235" s="9"/>
      <x:c r="V235" s="9"/>
      <x:c r="W235" s="12" t="str">
        <x:f>IF(A235="","",IF(COUNTIF($A$6:$A$505,A235)&gt;1,"记录ID重复",IF(COUNTIF('案件索引'!$A$6:$A$105,B235)=0,"案件ID未登记",IF(OR(C235="",D235="",F235="",G235="",H235="",I235="",J235="",K235="",M235="",N235="",Q235="",R235="",T235=""),"补对象、必要性、结果、依据或标注人",IF(AND(H235="条件必要",L235=""),"条件必要须写条件",IF(AND(R235="条件通过待执行核验",OR(M235="未知",M235="未满足",O235="",O235="未提供")),"条件或权限证据不足，退回核验","格式已填；仍须人工复核"))))))</x:f>
      </x:c>
    </x:row>
    <x:row r="236" ht="44" customHeight="1">
      <x:c r="A236" s="9"/>
      <x:c r="B236" s="9"/>
      <x:c r="C236" s="9"/>
      <x:c r="D236" s="9"/>
      <x:c r="E236" s="9"/>
      <x:c r="F236" s="9"/>
      <x:c r="G236" s="9"/>
      <x:c r="H236" s="9"/>
      <x:c r="I236" s="9"/>
      <x:c r="J236" s="9"/>
      <x:c r="K236" s="9"/>
      <x:c r="L236" s="9"/>
      <x:c r="M236" s="9"/>
      <x:c r="N236" s="9"/>
      <x:c r="O236" s="9"/>
      <x:c r="P236" s="9"/>
      <x:c r="Q236" s="9"/>
      <x:c r="R236" s="9"/>
      <x:c r="S236" s="9"/>
      <x:c r="T236" s="9"/>
      <x:c r="U236" s="9"/>
      <x:c r="V236" s="9"/>
      <x:c r="W236" s="12" t="str">
        <x:f>IF(A236="","",IF(COUNTIF($A$6:$A$505,A236)&gt;1,"记录ID重复",IF(COUNTIF('案件索引'!$A$6:$A$105,B236)=0,"案件ID未登记",IF(OR(C236="",D236="",F236="",G236="",H236="",I236="",J236="",K236="",M236="",N236="",Q236="",R236="",T236=""),"补对象、必要性、结果、依据或标注人",IF(AND(H236="条件必要",L236=""),"条件必要须写条件",IF(AND(R236="条件通过待执行核验",OR(M236="未知",M236="未满足",O236="",O236="未提供")),"条件或权限证据不足，退回核验","格式已填；仍须人工复核"))))))</x:f>
      </x:c>
    </x:row>
    <x:row r="237" ht="44" customHeight="1">
      <x:c r="A237" s="9"/>
      <x:c r="B237" s="9"/>
      <x:c r="C237" s="9"/>
      <x:c r="D237" s="9"/>
      <x:c r="E237" s="9"/>
      <x:c r="F237" s="9"/>
      <x:c r="G237" s="9"/>
      <x:c r="H237" s="9"/>
      <x:c r="I237" s="9"/>
      <x:c r="J237" s="9"/>
      <x:c r="K237" s="9"/>
      <x:c r="L237" s="9"/>
      <x:c r="M237" s="9"/>
      <x:c r="N237" s="9"/>
      <x:c r="O237" s="9"/>
      <x:c r="P237" s="9"/>
      <x:c r="Q237" s="9"/>
      <x:c r="R237" s="9"/>
      <x:c r="S237" s="9"/>
      <x:c r="T237" s="9"/>
      <x:c r="U237" s="9"/>
      <x:c r="V237" s="9"/>
      <x:c r="W237" s="12" t="str">
        <x:f>IF(A237="","",IF(COUNTIF($A$6:$A$505,A237)&gt;1,"记录ID重复",IF(COUNTIF('案件索引'!$A$6:$A$105,B237)=0,"案件ID未登记",IF(OR(C237="",D237="",F237="",G237="",H237="",I237="",J237="",K237="",M237="",N237="",Q237="",R237="",T237=""),"补对象、必要性、结果、依据或标注人",IF(AND(H237="条件必要",L237=""),"条件必要须写条件",IF(AND(R237="条件通过待执行核验",OR(M237="未知",M237="未满足",O237="",O237="未提供")),"条件或权限证据不足，退回核验","格式已填；仍须人工复核"))))))</x:f>
      </x:c>
    </x:row>
    <x:row r="238" ht="44" customHeight="1">
      <x:c r="A238" s="9"/>
      <x:c r="B238" s="9"/>
      <x:c r="C238" s="9"/>
      <x:c r="D238" s="9"/>
      <x:c r="E238" s="9"/>
      <x:c r="F238" s="9"/>
      <x:c r="G238" s="9"/>
      <x:c r="H238" s="9"/>
      <x:c r="I238" s="9"/>
      <x:c r="J238" s="9"/>
      <x:c r="K238" s="9"/>
      <x:c r="L238" s="9"/>
      <x:c r="M238" s="9"/>
      <x:c r="N238" s="9"/>
      <x:c r="O238" s="9"/>
      <x:c r="P238" s="9"/>
      <x:c r="Q238" s="9"/>
      <x:c r="R238" s="9"/>
      <x:c r="S238" s="9"/>
      <x:c r="T238" s="9"/>
      <x:c r="U238" s="9"/>
      <x:c r="V238" s="9"/>
      <x:c r="W238" s="12" t="str">
        <x:f>IF(A238="","",IF(COUNTIF($A$6:$A$505,A238)&gt;1,"记录ID重复",IF(COUNTIF('案件索引'!$A$6:$A$105,B238)=0,"案件ID未登记",IF(OR(C238="",D238="",F238="",G238="",H238="",I238="",J238="",K238="",M238="",N238="",Q238="",R238="",T238=""),"补对象、必要性、结果、依据或标注人",IF(AND(H238="条件必要",L238=""),"条件必要须写条件",IF(AND(R238="条件通过待执行核验",OR(M238="未知",M238="未满足",O238="",O238="未提供")),"条件或权限证据不足，退回核验","格式已填；仍须人工复核"))))))</x:f>
      </x:c>
    </x:row>
    <x:row r="239" ht="44" customHeight="1">
      <x:c r="A239" s="9"/>
      <x:c r="B239" s="9"/>
      <x:c r="C239" s="9"/>
      <x:c r="D239" s="9"/>
      <x:c r="E239" s="9"/>
      <x:c r="F239" s="9"/>
      <x:c r="G239" s="9"/>
      <x:c r="H239" s="9"/>
      <x:c r="I239" s="9"/>
      <x:c r="J239" s="9"/>
      <x:c r="K239" s="9"/>
      <x:c r="L239" s="9"/>
      <x:c r="M239" s="9"/>
      <x:c r="N239" s="9"/>
      <x:c r="O239" s="9"/>
      <x:c r="P239" s="9"/>
      <x:c r="Q239" s="9"/>
      <x:c r="R239" s="9"/>
      <x:c r="S239" s="9"/>
      <x:c r="T239" s="9"/>
      <x:c r="U239" s="9"/>
      <x:c r="V239" s="9"/>
      <x:c r="W239" s="12" t="str">
        <x:f>IF(A239="","",IF(COUNTIF($A$6:$A$505,A239)&gt;1,"记录ID重复",IF(COUNTIF('案件索引'!$A$6:$A$105,B239)=0,"案件ID未登记",IF(OR(C239="",D239="",F239="",G239="",H239="",I239="",J239="",K239="",M239="",N239="",Q239="",R239="",T239=""),"补对象、必要性、结果、依据或标注人",IF(AND(H239="条件必要",L239=""),"条件必要须写条件",IF(AND(R239="条件通过待执行核验",OR(M239="未知",M239="未满足",O239="",O239="未提供")),"条件或权限证据不足，退回核验","格式已填；仍须人工复核"))))))</x:f>
      </x:c>
    </x:row>
    <x:row r="240" ht="44" customHeight="1">
      <x:c r="A240" s="9"/>
      <x:c r="B240" s="9"/>
      <x:c r="C240" s="9"/>
      <x:c r="D240" s="9"/>
      <x:c r="E240" s="9"/>
      <x:c r="F240" s="9"/>
      <x:c r="G240" s="9"/>
      <x:c r="H240" s="9"/>
      <x:c r="I240" s="9"/>
      <x:c r="J240" s="9"/>
      <x:c r="K240" s="9"/>
      <x:c r="L240" s="9"/>
      <x:c r="M240" s="9"/>
      <x:c r="N240" s="9"/>
      <x:c r="O240" s="9"/>
      <x:c r="P240" s="9"/>
      <x:c r="Q240" s="9"/>
      <x:c r="R240" s="9"/>
      <x:c r="S240" s="9"/>
      <x:c r="T240" s="9"/>
      <x:c r="U240" s="9"/>
      <x:c r="V240" s="9"/>
      <x:c r="W240" s="12" t="str">
        <x:f>IF(A240="","",IF(COUNTIF($A$6:$A$505,A240)&gt;1,"记录ID重复",IF(COUNTIF('案件索引'!$A$6:$A$105,B240)=0,"案件ID未登记",IF(OR(C240="",D240="",F240="",G240="",H240="",I240="",J240="",K240="",M240="",N240="",Q240="",R240="",T240=""),"补对象、必要性、结果、依据或标注人",IF(AND(H240="条件必要",L240=""),"条件必要须写条件",IF(AND(R240="条件通过待执行核验",OR(M240="未知",M240="未满足",O240="",O240="未提供")),"条件或权限证据不足，退回核验","格式已填；仍须人工复核"))))))</x:f>
      </x:c>
    </x:row>
    <x:row r="241" ht="44" customHeight="1">
      <x:c r="A241" s="9"/>
      <x:c r="B241" s="9"/>
      <x:c r="C241" s="9"/>
      <x:c r="D241" s="9"/>
      <x:c r="E241" s="9"/>
      <x:c r="F241" s="9"/>
      <x:c r="G241" s="9"/>
      <x:c r="H241" s="9"/>
      <x:c r="I241" s="9"/>
      <x:c r="J241" s="9"/>
      <x:c r="K241" s="9"/>
      <x:c r="L241" s="9"/>
      <x:c r="M241" s="9"/>
      <x:c r="N241" s="9"/>
      <x:c r="O241" s="9"/>
      <x:c r="P241" s="9"/>
      <x:c r="Q241" s="9"/>
      <x:c r="R241" s="9"/>
      <x:c r="S241" s="9"/>
      <x:c r="T241" s="9"/>
      <x:c r="U241" s="9"/>
      <x:c r="V241" s="9"/>
      <x:c r="W241" s="12" t="str">
        <x:f>IF(A241="","",IF(COUNTIF($A$6:$A$505,A241)&gt;1,"记录ID重复",IF(COUNTIF('案件索引'!$A$6:$A$105,B241)=0,"案件ID未登记",IF(OR(C241="",D241="",F241="",G241="",H241="",I241="",J241="",K241="",M241="",N241="",Q241="",R241="",T241=""),"补对象、必要性、结果、依据或标注人",IF(AND(H241="条件必要",L241=""),"条件必要须写条件",IF(AND(R241="条件通过待执行核验",OR(M241="未知",M241="未满足",O241="",O241="未提供")),"条件或权限证据不足，退回核验","格式已填；仍须人工复核"))))))</x:f>
      </x:c>
    </x:row>
    <x:row r="242" ht="44" customHeight="1">
      <x:c r="A242" s="9"/>
      <x:c r="B242" s="9"/>
      <x:c r="C242" s="9"/>
      <x:c r="D242" s="9"/>
      <x:c r="E242" s="9"/>
      <x:c r="F242" s="9"/>
      <x:c r="G242" s="9"/>
      <x:c r="H242" s="9"/>
      <x:c r="I242" s="9"/>
      <x:c r="J242" s="9"/>
      <x:c r="K242" s="9"/>
      <x:c r="L242" s="9"/>
      <x:c r="M242" s="9"/>
      <x:c r="N242" s="9"/>
      <x:c r="O242" s="9"/>
      <x:c r="P242" s="9"/>
      <x:c r="Q242" s="9"/>
      <x:c r="R242" s="9"/>
      <x:c r="S242" s="9"/>
      <x:c r="T242" s="9"/>
      <x:c r="U242" s="9"/>
      <x:c r="V242" s="9"/>
      <x:c r="W242" s="12" t="str">
        <x:f>IF(A242="","",IF(COUNTIF($A$6:$A$505,A242)&gt;1,"记录ID重复",IF(COUNTIF('案件索引'!$A$6:$A$105,B242)=0,"案件ID未登记",IF(OR(C242="",D242="",F242="",G242="",H242="",I242="",J242="",K242="",M242="",N242="",Q242="",R242="",T242=""),"补对象、必要性、结果、依据或标注人",IF(AND(H242="条件必要",L242=""),"条件必要须写条件",IF(AND(R242="条件通过待执行核验",OR(M242="未知",M242="未满足",O242="",O242="未提供")),"条件或权限证据不足，退回核验","格式已填；仍须人工复核"))))))</x:f>
      </x:c>
    </x:row>
    <x:row r="243" ht="44" customHeight="1">
      <x:c r="A243" s="9"/>
      <x:c r="B243" s="9"/>
      <x:c r="C243" s="9"/>
      <x:c r="D243" s="9"/>
      <x:c r="E243" s="9"/>
      <x:c r="F243" s="9"/>
      <x:c r="G243" s="9"/>
      <x:c r="H243" s="9"/>
      <x:c r="I243" s="9"/>
      <x:c r="J243" s="9"/>
      <x:c r="K243" s="9"/>
      <x:c r="L243" s="9"/>
      <x:c r="M243" s="9"/>
      <x:c r="N243" s="9"/>
      <x:c r="O243" s="9"/>
      <x:c r="P243" s="9"/>
      <x:c r="Q243" s="9"/>
      <x:c r="R243" s="9"/>
      <x:c r="S243" s="9"/>
      <x:c r="T243" s="9"/>
      <x:c r="U243" s="9"/>
      <x:c r="V243" s="9"/>
      <x:c r="W243" s="12" t="str">
        <x:f>IF(A243="","",IF(COUNTIF($A$6:$A$505,A243)&gt;1,"记录ID重复",IF(COUNTIF('案件索引'!$A$6:$A$105,B243)=0,"案件ID未登记",IF(OR(C243="",D243="",F243="",G243="",H243="",I243="",J243="",K243="",M243="",N243="",Q243="",R243="",T243=""),"补对象、必要性、结果、依据或标注人",IF(AND(H243="条件必要",L243=""),"条件必要须写条件",IF(AND(R243="条件通过待执行核验",OR(M243="未知",M243="未满足",O243="",O243="未提供")),"条件或权限证据不足，退回核验","格式已填；仍须人工复核"))))))</x:f>
      </x:c>
    </x:row>
    <x:row r="244" ht="44" customHeight="1">
      <x:c r="A244" s="9"/>
      <x:c r="B244" s="9"/>
      <x:c r="C244" s="9"/>
      <x:c r="D244" s="9"/>
      <x:c r="E244" s="9"/>
      <x:c r="F244" s="9"/>
      <x:c r="G244" s="9"/>
      <x:c r="H244" s="9"/>
      <x:c r="I244" s="9"/>
      <x:c r="J244" s="9"/>
      <x:c r="K244" s="9"/>
      <x:c r="L244" s="9"/>
      <x:c r="M244" s="9"/>
      <x:c r="N244" s="9"/>
      <x:c r="O244" s="9"/>
      <x:c r="P244" s="9"/>
      <x:c r="Q244" s="9"/>
      <x:c r="R244" s="9"/>
      <x:c r="S244" s="9"/>
      <x:c r="T244" s="9"/>
      <x:c r="U244" s="9"/>
      <x:c r="V244" s="9"/>
      <x:c r="W244" s="12" t="str">
        <x:f>IF(A244="","",IF(COUNTIF($A$6:$A$505,A244)&gt;1,"记录ID重复",IF(COUNTIF('案件索引'!$A$6:$A$105,B244)=0,"案件ID未登记",IF(OR(C244="",D244="",F244="",G244="",H244="",I244="",J244="",K244="",M244="",N244="",Q244="",R244="",T244=""),"补对象、必要性、结果、依据或标注人",IF(AND(H244="条件必要",L244=""),"条件必要须写条件",IF(AND(R244="条件通过待执行核验",OR(M244="未知",M244="未满足",O244="",O244="未提供")),"条件或权限证据不足，退回核验","格式已填；仍须人工复核"))))))</x:f>
      </x:c>
    </x:row>
    <x:row r="245" ht="44" customHeight="1">
      <x:c r="A245" s="9"/>
      <x:c r="B245" s="9"/>
      <x:c r="C245" s="9"/>
      <x:c r="D245" s="9"/>
      <x:c r="E245" s="9"/>
      <x:c r="F245" s="9"/>
      <x:c r="G245" s="9"/>
      <x:c r="H245" s="9"/>
      <x:c r="I245" s="9"/>
      <x:c r="J245" s="9"/>
      <x:c r="K245" s="9"/>
      <x:c r="L245" s="9"/>
      <x:c r="M245" s="9"/>
      <x:c r="N245" s="9"/>
      <x:c r="O245" s="9"/>
      <x:c r="P245" s="9"/>
      <x:c r="Q245" s="9"/>
      <x:c r="R245" s="9"/>
      <x:c r="S245" s="9"/>
      <x:c r="T245" s="9"/>
      <x:c r="U245" s="9"/>
      <x:c r="V245" s="9"/>
      <x:c r="W245" s="12" t="str">
        <x:f>IF(A245="","",IF(COUNTIF($A$6:$A$505,A245)&gt;1,"记录ID重复",IF(COUNTIF('案件索引'!$A$6:$A$105,B245)=0,"案件ID未登记",IF(OR(C245="",D245="",F245="",G245="",H245="",I245="",J245="",K245="",M245="",N245="",Q245="",R245="",T245=""),"补对象、必要性、结果、依据或标注人",IF(AND(H245="条件必要",L245=""),"条件必要须写条件",IF(AND(R245="条件通过待执行核验",OR(M245="未知",M245="未满足",O245="",O245="未提供")),"条件或权限证据不足，退回核验","格式已填；仍须人工复核"))))))</x:f>
      </x:c>
    </x:row>
    <x:row r="246" ht="44" customHeight="1">
      <x:c r="A246" s="9"/>
      <x:c r="B246" s="9"/>
      <x:c r="C246" s="9"/>
      <x:c r="D246" s="9"/>
      <x:c r="E246" s="9"/>
      <x:c r="F246" s="9"/>
      <x:c r="G246" s="9"/>
      <x:c r="H246" s="9"/>
      <x:c r="I246" s="9"/>
      <x:c r="J246" s="9"/>
      <x:c r="K246" s="9"/>
      <x:c r="L246" s="9"/>
      <x:c r="M246" s="9"/>
      <x:c r="N246" s="9"/>
      <x:c r="O246" s="9"/>
      <x:c r="P246" s="9"/>
      <x:c r="Q246" s="9"/>
      <x:c r="R246" s="9"/>
      <x:c r="S246" s="9"/>
      <x:c r="T246" s="9"/>
      <x:c r="U246" s="9"/>
      <x:c r="V246" s="9"/>
      <x:c r="W246" s="12" t="str">
        <x:f>IF(A246="","",IF(COUNTIF($A$6:$A$505,A246)&gt;1,"记录ID重复",IF(COUNTIF('案件索引'!$A$6:$A$105,B246)=0,"案件ID未登记",IF(OR(C246="",D246="",F246="",G246="",H246="",I246="",J246="",K246="",M246="",N246="",Q246="",R246="",T246=""),"补对象、必要性、结果、依据或标注人",IF(AND(H246="条件必要",L246=""),"条件必要须写条件",IF(AND(R246="条件通过待执行核验",OR(M246="未知",M246="未满足",O246="",O246="未提供")),"条件或权限证据不足，退回核验","格式已填；仍须人工复核"))))))</x:f>
      </x:c>
    </x:row>
    <x:row r="247" ht="44" customHeight="1">
      <x:c r="A247" s="9"/>
      <x:c r="B247" s="9"/>
      <x:c r="C247" s="9"/>
      <x:c r="D247" s="9"/>
      <x:c r="E247" s="9"/>
      <x:c r="F247" s="9"/>
      <x:c r="G247" s="9"/>
      <x:c r="H247" s="9"/>
      <x:c r="I247" s="9"/>
      <x:c r="J247" s="9"/>
      <x:c r="K247" s="9"/>
      <x:c r="L247" s="9"/>
      <x:c r="M247" s="9"/>
      <x:c r="N247" s="9"/>
      <x:c r="O247" s="9"/>
      <x:c r="P247" s="9"/>
      <x:c r="Q247" s="9"/>
      <x:c r="R247" s="9"/>
      <x:c r="S247" s="9"/>
      <x:c r="T247" s="9"/>
      <x:c r="U247" s="9"/>
      <x:c r="V247" s="9"/>
      <x:c r="W247" s="12" t="str">
        <x:f>IF(A247="","",IF(COUNTIF($A$6:$A$505,A247)&gt;1,"记录ID重复",IF(COUNTIF('案件索引'!$A$6:$A$105,B247)=0,"案件ID未登记",IF(OR(C247="",D247="",F247="",G247="",H247="",I247="",J247="",K247="",M247="",N247="",Q247="",R247="",T247=""),"补对象、必要性、结果、依据或标注人",IF(AND(H247="条件必要",L247=""),"条件必要须写条件",IF(AND(R247="条件通过待执行核验",OR(M247="未知",M247="未满足",O247="",O247="未提供")),"条件或权限证据不足，退回核验","格式已填；仍须人工复核"))))))</x:f>
      </x:c>
    </x:row>
    <x:row r="248" ht="44" customHeight="1">
      <x:c r="A248" s="9"/>
      <x:c r="B248" s="9"/>
      <x:c r="C248" s="9"/>
      <x:c r="D248" s="9"/>
      <x:c r="E248" s="9"/>
      <x:c r="F248" s="9"/>
      <x:c r="G248" s="9"/>
      <x:c r="H248" s="9"/>
      <x:c r="I248" s="9"/>
      <x:c r="J248" s="9"/>
      <x:c r="K248" s="9"/>
      <x:c r="L248" s="9"/>
      <x:c r="M248" s="9"/>
      <x:c r="N248" s="9"/>
      <x:c r="O248" s="9"/>
      <x:c r="P248" s="9"/>
      <x:c r="Q248" s="9"/>
      <x:c r="R248" s="9"/>
      <x:c r="S248" s="9"/>
      <x:c r="T248" s="9"/>
      <x:c r="U248" s="9"/>
      <x:c r="V248" s="9"/>
      <x:c r="W248" s="12" t="str">
        <x:f>IF(A248="","",IF(COUNTIF($A$6:$A$505,A248)&gt;1,"记录ID重复",IF(COUNTIF('案件索引'!$A$6:$A$105,B248)=0,"案件ID未登记",IF(OR(C248="",D248="",F248="",G248="",H248="",I248="",J248="",K248="",M248="",N248="",Q248="",R248="",T248=""),"补对象、必要性、结果、依据或标注人",IF(AND(H248="条件必要",L248=""),"条件必要须写条件",IF(AND(R248="条件通过待执行核验",OR(M248="未知",M248="未满足",O248="",O248="未提供")),"条件或权限证据不足，退回核验","格式已填；仍须人工复核"))))))</x:f>
      </x:c>
    </x:row>
    <x:row r="249" ht="44" customHeight="1">
      <x:c r="A249" s="9"/>
      <x:c r="B249" s="9"/>
      <x:c r="C249" s="9"/>
      <x:c r="D249" s="9"/>
      <x:c r="E249" s="9"/>
      <x:c r="F249" s="9"/>
      <x:c r="G249" s="9"/>
      <x:c r="H249" s="9"/>
      <x:c r="I249" s="9"/>
      <x:c r="J249" s="9"/>
      <x:c r="K249" s="9"/>
      <x:c r="L249" s="9"/>
      <x:c r="M249" s="9"/>
      <x:c r="N249" s="9"/>
      <x:c r="O249" s="9"/>
      <x:c r="P249" s="9"/>
      <x:c r="Q249" s="9"/>
      <x:c r="R249" s="9"/>
      <x:c r="S249" s="9"/>
      <x:c r="T249" s="9"/>
      <x:c r="U249" s="9"/>
      <x:c r="V249" s="9"/>
      <x:c r="W249" s="12" t="str">
        <x:f>IF(A249="","",IF(COUNTIF($A$6:$A$505,A249)&gt;1,"记录ID重复",IF(COUNTIF('案件索引'!$A$6:$A$105,B249)=0,"案件ID未登记",IF(OR(C249="",D249="",F249="",G249="",H249="",I249="",J249="",K249="",M249="",N249="",Q249="",R249="",T249=""),"补对象、必要性、结果、依据或标注人",IF(AND(H249="条件必要",L249=""),"条件必要须写条件",IF(AND(R249="条件通过待执行核验",OR(M249="未知",M249="未满足",O249="",O249="未提供")),"条件或权限证据不足，退回核验","格式已填；仍须人工复核"))))))</x:f>
      </x:c>
    </x:row>
    <x:row r="250" ht="44" customHeight="1">
      <x:c r="A250" s="9"/>
      <x:c r="B250" s="9"/>
      <x:c r="C250" s="9"/>
      <x:c r="D250" s="9"/>
      <x:c r="E250" s="9"/>
      <x:c r="F250" s="9"/>
      <x:c r="G250" s="9"/>
      <x:c r="H250" s="9"/>
      <x:c r="I250" s="9"/>
      <x:c r="J250" s="9"/>
      <x:c r="K250" s="9"/>
      <x:c r="L250" s="9"/>
      <x:c r="M250" s="9"/>
      <x:c r="N250" s="9"/>
      <x:c r="O250" s="9"/>
      <x:c r="P250" s="9"/>
      <x:c r="Q250" s="9"/>
      <x:c r="R250" s="9"/>
      <x:c r="S250" s="9"/>
      <x:c r="T250" s="9"/>
      <x:c r="U250" s="9"/>
      <x:c r="V250" s="9"/>
      <x:c r="W250" s="12" t="str">
        <x:f>IF(A250="","",IF(COUNTIF($A$6:$A$505,A250)&gt;1,"记录ID重复",IF(COUNTIF('案件索引'!$A$6:$A$105,B250)=0,"案件ID未登记",IF(OR(C250="",D250="",F250="",G250="",H250="",I250="",J250="",K250="",M250="",N250="",Q250="",R250="",T250=""),"补对象、必要性、结果、依据或标注人",IF(AND(H250="条件必要",L250=""),"条件必要须写条件",IF(AND(R250="条件通过待执行核验",OR(M250="未知",M250="未满足",O250="",O250="未提供")),"条件或权限证据不足，退回核验","格式已填；仍须人工复核"))))))</x:f>
      </x:c>
    </x:row>
    <x:row r="251" ht="44" customHeight="1">
      <x:c r="A251" s="9"/>
      <x:c r="B251" s="9"/>
      <x:c r="C251" s="9"/>
      <x:c r="D251" s="9"/>
      <x:c r="E251" s="9"/>
      <x:c r="F251" s="9"/>
      <x:c r="G251" s="9"/>
      <x:c r="H251" s="9"/>
      <x:c r="I251" s="9"/>
      <x:c r="J251" s="9"/>
      <x:c r="K251" s="9"/>
      <x:c r="L251" s="9"/>
      <x:c r="M251" s="9"/>
      <x:c r="N251" s="9"/>
      <x:c r="O251" s="9"/>
      <x:c r="P251" s="9"/>
      <x:c r="Q251" s="9"/>
      <x:c r="R251" s="9"/>
      <x:c r="S251" s="9"/>
      <x:c r="T251" s="9"/>
      <x:c r="U251" s="9"/>
      <x:c r="V251" s="9"/>
      <x:c r="W251" s="12" t="str">
        <x:f>IF(A251="","",IF(COUNTIF($A$6:$A$505,A251)&gt;1,"记录ID重复",IF(COUNTIF('案件索引'!$A$6:$A$105,B251)=0,"案件ID未登记",IF(OR(C251="",D251="",F251="",G251="",H251="",I251="",J251="",K251="",M251="",N251="",Q251="",R251="",T251=""),"补对象、必要性、结果、依据或标注人",IF(AND(H251="条件必要",L251=""),"条件必要须写条件",IF(AND(R251="条件通过待执行核验",OR(M251="未知",M251="未满足",O251="",O251="未提供")),"条件或权限证据不足，退回核验","格式已填；仍须人工复核"))))))</x:f>
      </x:c>
    </x:row>
    <x:row r="252" ht="44" customHeight="1">
      <x:c r="A252" s="9"/>
      <x:c r="B252" s="9"/>
      <x:c r="C252" s="9"/>
      <x:c r="D252" s="9"/>
      <x:c r="E252" s="9"/>
      <x:c r="F252" s="9"/>
      <x:c r="G252" s="9"/>
      <x:c r="H252" s="9"/>
      <x:c r="I252" s="9"/>
      <x:c r="J252" s="9"/>
      <x:c r="K252" s="9"/>
      <x:c r="L252" s="9"/>
      <x:c r="M252" s="9"/>
      <x:c r="N252" s="9"/>
      <x:c r="O252" s="9"/>
      <x:c r="P252" s="9"/>
      <x:c r="Q252" s="9"/>
      <x:c r="R252" s="9"/>
      <x:c r="S252" s="9"/>
      <x:c r="T252" s="9"/>
      <x:c r="U252" s="9"/>
      <x:c r="V252" s="9"/>
      <x:c r="W252" s="12" t="str">
        <x:f>IF(A252="","",IF(COUNTIF($A$6:$A$505,A252)&gt;1,"记录ID重复",IF(COUNTIF('案件索引'!$A$6:$A$105,B252)=0,"案件ID未登记",IF(OR(C252="",D252="",F252="",G252="",H252="",I252="",J252="",K252="",M252="",N252="",Q252="",R252="",T252=""),"补对象、必要性、结果、依据或标注人",IF(AND(H252="条件必要",L252=""),"条件必要须写条件",IF(AND(R252="条件通过待执行核验",OR(M252="未知",M252="未满足",O252="",O252="未提供")),"条件或权限证据不足，退回核验","格式已填；仍须人工复核"))))))</x:f>
      </x:c>
    </x:row>
    <x:row r="253" ht="44" customHeight="1">
      <x:c r="A253" s="9"/>
      <x:c r="B253" s="9"/>
      <x:c r="C253" s="9"/>
      <x:c r="D253" s="9"/>
      <x:c r="E253" s="9"/>
      <x:c r="F253" s="9"/>
      <x:c r="G253" s="9"/>
      <x:c r="H253" s="9"/>
      <x:c r="I253" s="9"/>
      <x:c r="J253" s="9"/>
      <x:c r="K253" s="9"/>
      <x:c r="L253" s="9"/>
      <x:c r="M253" s="9"/>
      <x:c r="N253" s="9"/>
      <x:c r="O253" s="9"/>
      <x:c r="P253" s="9"/>
      <x:c r="Q253" s="9"/>
      <x:c r="R253" s="9"/>
      <x:c r="S253" s="9"/>
      <x:c r="T253" s="9"/>
      <x:c r="U253" s="9"/>
      <x:c r="V253" s="9"/>
      <x:c r="W253" s="12" t="str">
        <x:f>IF(A253="","",IF(COUNTIF($A$6:$A$505,A253)&gt;1,"记录ID重复",IF(COUNTIF('案件索引'!$A$6:$A$105,B253)=0,"案件ID未登记",IF(OR(C253="",D253="",F253="",G253="",H253="",I253="",J253="",K253="",M253="",N253="",Q253="",R253="",T253=""),"补对象、必要性、结果、依据或标注人",IF(AND(H253="条件必要",L253=""),"条件必要须写条件",IF(AND(R253="条件通过待执行核验",OR(M253="未知",M253="未满足",O253="",O253="未提供")),"条件或权限证据不足，退回核验","格式已填；仍须人工复核"))))))</x:f>
      </x:c>
    </x:row>
    <x:row r="254" ht="44" customHeight="1">
      <x:c r="A254" s="9"/>
      <x:c r="B254" s="9"/>
      <x:c r="C254" s="9"/>
      <x:c r="D254" s="9"/>
      <x:c r="E254" s="9"/>
      <x:c r="F254" s="9"/>
      <x:c r="G254" s="9"/>
      <x:c r="H254" s="9"/>
      <x:c r="I254" s="9"/>
      <x:c r="J254" s="9"/>
      <x:c r="K254" s="9"/>
      <x:c r="L254" s="9"/>
      <x:c r="M254" s="9"/>
      <x:c r="N254" s="9"/>
      <x:c r="O254" s="9"/>
      <x:c r="P254" s="9"/>
      <x:c r="Q254" s="9"/>
      <x:c r="R254" s="9"/>
      <x:c r="S254" s="9"/>
      <x:c r="T254" s="9"/>
      <x:c r="U254" s="9"/>
      <x:c r="V254" s="9"/>
      <x:c r="W254" s="12" t="str">
        <x:f>IF(A254="","",IF(COUNTIF($A$6:$A$505,A254)&gt;1,"记录ID重复",IF(COUNTIF('案件索引'!$A$6:$A$105,B254)=0,"案件ID未登记",IF(OR(C254="",D254="",F254="",G254="",H254="",I254="",J254="",K254="",M254="",N254="",Q254="",R254="",T254=""),"补对象、必要性、结果、依据或标注人",IF(AND(H254="条件必要",L254=""),"条件必要须写条件",IF(AND(R254="条件通过待执行核验",OR(M254="未知",M254="未满足",O254="",O254="未提供")),"条件或权限证据不足，退回核验","格式已填；仍须人工复核"))))))</x:f>
      </x:c>
    </x:row>
    <x:row r="255" ht="44" customHeight="1">
      <x:c r="A255" s="9"/>
      <x:c r="B255" s="9"/>
      <x:c r="C255" s="9"/>
      <x:c r="D255" s="9"/>
      <x:c r="E255" s="9"/>
      <x:c r="F255" s="9"/>
      <x:c r="G255" s="9"/>
      <x:c r="H255" s="9"/>
      <x:c r="I255" s="9"/>
      <x:c r="J255" s="9"/>
      <x:c r="K255" s="9"/>
      <x:c r="L255" s="9"/>
      <x:c r="M255" s="9"/>
      <x:c r="N255" s="9"/>
      <x:c r="O255" s="9"/>
      <x:c r="P255" s="9"/>
      <x:c r="Q255" s="9"/>
      <x:c r="R255" s="9"/>
      <x:c r="S255" s="9"/>
      <x:c r="T255" s="9"/>
      <x:c r="U255" s="9"/>
      <x:c r="V255" s="9"/>
      <x:c r="W255" s="12" t="str">
        <x:f>IF(A255="","",IF(COUNTIF($A$6:$A$505,A255)&gt;1,"记录ID重复",IF(COUNTIF('案件索引'!$A$6:$A$105,B255)=0,"案件ID未登记",IF(OR(C255="",D255="",F255="",G255="",H255="",I255="",J255="",K255="",M255="",N255="",Q255="",R255="",T255=""),"补对象、必要性、结果、依据或标注人",IF(AND(H255="条件必要",L255=""),"条件必要须写条件",IF(AND(R255="条件通过待执行核验",OR(M255="未知",M255="未满足",O255="",O255="未提供")),"条件或权限证据不足，退回核验","格式已填；仍须人工复核"))))))</x:f>
      </x:c>
    </x:row>
    <x:row r="256" ht="44" customHeight="1">
      <x:c r="A256" s="9"/>
      <x:c r="B256" s="9"/>
      <x:c r="C256" s="9"/>
      <x:c r="D256" s="9"/>
      <x:c r="E256" s="9"/>
      <x:c r="F256" s="9"/>
      <x:c r="G256" s="9"/>
      <x:c r="H256" s="9"/>
      <x:c r="I256" s="9"/>
      <x:c r="J256" s="9"/>
      <x:c r="K256" s="9"/>
      <x:c r="L256" s="9"/>
      <x:c r="M256" s="9"/>
      <x:c r="N256" s="9"/>
      <x:c r="O256" s="9"/>
      <x:c r="P256" s="9"/>
      <x:c r="Q256" s="9"/>
      <x:c r="R256" s="9"/>
      <x:c r="S256" s="9"/>
      <x:c r="T256" s="9"/>
      <x:c r="U256" s="9"/>
      <x:c r="V256" s="9"/>
      <x:c r="W256" s="12" t="str">
        <x:f>IF(A256="","",IF(COUNTIF($A$6:$A$505,A256)&gt;1,"记录ID重复",IF(COUNTIF('案件索引'!$A$6:$A$105,B256)=0,"案件ID未登记",IF(OR(C256="",D256="",F256="",G256="",H256="",I256="",J256="",K256="",M256="",N256="",Q256="",R256="",T256=""),"补对象、必要性、结果、依据或标注人",IF(AND(H256="条件必要",L256=""),"条件必要须写条件",IF(AND(R256="条件通过待执行核验",OR(M256="未知",M256="未满足",O256="",O256="未提供")),"条件或权限证据不足，退回核验","格式已填；仍须人工复核"))))))</x:f>
      </x:c>
    </x:row>
    <x:row r="257" ht="44" customHeight="1">
      <x:c r="A257" s="9"/>
      <x:c r="B257" s="9"/>
      <x:c r="C257" s="9"/>
      <x:c r="D257" s="9"/>
      <x:c r="E257" s="9"/>
      <x:c r="F257" s="9"/>
      <x:c r="G257" s="9"/>
      <x:c r="H257" s="9"/>
      <x:c r="I257" s="9"/>
      <x:c r="J257" s="9"/>
      <x:c r="K257" s="9"/>
      <x:c r="L257" s="9"/>
      <x:c r="M257" s="9"/>
      <x:c r="N257" s="9"/>
      <x:c r="O257" s="9"/>
      <x:c r="P257" s="9"/>
      <x:c r="Q257" s="9"/>
      <x:c r="R257" s="9"/>
      <x:c r="S257" s="9"/>
      <x:c r="T257" s="9"/>
      <x:c r="U257" s="9"/>
      <x:c r="V257" s="9"/>
      <x:c r="W257" s="12" t="str">
        <x:f>IF(A257="","",IF(COUNTIF($A$6:$A$505,A257)&gt;1,"记录ID重复",IF(COUNTIF('案件索引'!$A$6:$A$105,B257)=0,"案件ID未登记",IF(OR(C257="",D257="",F257="",G257="",H257="",I257="",J257="",K257="",M257="",N257="",Q257="",R257="",T257=""),"补对象、必要性、结果、依据或标注人",IF(AND(H257="条件必要",L257=""),"条件必要须写条件",IF(AND(R257="条件通过待执行核验",OR(M257="未知",M257="未满足",O257="",O257="未提供")),"条件或权限证据不足，退回核验","格式已填；仍须人工复核"))))))</x:f>
      </x:c>
    </x:row>
    <x:row r="258" ht="44" customHeight="1">
      <x:c r="A258" s="9"/>
      <x:c r="B258" s="9"/>
      <x:c r="C258" s="9"/>
      <x:c r="D258" s="9"/>
      <x:c r="E258" s="9"/>
      <x:c r="F258" s="9"/>
      <x:c r="G258" s="9"/>
      <x:c r="H258" s="9"/>
      <x:c r="I258" s="9"/>
      <x:c r="J258" s="9"/>
      <x:c r="K258" s="9"/>
      <x:c r="L258" s="9"/>
      <x:c r="M258" s="9"/>
      <x:c r="N258" s="9"/>
      <x:c r="O258" s="9"/>
      <x:c r="P258" s="9"/>
      <x:c r="Q258" s="9"/>
      <x:c r="R258" s="9"/>
      <x:c r="S258" s="9"/>
      <x:c r="T258" s="9"/>
      <x:c r="U258" s="9"/>
      <x:c r="V258" s="9"/>
      <x:c r="W258" s="12" t="str">
        <x:f>IF(A258="","",IF(COUNTIF($A$6:$A$505,A258)&gt;1,"记录ID重复",IF(COUNTIF('案件索引'!$A$6:$A$105,B258)=0,"案件ID未登记",IF(OR(C258="",D258="",F258="",G258="",H258="",I258="",J258="",K258="",M258="",N258="",Q258="",R258="",T258=""),"补对象、必要性、结果、依据或标注人",IF(AND(H258="条件必要",L258=""),"条件必要须写条件",IF(AND(R258="条件通过待执行核验",OR(M258="未知",M258="未满足",O258="",O258="未提供")),"条件或权限证据不足，退回核验","格式已填；仍须人工复核"))))))</x:f>
      </x:c>
    </x:row>
    <x:row r="259" ht="44" customHeight="1">
      <x:c r="A259" s="9"/>
      <x:c r="B259" s="9"/>
      <x:c r="C259" s="9"/>
      <x:c r="D259" s="9"/>
      <x:c r="E259" s="9"/>
      <x:c r="F259" s="9"/>
      <x:c r="G259" s="9"/>
      <x:c r="H259" s="9"/>
      <x:c r="I259" s="9"/>
      <x:c r="J259" s="9"/>
      <x:c r="K259" s="9"/>
      <x:c r="L259" s="9"/>
      <x:c r="M259" s="9"/>
      <x:c r="N259" s="9"/>
      <x:c r="O259" s="9"/>
      <x:c r="P259" s="9"/>
      <x:c r="Q259" s="9"/>
      <x:c r="R259" s="9"/>
      <x:c r="S259" s="9"/>
      <x:c r="T259" s="9"/>
      <x:c r="U259" s="9"/>
      <x:c r="V259" s="9"/>
      <x:c r="W259" s="12" t="str">
        <x:f>IF(A259="","",IF(COUNTIF($A$6:$A$505,A259)&gt;1,"记录ID重复",IF(COUNTIF('案件索引'!$A$6:$A$105,B259)=0,"案件ID未登记",IF(OR(C259="",D259="",F259="",G259="",H259="",I259="",J259="",K259="",M259="",N259="",Q259="",R259="",T259=""),"补对象、必要性、结果、依据或标注人",IF(AND(H259="条件必要",L259=""),"条件必要须写条件",IF(AND(R259="条件通过待执行核验",OR(M259="未知",M259="未满足",O259="",O259="未提供")),"条件或权限证据不足，退回核验","格式已填；仍须人工复核"))))))</x:f>
      </x:c>
    </x:row>
    <x:row r="260" ht="44" customHeight="1">
      <x:c r="A260" s="9"/>
      <x:c r="B260" s="9"/>
      <x:c r="C260" s="9"/>
      <x:c r="D260" s="9"/>
      <x:c r="E260" s="9"/>
      <x:c r="F260" s="9"/>
      <x:c r="G260" s="9"/>
      <x:c r="H260" s="9"/>
      <x:c r="I260" s="9"/>
      <x:c r="J260" s="9"/>
      <x:c r="K260" s="9"/>
      <x:c r="L260" s="9"/>
      <x:c r="M260" s="9"/>
      <x:c r="N260" s="9"/>
      <x:c r="O260" s="9"/>
      <x:c r="P260" s="9"/>
      <x:c r="Q260" s="9"/>
      <x:c r="R260" s="9"/>
      <x:c r="S260" s="9"/>
      <x:c r="T260" s="9"/>
      <x:c r="U260" s="9"/>
      <x:c r="V260" s="9"/>
      <x:c r="W260" s="12" t="str">
        <x:f>IF(A260="","",IF(COUNTIF($A$6:$A$505,A260)&gt;1,"记录ID重复",IF(COUNTIF('案件索引'!$A$6:$A$105,B260)=0,"案件ID未登记",IF(OR(C260="",D260="",F260="",G260="",H260="",I260="",J260="",K260="",M260="",N260="",Q260="",R260="",T260=""),"补对象、必要性、结果、依据或标注人",IF(AND(H260="条件必要",L260=""),"条件必要须写条件",IF(AND(R260="条件通过待执行核验",OR(M260="未知",M260="未满足",O260="",O260="未提供")),"条件或权限证据不足，退回核验","格式已填；仍须人工复核"))))))</x:f>
      </x:c>
    </x:row>
    <x:row r="261" ht="44" customHeight="1">
      <x:c r="A261" s="9"/>
      <x:c r="B261" s="9"/>
      <x:c r="C261" s="9"/>
      <x:c r="D261" s="9"/>
      <x:c r="E261" s="9"/>
      <x:c r="F261" s="9"/>
      <x:c r="G261" s="9"/>
      <x:c r="H261" s="9"/>
      <x:c r="I261" s="9"/>
      <x:c r="J261" s="9"/>
      <x:c r="K261" s="9"/>
      <x:c r="L261" s="9"/>
      <x:c r="M261" s="9"/>
      <x:c r="N261" s="9"/>
      <x:c r="O261" s="9"/>
      <x:c r="P261" s="9"/>
      <x:c r="Q261" s="9"/>
      <x:c r="R261" s="9"/>
      <x:c r="S261" s="9"/>
      <x:c r="T261" s="9"/>
      <x:c r="U261" s="9"/>
      <x:c r="V261" s="9"/>
      <x:c r="W261" s="12" t="str">
        <x:f>IF(A261="","",IF(COUNTIF($A$6:$A$505,A261)&gt;1,"记录ID重复",IF(COUNTIF('案件索引'!$A$6:$A$105,B261)=0,"案件ID未登记",IF(OR(C261="",D261="",F261="",G261="",H261="",I261="",J261="",K261="",M261="",N261="",Q261="",R261="",T261=""),"补对象、必要性、结果、依据或标注人",IF(AND(H261="条件必要",L261=""),"条件必要须写条件",IF(AND(R261="条件通过待执行核验",OR(M261="未知",M261="未满足",O261="",O261="未提供")),"条件或权限证据不足，退回核验","格式已填；仍须人工复核"))))))</x:f>
      </x:c>
    </x:row>
    <x:row r="262" ht="44" customHeight="1">
      <x:c r="A262" s="9"/>
      <x:c r="B262" s="9"/>
      <x:c r="C262" s="9"/>
      <x:c r="D262" s="9"/>
      <x:c r="E262" s="9"/>
      <x:c r="F262" s="9"/>
      <x:c r="G262" s="9"/>
      <x:c r="H262" s="9"/>
      <x:c r="I262" s="9"/>
      <x:c r="J262" s="9"/>
      <x:c r="K262" s="9"/>
      <x:c r="L262" s="9"/>
      <x:c r="M262" s="9"/>
      <x:c r="N262" s="9"/>
      <x:c r="O262" s="9"/>
      <x:c r="P262" s="9"/>
      <x:c r="Q262" s="9"/>
      <x:c r="R262" s="9"/>
      <x:c r="S262" s="9"/>
      <x:c r="T262" s="9"/>
      <x:c r="U262" s="9"/>
      <x:c r="V262" s="9"/>
      <x:c r="W262" s="12" t="str">
        <x:f>IF(A262="","",IF(COUNTIF($A$6:$A$505,A262)&gt;1,"记录ID重复",IF(COUNTIF('案件索引'!$A$6:$A$105,B262)=0,"案件ID未登记",IF(OR(C262="",D262="",F262="",G262="",H262="",I262="",J262="",K262="",M262="",N262="",Q262="",R262="",T262=""),"补对象、必要性、结果、依据或标注人",IF(AND(H262="条件必要",L262=""),"条件必要须写条件",IF(AND(R262="条件通过待执行核验",OR(M262="未知",M262="未满足",O262="",O262="未提供")),"条件或权限证据不足，退回核验","格式已填；仍须人工复核"))))))</x:f>
      </x:c>
    </x:row>
    <x:row r="263" ht="44" customHeight="1">
      <x:c r="A263" s="9"/>
      <x:c r="B263" s="9"/>
      <x:c r="C263" s="9"/>
      <x:c r="D263" s="9"/>
      <x:c r="E263" s="9"/>
      <x:c r="F263" s="9"/>
      <x:c r="G263" s="9"/>
      <x:c r="H263" s="9"/>
      <x:c r="I263" s="9"/>
      <x:c r="J263" s="9"/>
      <x:c r="K263" s="9"/>
      <x:c r="L263" s="9"/>
      <x:c r="M263" s="9"/>
      <x:c r="N263" s="9"/>
      <x:c r="O263" s="9"/>
      <x:c r="P263" s="9"/>
      <x:c r="Q263" s="9"/>
      <x:c r="R263" s="9"/>
      <x:c r="S263" s="9"/>
      <x:c r="T263" s="9"/>
      <x:c r="U263" s="9"/>
      <x:c r="V263" s="9"/>
      <x:c r="W263" s="12" t="str">
        <x:f>IF(A263="","",IF(COUNTIF($A$6:$A$505,A263)&gt;1,"记录ID重复",IF(COUNTIF('案件索引'!$A$6:$A$105,B263)=0,"案件ID未登记",IF(OR(C263="",D263="",F263="",G263="",H263="",I263="",J263="",K263="",M263="",N263="",Q263="",R263="",T263=""),"补对象、必要性、结果、依据或标注人",IF(AND(H263="条件必要",L263=""),"条件必要须写条件",IF(AND(R263="条件通过待执行核验",OR(M263="未知",M263="未满足",O263="",O263="未提供")),"条件或权限证据不足，退回核验","格式已填；仍须人工复核"))))))</x:f>
      </x:c>
    </x:row>
    <x:row r="264" ht="44" customHeight="1">
      <x:c r="A264" s="9"/>
      <x:c r="B264" s="9"/>
      <x:c r="C264" s="9"/>
      <x:c r="D264" s="9"/>
      <x:c r="E264" s="9"/>
      <x:c r="F264" s="9"/>
      <x:c r="G264" s="9"/>
      <x:c r="H264" s="9"/>
      <x:c r="I264" s="9"/>
      <x:c r="J264" s="9"/>
      <x:c r="K264" s="9"/>
      <x:c r="L264" s="9"/>
      <x:c r="M264" s="9"/>
      <x:c r="N264" s="9"/>
      <x:c r="O264" s="9"/>
      <x:c r="P264" s="9"/>
      <x:c r="Q264" s="9"/>
      <x:c r="R264" s="9"/>
      <x:c r="S264" s="9"/>
      <x:c r="T264" s="9"/>
      <x:c r="U264" s="9"/>
      <x:c r="V264" s="9"/>
      <x:c r="W264" s="12" t="str">
        <x:f>IF(A264="","",IF(COUNTIF($A$6:$A$505,A264)&gt;1,"记录ID重复",IF(COUNTIF('案件索引'!$A$6:$A$105,B264)=0,"案件ID未登记",IF(OR(C264="",D264="",F264="",G264="",H264="",I264="",J264="",K264="",M264="",N264="",Q264="",R264="",T264=""),"补对象、必要性、结果、依据或标注人",IF(AND(H264="条件必要",L264=""),"条件必要须写条件",IF(AND(R264="条件通过待执行核验",OR(M264="未知",M264="未满足",O264="",O264="未提供")),"条件或权限证据不足，退回核验","格式已填；仍须人工复核"))))))</x:f>
      </x:c>
    </x:row>
    <x:row r="265" ht="44" customHeight="1">
      <x:c r="A265" s="9"/>
      <x:c r="B265" s="9"/>
      <x:c r="C265" s="9"/>
      <x:c r="D265" s="9"/>
      <x:c r="E265" s="9"/>
      <x:c r="F265" s="9"/>
      <x:c r="G265" s="9"/>
      <x:c r="H265" s="9"/>
      <x:c r="I265" s="9"/>
      <x:c r="J265" s="9"/>
      <x:c r="K265" s="9"/>
      <x:c r="L265" s="9"/>
      <x:c r="M265" s="9"/>
      <x:c r="N265" s="9"/>
      <x:c r="O265" s="9"/>
      <x:c r="P265" s="9"/>
      <x:c r="Q265" s="9"/>
      <x:c r="R265" s="9"/>
      <x:c r="S265" s="9"/>
      <x:c r="T265" s="9"/>
      <x:c r="U265" s="9"/>
      <x:c r="V265" s="9"/>
      <x:c r="W265" s="12" t="str">
        <x:f>IF(A265="","",IF(COUNTIF($A$6:$A$505,A265)&gt;1,"记录ID重复",IF(COUNTIF('案件索引'!$A$6:$A$105,B265)=0,"案件ID未登记",IF(OR(C265="",D265="",F265="",G265="",H265="",I265="",J265="",K265="",M265="",N265="",Q265="",R265="",T265=""),"补对象、必要性、结果、依据或标注人",IF(AND(H265="条件必要",L265=""),"条件必要须写条件",IF(AND(R265="条件通过待执行核验",OR(M265="未知",M265="未满足",O265="",O265="未提供")),"条件或权限证据不足，退回核验","格式已填；仍须人工复核"))))))</x:f>
      </x:c>
    </x:row>
    <x:row r="266" ht="44" customHeight="1">
      <x:c r="A266" s="9"/>
      <x:c r="B266" s="9"/>
      <x:c r="C266" s="9"/>
      <x:c r="D266" s="9"/>
      <x:c r="E266" s="9"/>
      <x:c r="F266" s="9"/>
      <x:c r="G266" s="9"/>
      <x:c r="H266" s="9"/>
      <x:c r="I266" s="9"/>
      <x:c r="J266" s="9"/>
      <x:c r="K266" s="9"/>
      <x:c r="L266" s="9"/>
      <x:c r="M266" s="9"/>
      <x:c r="N266" s="9"/>
      <x:c r="O266" s="9"/>
      <x:c r="P266" s="9"/>
      <x:c r="Q266" s="9"/>
      <x:c r="R266" s="9"/>
      <x:c r="S266" s="9"/>
      <x:c r="T266" s="9"/>
      <x:c r="U266" s="9"/>
      <x:c r="V266" s="9"/>
      <x:c r="W266" s="12" t="str">
        <x:f>IF(A266="","",IF(COUNTIF($A$6:$A$505,A266)&gt;1,"记录ID重复",IF(COUNTIF('案件索引'!$A$6:$A$105,B266)=0,"案件ID未登记",IF(OR(C266="",D266="",F266="",G266="",H266="",I266="",J266="",K266="",M266="",N266="",Q266="",R266="",T266=""),"补对象、必要性、结果、依据或标注人",IF(AND(H266="条件必要",L266=""),"条件必要须写条件",IF(AND(R266="条件通过待执行核验",OR(M266="未知",M266="未满足",O266="",O266="未提供")),"条件或权限证据不足，退回核验","格式已填；仍须人工复核"))))))</x:f>
      </x:c>
    </x:row>
    <x:row r="267" ht="44" customHeight="1">
      <x:c r="A267" s="9"/>
      <x:c r="B267" s="9"/>
      <x:c r="C267" s="9"/>
      <x:c r="D267" s="9"/>
      <x:c r="E267" s="9"/>
      <x:c r="F267" s="9"/>
      <x:c r="G267" s="9"/>
      <x:c r="H267" s="9"/>
      <x:c r="I267" s="9"/>
      <x:c r="J267" s="9"/>
      <x:c r="K267" s="9"/>
      <x:c r="L267" s="9"/>
      <x:c r="M267" s="9"/>
      <x:c r="N267" s="9"/>
      <x:c r="O267" s="9"/>
      <x:c r="P267" s="9"/>
      <x:c r="Q267" s="9"/>
      <x:c r="R267" s="9"/>
      <x:c r="S267" s="9"/>
      <x:c r="T267" s="9"/>
      <x:c r="U267" s="9"/>
      <x:c r="V267" s="9"/>
      <x:c r="W267" s="12" t="str">
        <x:f>IF(A267="","",IF(COUNTIF($A$6:$A$505,A267)&gt;1,"记录ID重复",IF(COUNTIF('案件索引'!$A$6:$A$105,B267)=0,"案件ID未登记",IF(OR(C267="",D267="",F267="",G267="",H267="",I267="",J267="",K267="",M267="",N267="",Q267="",R267="",T267=""),"补对象、必要性、结果、依据或标注人",IF(AND(H267="条件必要",L267=""),"条件必要须写条件",IF(AND(R267="条件通过待执行核验",OR(M267="未知",M267="未满足",O267="",O267="未提供")),"条件或权限证据不足，退回核验","格式已填；仍须人工复核"))))))</x:f>
      </x:c>
    </x:row>
    <x:row r="268" ht="44" customHeight="1">
      <x:c r="A268" s="9"/>
      <x:c r="B268" s="9"/>
      <x:c r="C268" s="9"/>
      <x:c r="D268" s="9"/>
      <x:c r="E268" s="9"/>
      <x:c r="F268" s="9"/>
      <x:c r="G268" s="9"/>
      <x:c r="H268" s="9"/>
      <x:c r="I268" s="9"/>
      <x:c r="J268" s="9"/>
      <x:c r="K268" s="9"/>
      <x:c r="L268" s="9"/>
      <x:c r="M268" s="9"/>
      <x:c r="N268" s="9"/>
      <x:c r="O268" s="9"/>
      <x:c r="P268" s="9"/>
      <x:c r="Q268" s="9"/>
      <x:c r="R268" s="9"/>
      <x:c r="S268" s="9"/>
      <x:c r="T268" s="9"/>
      <x:c r="U268" s="9"/>
      <x:c r="V268" s="9"/>
      <x:c r="W268" s="12" t="str">
        <x:f>IF(A268="","",IF(COUNTIF($A$6:$A$505,A268)&gt;1,"记录ID重复",IF(COUNTIF('案件索引'!$A$6:$A$105,B268)=0,"案件ID未登记",IF(OR(C268="",D268="",F268="",G268="",H268="",I268="",J268="",K268="",M268="",N268="",Q268="",R268="",T268=""),"补对象、必要性、结果、依据或标注人",IF(AND(H268="条件必要",L268=""),"条件必要须写条件",IF(AND(R268="条件通过待执行核验",OR(M268="未知",M268="未满足",O268="",O268="未提供")),"条件或权限证据不足，退回核验","格式已填；仍须人工复核"))))))</x:f>
      </x:c>
    </x:row>
    <x:row r="269" ht="44" customHeight="1">
      <x:c r="A269" s="9"/>
      <x:c r="B269" s="9"/>
      <x:c r="C269" s="9"/>
      <x:c r="D269" s="9"/>
      <x:c r="E269" s="9"/>
      <x:c r="F269" s="9"/>
      <x:c r="G269" s="9"/>
      <x:c r="H269" s="9"/>
      <x:c r="I269" s="9"/>
      <x:c r="J269" s="9"/>
      <x:c r="K269" s="9"/>
      <x:c r="L269" s="9"/>
      <x:c r="M269" s="9"/>
      <x:c r="N269" s="9"/>
      <x:c r="O269" s="9"/>
      <x:c r="P269" s="9"/>
      <x:c r="Q269" s="9"/>
      <x:c r="R269" s="9"/>
      <x:c r="S269" s="9"/>
      <x:c r="T269" s="9"/>
      <x:c r="U269" s="9"/>
      <x:c r="V269" s="9"/>
      <x:c r="W269" s="12" t="str">
        <x:f>IF(A269="","",IF(COUNTIF($A$6:$A$505,A269)&gt;1,"记录ID重复",IF(COUNTIF('案件索引'!$A$6:$A$105,B269)=0,"案件ID未登记",IF(OR(C269="",D269="",F269="",G269="",H269="",I269="",J269="",K269="",M269="",N269="",Q269="",R269="",T269=""),"补对象、必要性、结果、依据或标注人",IF(AND(H269="条件必要",L269=""),"条件必要须写条件",IF(AND(R269="条件通过待执行核验",OR(M269="未知",M269="未满足",O269="",O269="未提供")),"条件或权限证据不足，退回核验","格式已填；仍须人工复核"))))))</x:f>
      </x:c>
    </x:row>
    <x:row r="270" ht="44" customHeight="1">
      <x:c r="A270" s="9"/>
      <x:c r="B270" s="9"/>
      <x:c r="C270" s="9"/>
      <x:c r="D270" s="9"/>
      <x:c r="E270" s="9"/>
      <x:c r="F270" s="9"/>
      <x:c r="G270" s="9"/>
      <x:c r="H270" s="9"/>
      <x:c r="I270" s="9"/>
      <x:c r="J270" s="9"/>
      <x:c r="K270" s="9"/>
      <x:c r="L270" s="9"/>
      <x:c r="M270" s="9"/>
      <x:c r="N270" s="9"/>
      <x:c r="O270" s="9"/>
      <x:c r="P270" s="9"/>
      <x:c r="Q270" s="9"/>
      <x:c r="R270" s="9"/>
      <x:c r="S270" s="9"/>
      <x:c r="T270" s="9"/>
      <x:c r="U270" s="9"/>
      <x:c r="V270" s="9"/>
      <x:c r="W270" s="12" t="str">
        <x:f>IF(A270="","",IF(COUNTIF($A$6:$A$505,A270)&gt;1,"记录ID重复",IF(COUNTIF('案件索引'!$A$6:$A$105,B270)=0,"案件ID未登记",IF(OR(C270="",D270="",F270="",G270="",H270="",I270="",J270="",K270="",M270="",N270="",Q270="",R270="",T270=""),"补对象、必要性、结果、依据或标注人",IF(AND(H270="条件必要",L270=""),"条件必要须写条件",IF(AND(R270="条件通过待执行核验",OR(M270="未知",M270="未满足",O270="",O270="未提供")),"条件或权限证据不足，退回核验","格式已填；仍须人工复核"))))))</x:f>
      </x:c>
    </x:row>
    <x:row r="271" ht="44" customHeight="1">
      <x:c r="A271" s="9"/>
      <x:c r="B271" s="9"/>
      <x:c r="C271" s="9"/>
      <x:c r="D271" s="9"/>
      <x:c r="E271" s="9"/>
      <x:c r="F271" s="9"/>
      <x:c r="G271" s="9"/>
      <x:c r="H271" s="9"/>
      <x:c r="I271" s="9"/>
      <x:c r="J271" s="9"/>
      <x:c r="K271" s="9"/>
      <x:c r="L271" s="9"/>
      <x:c r="M271" s="9"/>
      <x:c r="N271" s="9"/>
      <x:c r="O271" s="9"/>
      <x:c r="P271" s="9"/>
      <x:c r="Q271" s="9"/>
      <x:c r="R271" s="9"/>
      <x:c r="S271" s="9"/>
      <x:c r="T271" s="9"/>
      <x:c r="U271" s="9"/>
      <x:c r="V271" s="9"/>
      <x:c r="W271" s="12" t="str">
        <x:f>IF(A271="","",IF(COUNTIF($A$6:$A$505,A271)&gt;1,"记录ID重复",IF(COUNTIF('案件索引'!$A$6:$A$105,B271)=0,"案件ID未登记",IF(OR(C271="",D271="",F271="",G271="",H271="",I271="",J271="",K271="",M271="",N271="",Q271="",R271="",T271=""),"补对象、必要性、结果、依据或标注人",IF(AND(H271="条件必要",L271=""),"条件必要须写条件",IF(AND(R271="条件通过待执行核验",OR(M271="未知",M271="未满足",O271="",O271="未提供")),"条件或权限证据不足，退回核验","格式已填；仍须人工复核"))))))</x:f>
      </x:c>
    </x:row>
    <x:row r="272" ht="44" customHeight="1">
      <x:c r="A272" s="9"/>
      <x:c r="B272" s="9"/>
      <x:c r="C272" s="9"/>
      <x:c r="D272" s="9"/>
      <x:c r="E272" s="9"/>
      <x:c r="F272" s="9"/>
      <x:c r="G272" s="9"/>
      <x:c r="H272" s="9"/>
      <x:c r="I272" s="9"/>
      <x:c r="J272" s="9"/>
      <x:c r="K272" s="9"/>
      <x:c r="L272" s="9"/>
      <x:c r="M272" s="9"/>
      <x:c r="N272" s="9"/>
      <x:c r="O272" s="9"/>
      <x:c r="P272" s="9"/>
      <x:c r="Q272" s="9"/>
      <x:c r="R272" s="9"/>
      <x:c r="S272" s="9"/>
      <x:c r="T272" s="9"/>
      <x:c r="U272" s="9"/>
      <x:c r="V272" s="9"/>
      <x:c r="W272" s="12" t="str">
        <x:f>IF(A272="","",IF(COUNTIF($A$6:$A$505,A272)&gt;1,"记录ID重复",IF(COUNTIF('案件索引'!$A$6:$A$105,B272)=0,"案件ID未登记",IF(OR(C272="",D272="",F272="",G272="",H272="",I272="",J272="",K272="",M272="",N272="",Q272="",R272="",T272=""),"补对象、必要性、结果、依据或标注人",IF(AND(H272="条件必要",L272=""),"条件必要须写条件",IF(AND(R272="条件通过待执行核验",OR(M272="未知",M272="未满足",O272="",O272="未提供")),"条件或权限证据不足，退回核验","格式已填；仍须人工复核"))))))</x:f>
      </x:c>
    </x:row>
    <x:row r="273" ht="44" customHeight="1">
      <x:c r="A273" s="9"/>
      <x:c r="B273" s="9"/>
      <x:c r="C273" s="9"/>
      <x:c r="D273" s="9"/>
      <x:c r="E273" s="9"/>
      <x:c r="F273" s="9"/>
      <x:c r="G273" s="9"/>
      <x:c r="H273" s="9"/>
      <x:c r="I273" s="9"/>
      <x:c r="J273" s="9"/>
      <x:c r="K273" s="9"/>
      <x:c r="L273" s="9"/>
      <x:c r="M273" s="9"/>
      <x:c r="N273" s="9"/>
      <x:c r="O273" s="9"/>
      <x:c r="P273" s="9"/>
      <x:c r="Q273" s="9"/>
      <x:c r="R273" s="9"/>
      <x:c r="S273" s="9"/>
      <x:c r="T273" s="9"/>
      <x:c r="U273" s="9"/>
      <x:c r="V273" s="9"/>
      <x:c r="W273" s="12" t="str">
        <x:f>IF(A273="","",IF(COUNTIF($A$6:$A$505,A273)&gt;1,"记录ID重复",IF(COUNTIF('案件索引'!$A$6:$A$105,B273)=0,"案件ID未登记",IF(OR(C273="",D273="",F273="",G273="",H273="",I273="",J273="",K273="",M273="",N273="",Q273="",R273="",T273=""),"补对象、必要性、结果、依据或标注人",IF(AND(H273="条件必要",L273=""),"条件必要须写条件",IF(AND(R273="条件通过待执行核验",OR(M273="未知",M273="未满足",O273="",O273="未提供")),"条件或权限证据不足，退回核验","格式已填；仍须人工复核"))))))</x:f>
      </x:c>
    </x:row>
    <x:row r="274" ht="44" customHeight="1">
      <x:c r="A274" s="9"/>
      <x:c r="B274" s="9"/>
      <x:c r="C274" s="9"/>
      <x:c r="D274" s="9"/>
      <x:c r="E274" s="9"/>
      <x:c r="F274" s="9"/>
      <x:c r="G274" s="9"/>
      <x:c r="H274" s="9"/>
      <x:c r="I274" s="9"/>
      <x:c r="J274" s="9"/>
      <x:c r="K274" s="9"/>
      <x:c r="L274" s="9"/>
      <x:c r="M274" s="9"/>
      <x:c r="N274" s="9"/>
      <x:c r="O274" s="9"/>
      <x:c r="P274" s="9"/>
      <x:c r="Q274" s="9"/>
      <x:c r="R274" s="9"/>
      <x:c r="S274" s="9"/>
      <x:c r="T274" s="9"/>
      <x:c r="U274" s="9"/>
      <x:c r="V274" s="9"/>
      <x:c r="W274" s="12" t="str">
        <x:f>IF(A274="","",IF(COUNTIF($A$6:$A$505,A274)&gt;1,"记录ID重复",IF(COUNTIF('案件索引'!$A$6:$A$105,B274)=0,"案件ID未登记",IF(OR(C274="",D274="",F274="",G274="",H274="",I274="",J274="",K274="",M274="",N274="",Q274="",R274="",T274=""),"补对象、必要性、结果、依据或标注人",IF(AND(H274="条件必要",L274=""),"条件必要须写条件",IF(AND(R274="条件通过待执行核验",OR(M274="未知",M274="未满足",O274="",O274="未提供")),"条件或权限证据不足，退回核验","格式已填；仍须人工复核"))))))</x:f>
      </x:c>
    </x:row>
    <x:row r="275" ht="44" customHeight="1">
      <x:c r="A275" s="9"/>
      <x:c r="B275" s="9"/>
      <x:c r="C275" s="9"/>
      <x:c r="D275" s="9"/>
      <x:c r="E275" s="9"/>
      <x:c r="F275" s="9"/>
      <x:c r="G275" s="9"/>
      <x:c r="H275" s="9"/>
      <x:c r="I275" s="9"/>
      <x:c r="J275" s="9"/>
      <x:c r="K275" s="9"/>
      <x:c r="L275" s="9"/>
      <x:c r="M275" s="9"/>
      <x:c r="N275" s="9"/>
      <x:c r="O275" s="9"/>
      <x:c r="P275" s="9"/>
      <x:c r="Q275" s="9"/>
      <x:c r="R275" s="9"/>
      <x:c r="S275" s="9"/>
      <x:c r="T275" s="9"/>
      <x:c r="U275" s="9"/>
      <x:c r="V275" s="9"/>
      <x:c r="W275" s="12" t="str">
        <x:f>IF(A275="","",IF(COUNTIF($A$6:$A$505,A275)&gt;1,"记录ID重复",IF(COUNTIF('案件索引'!$A$6:$A$105,B275)=0,"案件ID未登记",IF(OR(C275="",D275="",F275="",G275="",H275="",I275="",J275="",K275="",M275="",N275="",Q275="",R275="",T275=""),"补对象、必要性、结果、依据或标注人",IF(AND(H275="条件必要",L275=""),"条件必要须写条件",IF(AND(R275="条件通过待执行核验",OR(M275="未知",M275="未满足",O275="",O275="未提供")),"条件或权限证据不足，退回核验","格式已填；仍须人工复核"))))))</x:f>
      </x:c>
    </x:row>
    <x:row r="276" ht="44" customHeight="1">
      <x:c r="A276" s="9"/>
      <x:c r="B276" s="9"/>
      <x:c r="C276" s="9"/>
      <x:c r="D276" s="9"/>
      <x:c r="E276" s="9"/>
      <x:c r="F276" s="9"/>
      <x:c r="G276" s="9"/>
      <x:c r="H276" s="9"/>
      <x:c r="I276" s="9"/>
      <x:c r="J276" s="9"/>
      <x:c r="K276" s="9"/>
      <x:c r="L276" s="9"/>
      <x:c r="M276" s="9"/>
      <x:c r="N276" s="9"/>
      <x:c r="O276" s="9"/>
      <x:c r="P276" s="9"/>
      <x:c r="Q276" s="9"/>
      <x:c r="R276" s="9"/>
      <x:c r="S276" s="9"/>
      <x:c r="T276" s="9"/>
      <x:c r="U276" s="9"/>
      <x:c r="V276" s="9"/>
      <x:c r="W276" s="12" t="str">
        <x:f>IF(A276="","",IF(COUNTIF($A$6:$A$505,A276)&gt;1,"记录ID重复",IF(COUNTIF('案件索引'!$A$6:$A$105,B276)=0,"案件ID未登记",IF(OR(C276="",D276="",F276="",G276="",H276="",I276="",J276="",K276="",M276="",N276="",Q276="",R276="",T276=""),"补对象、必要性、结果、依据或标注人",IF(AND(H276="条件必要",L276=""),"条件必要须写条件",IF(AND(R276="条件通过待执行核验",OR(M276="未知",M276="未满足",O276="",O276="未提供")),"条件或权限证据不足，退回核验","格式已填；仍须人工复核"))))))</x:f>
      </x:c>
    </x:row>
    <x:row r="277" ht="44" customHeight="1">
      <x:c r="A277" s="9"/>
      <x:c r="B277" s="9"/>
      <x:c r="C277" s="9"/>
      <x:c r="D277" s="9"/>
      <x:c r="E277" s="9"/>
      <x:c r="F277" s="9"/>
      <x:c r="G277" s="9"/>
      <x:c r="H277" s="9"/>
      <x:c r="I277" s="9"/>
      <x:c r="J277" s="9"/>
      <x:c r="K277" s="9"/>
      <x:c r="L277" s="9"/>
      <x:c r="M277" s="9"/>
      <x:c r="N277" s="9"/>
      <x:c r="O277" s="9"/>
      <x:c r="P277" s="9"/>
      <x:c r="Q277" s="9"/>
      <x:c r="R277" s="9"/>
      <x:c r="S277" s="9"/>
      <x:c r="T277" s="9"/>
      <x:c r="U277" s="9"/>
      <x:c r="V277" s="9"/>
      <x:c r="W277" s="12" t="str">
        <x:f>IF(A277="","",IF(COUNTIF($A$6:$A$505,A277)&gt;1,"记录ID重复",IF(COUNTIF('案件索引'!$A$6:$A$105,B277)=0,"案件ID未登记",IF(OR(C277="",D277="",F277="",G277="",H277="",I277="",J277="",K277="",M277="",N277="",Q277="",R277="",T277=""),"补对象、必要性、结果、依据或标注人",IF(AND(H277="条件必要",L277=""),"条件必要须写条件",IF(AND(R277="条件通过待执行核验",OR(M277="未知",M277="未满足",O277="",O277="未提供")),"条件或权限证据不足，退回核验","格式已填；仍须人工复核"))))))</x:f>
      </x:c>
    </x:row>
    <x:row r="278" ht="44" customHeight="1">
      <x:c r="A278" s="9"/>
      <x:c r="B278" s="9"/>
      <x:c r="C278" s="9"/>
      <x:c r="D278" s="9"/>
      <x:c r="E278" s="9"/>
      <x:c r="F278" s="9"/>
      <x:c r="G278" s="9"/>
      <x:c r="H278" s="9"/>
      <x:c r="I278" s="9"/>
      <x:c r="J278" s="9"/>
      <x:c r="K278" s="9"/>
      <x:c r="L278" s="9"/>
      <x:c r="M278" s="9"/>
      <x:c r="N278" s="9"/>
      <x:c r="O278" s="9"/>
      <x:c r="P278" s="9"/>
      <x:c r="Q278" s="9"/>
      <x:c r="R278" s="9"/>
      <x:c r="S278" s="9"/>
      <x:c r="T278" s="9"/>
      <x:c r="U278" s="9"/>
      <x:c r="V278" s="9"/>
      <x:c r="W278" s="12" t="str">
        <x:f>IF(A278="","",IF(COUNTIF($A$6:$A$505,A278)&gt;1,"记录ID重复",IF(COUNTIF('案件索引'!$A$6:$A$105,B278)=0,"案件ID未登记",IF(OR(C278="",D278="",F278="",G278="",H278="",I278="",J278="",K278="",M278="",N278="",Q278="",R278="",T278=""),"补对象、必要性、结果、依据或标注人",IF(AND(H278="条件必要",L278=""),"条件必要须写条件",IF(AND(R278="条件通过待执行核验",OR(M278="未知",M278="未满足",O278="",O278="未提供")),"条件或权限证据不足，退回核验","格式已填；仍须人工复核"))))))</x:f>
      </x:c>
    </x:row>
    <x:row r="279" ht="44" customHeight="1">
      <x:c r="A279" s="9"/>
      <x:c r="B279" s="9"/>
      <x:c r="C279" s="9"/>
      <x:c r="D279" s="9"/>
      <x:c r="E279" s="9"/>
      <x:c r="F279" s="9"/>
      <x:c r="G279" s="9"/>
      <x:c r="H279" s="9"/>
      <x:c r="I279" s="9"/>
      <x:c r="J279" s="9"/>
      <x:c r="K279" s="9"/>
      <x:c r="L279" s="9"/>
      <x:c r="M279" s="9"/>
      <x:c r="N279" s="9"/>
      <x:c r="O279" s="9"/>
      <x:c r="P279" s="9"/>
      <x:c r="Q279" s="9"/>
      <x:c r="R279" s="9"/>
      <x:c r="S279" s="9"/>
      <x:c r="T279" s="9"/>
      <x:c r="U279" s="9"/>
      <x:c r="V279" s="9"/>
      <x:c r="W279" s="12" t="str">
        <x:f>IF(A279="","",IF(COUNTIF($A$6:$A$505,A279)&gt;1,"记录ID重复",IF(COUNTIF('案件索引'!$A$6:$A$105,B279)=0,"案件ID未登记",IF(OR(C279="",D279="",F279="",G279="",H279="",I279="",J279="",K279="",M279="",N279="",Q279="",R279="",T279=""),"补对象、必要性、结果、依据或标注人",IF(AND(H279="条件必要",L279=""),"条件必要须写条件",IF(AND(R279="条件通过待执行核验",OR(M279="未知",M279="未满足",O279="",O279="未提供")),"条件或权限证据不足，退回核验","格式已填；仍须人工复核"))))))</x:f>
      </x:c>
    </x:row>
    <x:row r="280" ht="44" customHeight="1">
      <x:c r="A280" s="9"/>
      <x:c r="B280" s="9"/>
      <x:c r="C280" s="9"/>
      <x:c r="D280" s="9"/>
      <x:c r="E280" s="9"/>
      <x:c r="F280" s="9"/>
      <x:c r="G280" s="9"/>
      <x:c r="H280" s="9"/>
      <x:c r="I280" s="9"/>
      <x:c r="J280" s="9"/>
      <x:c r="K280" s="9"/>
      <x:c r="L280" s="9"/>
      <x:c r="M280" s="9"/>
      <x:c r="N280" s="9"/>
      <x:c r="O280" s="9"/>
      <x:c r="P280" s="9"/>
      <x:c r="Q280" s="9"/>
      <x:c r="R280" s="9"/>
      <x:c r="S280" s="9"/>
      <x:c r="T280" s="9"/>
      <x:c r="U280" s="9"/>
      <x:c r="V280" s="9"/>
      <x:c r="W280" s="12" t="str">
        <x:f>IF(A280="","",IF(COUNTIF($A$6:$A$505,A280)&gt;1,"记录ID重复",IF(COUNTIF('案件索引'!$A$6:$A$105,B280)=0,"案件ID未登记",IF(OR(C280="",D280="",F280="",G280="",H280="",I280="",J280="",K280="",M280="",N280="",Q280="",R280="",T280=""),"补对象、必要性、结果、依据或标注人",IF(AND(H280="条件必要",L280=""),"条件必要须写条件",IF(AND(R280="条件通过待执行核验",OR(M280="未知",M280="未满足",O280="",O280="未提供")),"条件或权限证据不足，退回核验","格式已填；仍须人工复核"))))))</x:f>
      </x:c>
    </x:row>
    <x:row r="281" ht="44" customHeight="1">
      <x:c r="A281" s="9"/>
      <x:c r="B281" s="9"/>
      <x:c r="C281" s="9"/>
      <x:c r="D281" s="9"/>
      <x:c r="E281" s="9"/>
      <x:c r="F281" s="9"/>
      <x:c r="G281" s="9"/>
      <x:c r="H281" s="9"/>
      <x:c r="I281" s="9"/>
      <x:c r="J281" s="9"/>
      <x:c r="K281" s="9"/>
      <x:c r="L281" s="9"/>
      <x:c r="M281" s="9"/>
      <x:c r="N281" s="9"/>
      <x:c r="O281" s="9"/>
      <x:c r="P281" s="9"/>
      <x:c r="Q281" s="9"/>
      <x:c r="R281" s="9"/>
      <x:c r="S281" s="9"/>
      <x:c r="T281" s="9"/>
      <x:c r="U281" s="9"/>
      <x:c r="V281" s="9"/>
      <x:c r="W281" s="12" t="str">
        <x:f>IF(A281="","",IF(COUNTIF($A$6:$A$505,A281)&gt;1,"记录ID重复",IF(COUNTIF('案件索引'!$A$6:$A$105,B281)=0,"案件ID未登记",IF(OR(C281="",D281="",F281="",G281="",H281="",I281="",J281="",K281="",M281="",N281="",Q281="",R281="",T281=""),"补对象、必要性、结果、依据或标注人",IF(AND(H281="条件必要",L281=""),"条件必要须写条件",IF(AND(R281="条件通过待执行核验",OR(M281="未知",M281="未满足",O281="",O281="未提供")),"条件或权限证据不足，退回核验","格式已填；仍须人工复核"))))))</x:f>
      </x:c>
    </x:row>
    <x:row r="282" ht="44" customHeight="1">
      <x:c r="A282" s="9"/>
      <x:c r="B282" s="9"/>
      <x:c r="C282" s="9"/>
      <x:c r="D282" s="9"/>
      <x:c r="E282" s="9"/>
      <x:c r="F282" s="9"/>
      <x:c r="G282" s="9"/>
      <x:c r="H282" s="9"/>
      <x:c r="I282" s="9"/>
      <x:c r="J282" s="9"/>
      <x:c r="K282" s="9"/>
      <x:c r="L282" s="9"/>
      <x:c r="M282" s="9"/>
      <x:c r="N282" s="9"/>
      <x:c r="O282" s="9"/>
      <x:c r="P282" s="9"/>
      <x:c r="Q282" s="9"/>
      <x:c r="R282" s="9"/>
      <x:c r="S282" s="9"/>
      <x:c r="T282" s="9"/>
      <x:c r="U282" s="9"/>
      <x:c r="V282" s="9"/>
      <x:c r="W282" s="12" t="str">
        <x:f>IF(A282="","",IF(COUNTIF($A$6:$A$505,A282)&gt;1,"记录ID重复",IF(COUNTIF('案件索引'!$A$6:$A$105,B282)=0,"案件ID未登记",IF(OR(C282="",D282="",F282="",G282="",H282="",I282="",J282="",K282="",M282="",N282="",Q282="",R282="",T282=""),"补对象、必要性、结果、依据或标注人",IF(AND(H282="条件必要",L282=""),"条件必要须写条件",IF(AND(R282="条件通过待执行核验",OR(M282="未知",M282="未满足",O282="",O282="未提供")),"条件或权限证据不足，退回核验","格式已填；仍须人工复核"))))))</x:f>
      </x:c>
    </x:row>
    <x:row r="283" ht="44" customHeight="1">
      <x:c r="A283" s="9"/>
      <x:c r="B283" s="9"/>
      <x:c r="C283" s="9"/>
      <x:c r="D283" s="9"/>
      <x:c r="E283" s="9"/>
      <x:c r="F283" s="9"/>
      <x:c r="G283" s="9"/>
      <x:c r="H283" s="9"/>
      <x:c r="I283" s="9"/>
      <x:c r="J283" s="9"/>
      <x:c r="K283" s="9"/>
      <x:c r="L283" s="9"/>
      <x:c r="M283" s="9"/>
      <x:c r="N283" s="9"/>
      <x:c r="O283" s="9"/>
      <x:c r="P283" s="9"/>
      <x:c r="Q283" s="9"/>
      <x:c r="R283" s="9"/>
      <x:c r="S283" s="9"/>
      <x:c r="T283" s="9"/>
      <x:c r="U283" s="9"/>
      <x:c r="V283" s="9"/>
      <x:c r="W283" s="12" t="str">
        <x:f>IF(A283="","",IF(COUNTIF($A$6:$A$505,A283)&gt;1,"记录ID重复",IF(COUNTIF('案件索引'!$A$6:$A$105,B283)=0,"案件ID未登记",IF(OR(C283="",D283="",F283="",G283="",H283="",I283="",J283="",K283="",M283="",N283="",Q283="",R283="",T283=""),"补对象、必要性、结果、依据或标注人",IF(AND(H283="条件必要",L283=""),"条件必要须写条件",IF(AND(R283="条件通过待执行核验",OR(M283="未知",M283="未满足",O283="",O283="未提供")),"条件或权限证据不足，退回核验","格式已填；仍须人工复核"))))))</x:f>
      </x:c>
    </x:row>
    <x:row r="284" ht="44" customHeight="1">
      <x:c r="A284" s="9"/>
      <x:c r="B284" s="9"/>
      <x:c r="C284" s="9"/>
      <x:c r="D284" s="9"/>
      <x:c r="E284" s="9"/>
      <x:c r="F284" s="9"/>
      <x:c r="G284" s="9"/>
      <x:c r="H284" s="9"/>
      <x:c r="I284" s="9"/>
      <x:c r="J284" s="9"/>
      <x:c r="K284" s="9"/>
      <x:c r="L284" s="9"/>
      <x:c r="M284" s="9"/>
      <x:c r="N284" s="9"/>
      <x:c r="O284" s="9"/>
      <x:c r="P284" s="9"/>
      <x:c r="Q284" s="9"/>
      <x:c r="R284" s="9"/>
      <x:c r="S284" s="9"/>
      <x:c r="T284" s="9"/>
      <x:c r="U284" s="9"/>
      <x:c r="V284" s="9"/>
      <x:c r="W284" s="12" t="str">
        <x:f>IF(A284="","",IF(COUNTIF($A$6:$A$505,A284)&gt;1,"记录ID重复",IF(COUNTIF('案件索引'!$A$6:$A$105,B284)=0,"案件ID未登记",IF(OR(C284="",D284="",F284="",G284="",H284="",I284="",J284="",K284="",M284="",N284="",Q284="",R284="",T284=""),"补对象、必要性、结果、依据或标注人",IF(AND(H284="条件必要",L284=""),"条件必要须写条件",IF(AND(R284="条件通过待执行核验",OR(M284="未知",M284="未满足",O284="",O284="未提供")),"条件或权限证据不足，退回核验","格式已填；仍须人工复核"))))))</x:f>
      </x:c>
    </x:row>
    <x:row r="285" ht="44" customHeight="1">
      <x:c r="A285" s="9"/>
      <x:c r="B285" s="9"/>
      <x:c r="C285" s="9"/>
      <x:c r="D285" s="9"/>
      <x:c r="E285" s="9"/>
      <x:c r="F285" s="9"/>
      <x:c r="G285" s="9"/>
      <x:c r="H285" s="9"/>
      <x:c r="I285" s="9"/>
      <x:c r="J285" s="9"/>
      <x:c r="K285" s="9"/>
      <x:c r="L285" s="9"/>
      <x:c r="M285" s="9"/>
      <x:c r="N285" s="9"/>
      <x:c r="O285" s="9"/>
      <x:c r="P285" s="9"/>
      <x:c r="Q285" s="9"/>
      <x:c r="R285" s="9"/>
      <x:c r="S285" s="9"/>
      <x:c r="T285" s="9"/>
      <x:c r="U285" s="9"/>
      <x:c r="V285" s="9"/>
      <x:c r="W285" s="12" t="str">
        <x:f>IF(A285="","",IF(COUNTIF($A$6:$A$505,A285)&gt;1,"记录ID重复",IF(COUNTIF('案件索引'!$A$6:$A$105,B285)=0,"案件ID未登记",IF(OR(C285="",D285="",F285="",G285="",H285="",I285="",J285="",K285="",M285="",N285="",Q285="",R285="",T285=""),"补对象、必要性、结果、依据或标注人",IF(AND(H285="条件必要",L285=""),"条件必要须写条件",IF(AND(R285="条件通过待执行核验",OR(M285="未知",M285="未满足",O285="",O285="未提供")),"条件或权限证据不足，退回核验","格式已填；仍须人工复核"))))))</x:f>
      </x:c>
    </x:row>
    <x:row r="286" ht="44" customHeight="1">
      <x:c r="A286" s="9"/>
      <x:c r="B286" s="9"/>
      <x:c r="C286" s="9"/>
      <x:c r="D286" s="9"/>
      <x:c r="E286" s="9"/>
      <x:c r="F286" s="9"/>
      <x:c r="G286" s="9"/>
      <x:c r="H286" s="9"/>
      <x:c r="I286" s="9"/>
      <x:c r="J286" s="9"/>
      <x:c r="K286" s="9"/>
      <x:c r="L286" s="9"/>
      <x:c r="M286" s="9"/>
      <x:c r="N286" s="9"/>
      <x:c r="O286" s="9"/>
      <x:c r="P286" s="9"/>
      <x:c r="Q286" s="9"/>
      <x:c r="R286" s="9"/>
      <x:c r="S286" s="9"/>
      <x:c r="T286" s="9"/>
      <x:c r="U286" s="9"/>
      <x:c r="V286" s="9"/>
      <x:c r="W286" s="12" t="str">
        <x:f>IF(A286="","",IF(COUNTIF($A$6:$A$505,A286)&gt;1,"记录ID重复",IF(COUNTIF('案件索引'!$A$6:$A$105,B286)=0,"案件ID未登记",IF(OR(C286="",D286="",F286="",G286="",H286="",I286="",J286="",K286="",M286="",N286="",Q286="",R286="",T286=""),"补对象、必要性、结果、依据或标注人",IF(AND(H286="条件必要",L286=""),"条件必要须写条件",IF(AND(R286="条件通过待执行核验",OR(M286="未知",M286="未满足",O286="",O286="未提供")),"条件或权限证据不足，退回核验","格式已填；仍须人工复核"))))))</x:f>
      </x:c>
    </x:row>
    <x:row r="287" ht="44" customHeight="1">
      <x:c r="A287" s="9"/>
      <x:c r="B287" s="9"/>
      <x:c r="C287" s="9"/>
      <x:c r="D287" s="9"/>
      <x:c r="E287" s="9"/>
      <x:c r="F287" s="9"/>
      <x:c r="G287" s="9"/>
      <x:c r="H287" s="9"/>
      <x:c r="I287" s="9"/>
      <x:c r="J287" s="9"/>
      <x:c r="K287" s="9"/>
      <x:c r="L287" s="9"/>
      <x:c r="M287" s="9"/>
      <x:c r="N287" s="9"/>
      <x:c r="O287" s="9"/>
      <x:c r="P287" s="9"/>
      <x:c r="Q287" s="9"/>
      <x:c r="R287" s="9"/>
      <x:c r="S287" s="9"/>
      <x:c r="T287" s="9"/>
      <x:c r="U287" s="9"/>
      <x:c r="V287" s="9"/>
      <x:c r="W287" s="12" t="str">
        <x:f>IF(A287="","",IF(COUNTIF($A$6:$A$505,A287)&gt;1,"记录ID重复",IF(COUNTIF('案件索引'!$A$6:$A$105,B287)=0,"案件ID未登记",IF(OR(C287="",D287="",F287="",G287="",H287="",I287="",J287="",K287="",M287="",N287="",Q287="",R287="",T287=""),"补对象、必要性、结果、依据或标注人",IF(AND(H287="条件必要",L287=""),"条件必要须写条件",IF(AND(R287="条件通过待执行核验",OR(M287="未知",M287="未满足",O287="",O287="未提供")),"条件或权限证据不足，退回核验","格式已填；仍须人工复核"))))))</x:f>
      </x:c>
    </x:row>
    <x:row r="288" ht="44" customHeight="1">
      <x:c r="A288" s="9"/>
      <x:c r="B288" s="9"/>
      <x:c r="C288" s="9"/>
      <x:c r="D288" s="9"/>
      <x:c r="E288" s="9"/>
      <x:c r="F288" s="9"/>
      <x:c r="G288" s="9"/>
      <x:c r="H288" s="9"/>
      <x:c r="I288" s="9"/>
      <x:c r="J288" s="9"/>
      <x:c r="K288" s="9"/>
      <x:c r="L288" s="9"/>
      <x:c r="M288" s="9"/>
      <x:c r="N288" s="9"/>
      <x:c r="O288" s="9"/>
      <x:c r="P288" s="9"/>
      <x:c r="Q288" s="9"/>
      <x:c r="R288" s="9"/>
      <x:c r="S288" s="9"/>
      <x:c r="T288" s="9"/>
      <x:c r="U288" s="9"/>
      <x:c r="V288" s="9"/>
      <x:c r="W288" s="12" t="str">
        <x:f>IF(A288="","",IF(COUNTIF($A$6:$A$505,A288)&gt;1,"记录ID重复",IF(COUNTIF('案件索引'!$A$6:$A$105,B288)=0,"案件ID未登记",IF(OR(C288="",D288="",F288="",G288="",H288="",I288="",J288="",K288="",M288="",N288="",Q288="",R288="",T288=""),"补对象、必要性、结果、依据或标注人",IF(AND(H288="条件必要",L288=""),"条件必要须写条件",IF(AND(R288="条件通过待执行核验",OR(M288="未知",M288="未满足",O288="",O288="未提供")),"条件或权限证据不足，退回核验","格式已填；仍须人工复核"))))))</x:f>
      </x:c>
    </x:row>
    <x:row r="289" ht="44" customHeight="1">
      <x:c r="A289" s="9"/>
      <x:c r="B289" s="9"/>
      <x:c r="C289" s="9"/>
      <x:c r="D289" s="9"/>
      <x:c r="E289" s="9"/>
      <x:c r="F289" s="9"/>
      <x:c r="G289" s="9"/>
      <x:c r="H289" s="9"/>
      <x:c r="I289" s="9"/>
      <x:c r="J289" s="9"/>
      <x:c r="K289" s="9"/>
      <x:c r="L289" s="9"/>
      <x:c r="M289" s="9"/>
      <x:c r="N289" s="9"/>
      <x:c r="O289" s="9"/>
      <x:c r="P289" s="9"/>
      <x:c r="Q289" s="9"/>
      <x:c r="R289" s="9"/>
      <x:c r="S289" s="9"/>
      <x:c r="T289" s="9"/>
      <x:c r="U289" s="9"/>
      <x:c r="V289" s="9"/>
      <x:c r="W289" s="12" t="str">
        <x:f>IF(A289="","",IF(COUNTIF($A$6:$A$505,A289)&gt;1,"记录ID重复",IF(COUNTIF('案件索引'!$A$6:$A$105,B289)=0,"案件ID未登记",IF(OR(C289="",D289="",F289="",G289="",H289="",I289="",J289="",K289="",M289="",N289="",Q289="",R289="",T289=""),"补对象、必要性、结果、依据或标注人",IF(AND(H289="条件必要",L289=""),"条件必要须写条件",IF(AND(R289="条件通过待执行核验",OR(M289="未知",M289="未满足",O289="",O289="未提供")),"条件或权限证据不足，退回核验","格式已填；仍须人工复核"))))))</x:f>
      </x:c>
    </x:row>
    <x:row r="290" ht="44" customHeight="1">
      <x:c r="A290" s="9"/>
      <x:c r="B290" s="9"/>
      <x:c r="C290" s="9"/>
      <x:c r="D290" s="9"/>
      <x:c r="E290" s="9"/>
      <x:c r="F290" s="9"/>
      <x:c r="G290" s="9"/>
      <x:c r="H290" s="9"/>
      <x:c r="I290" s="9"/>
      <x:c r="J290" s="9"/>
      <x:c r="K290" s="9"/>
      <x:c r="L290" s="9"/>
      <x:c r="M290" s="9"/>
      <x:c r="N290" s="9"/>
      <x:c r="O290" s="9"/>
      <x:c r="P290" s="9"/>
      <x:c r="Q290" s="9"/>
      <x:c r="R290" s="9"/>
      <x:c r="S290" s="9"/>
      <x:c r="T290" s="9"/>
      <x:c r="U290" s="9"/>
      <x:c r="V290" s="9"/>
      <x:c r="W290" s="12" t="str">
        <x:f>IF(A290="","",IF(COUNTIF($A$6:$A$505,A290)&gt;1,"记录ID重复",IF(COUNTIF('案件索引'!$A$6:$A$105,B290)=0,"案件ID未登记",IF(OR(C290="",D290="",F290="",G290="",H290="",I290="",J290="",K290="",M290="",N290="",Q290="",R290="",T290=""),"补对象、必要性、结果、依据或标注人",IF(AND(H290="条件必要",L290=""),"条件必要须写条件",IF(AND(R290="条件通过待执行核验",OR(M290="未知",M290="未满足",O290="",O290="未提供")),"条件或权限证据不足，退回核验","格式已填；仍须人工复核"))))))</x:f>
      </x:c>
    </x:row>
    <x:row r="291" ht="44" customHeight="1">
      <x:c r="A291" s="9"/>
      <x:c r="B291" s="9"/>
      <x:c r="C291" s="9"/>
      <x:c r="D291" s="9"/>
      <x:c r="E291" s="9"/>
      <x:c r="F291" s="9"/>
      <x:c r="G291" s="9"/>
      <x:c r="H291" s="9"/>
      <x:c r="I291" s="9"/>
      <x:c r="J291" s="9"/>
      <x:c r="K291" s="9"/>
      <x:c r="L291" s="9"/>
      <x:c r="M291" s="9"/>
      <x:c r="N291" s="9"/>
      <x:c r="O291" s="9"/>
      <x:c r="P291" s="9"/>
      <x:c r="Q291" s="9"/>
      <x:c r="R291" s="9"/>
      <x:c r="S291" s="9"/>
      <x:c r="T291" s="9"/>
      <x:c r="U291" s="9"/>
      <x:c r="V291" s="9"/>
      <x:c r="W291" s="12" t="str">
        <x:f>IF(A291="","",IF(COUNTIF($A$6:$A$505,A291)&gt;1,"记录ID重复",IF(COUNTIF('案件索引'!$A$6:$A$105,B291)=0,"案件ID未登记",IF(OR(C291="",D291="",F291="",G291="",H291="",I291="",J291="",K291="",M291="",N291="",Q291="",R291="",T291=""),"补对象、必要性、结果、依据或标注人",IF(AND(H291="条件必要",L291=""),"条件必要须写条件",IF(AND(R291="条件通过待执行核验",OR(M291="未知",M291="未满足",O291="",O291="未提供")),"条件或权限证据不足，退回核验","格式已填；仍须人工复核"))))))</x:f>
      </x:c>
    </x:row>
    <x:row r="292" ht="44" customHeight="1">
      <x:c r="A292" s="9"/>
      <x:c r="B292" s="9"/>
      <x:c r="C292" s="9"/>
      <x:c r="D292" s="9"/>
      <x:c r="E292" s="9"/>
      <x:c r="F292" s="9"/>
      <x:c r="G292" s="9"/>
      <x:c r="H292" s="9"/>
      <x:c r="I292" s="9"/>
      <x:c r="J292" s="9"/>
      <x:c r="K292" s="9"/>
      <x:c r="L292" s="9"/>
      <x:c r="M292" s="9"/>
      <x:c r="N292" s="9"/>
      <x:c r="O292" s="9"/>
      <x:c r="P292" s="9"/>
      <x:c r="Q292" s="9"/>
      <x:c r="R292" s="9"/>
      <x:c r="S292" s="9"/>
      <x:c r="T292" s="9"/>
      <x:c r="U292" s="9"/>
      <x:c r="V292" s="9"/>
      <x:c r="W292" s="12" t="str">
        <x:f>IF(A292="","",IF(COUNTIF($A$6:$A$505,A292)&gt;1,"记录ID重复",IF(COUNTIF('案件索引'!$A$6:$A$105,B292)=0,"案件ID未登记",IF(OR(C292="",D292="",F292="",G292="",H292="",I292="",J292="",K292="",M292="",N292="",Q292="",R292="",T292=""),"补对象、必要性、结果、依据或标注人",IF(AND(H292="条件必要",L292=""),"条件必要须写条件",IF(AND(R292="条件通过待执行核验",OR(M292="未知",M292="未满足",O292="",O292="未提供")),"条件或权限证据不足，退回核验","格式已填；仍须人工复核"))))))</x:f>
      </x:c>
    </x:row>
    <x:row r="293" ht="44" customHeight="1">
      <x:c r="A293" s="9"/>
      <x:c r="B293" s="9"/>
      <x:c r="C293" s="9"/>
      <x:c r="D293" s="9"/>
      <x:c r="E293" s="9"/>
      <x:c r="F293" s="9"/>
      <x:c r="G293" s="9"/>
      <x:c r="H293" s="9"/>
      <x:c r="I293" s="9"/>
      <x:c r="J293" s="9"/>
      <x:c r="K293" s="9"/>
      <x:c r="L293" s="9"/>
      <x:c r="M293" s="9"/>
      <x:c r="N293" s="9"/>
      <x:c r="O293" s="9"/>
      <x:c r="P293" s="9"/>
      <x:c r="Q293" s="9"/>
      <x:c r="R293" s="9"/>
      <x:c r="S293" s="9"/>
      <x:c r="T293" s="9"/>
      <x:c r="U293" s="9"/>
      <x:c r="V293" s="9"/>
      <x:c r="W293" s="12" t="str">
        <x:f>IF(A293="","",IF(COUNTIF($A$6:$A$505,A293)&gt;1,"记录ID重复",IF(COUNTIF('案件索引'!$A$6:$A$105,B293)=0,"案件ID未登记",IF(OR(C293="",D293="",F293="",G293="",H293="",I293="",J293="",K293="",M293="",N293="",Q293="",R293="",T293=""),"补对象、必要性、结果、依据或标注人",IF(AND(H293="条件必要",L293=""),"条件必要须写条件",IF(AND(R293="条件通过待执行核验",OR(M293="未知",M293="未满足",O293="",O293="未提供")),"条件或权限证据不足，退回核验","格式已填；仍须人工复核"))))))</x:f>
      </x:c>
    </x:row>
    <x:row r="294" ht="44" customHeight="1">
      <x:c r="A294" s="9"/>
      <x:c r="B294" s="9"/>
      <x:c r="C294" s="9"/>
      <x:c r="D294" s="9"/>
      <x:c r="E294" s="9"/>
      <x:c r="F294" s="9"/>
      <x:c r="G294" s="9"/>
      <x:c r="H294" s="9"/>
      <x:c r="I294" s="9"/>
      <x:c r="J294" s="9"/>
      <x:c r="K294" s="9"/>
      <x:c r="L294" s="9"/>
      <x:c r="M294" s="9"/>
      <x:c r="N294" s="9"/>
      <x:c r="O294" s="9"/>
      <x:c r="P294" s="9"/>
      <x:c r="Q294" s="9"/>
      <x:c r="R294" s="9"/>
      <x:c r="S294" s="9"/>
      <x:c r="T294" s="9"/>
      <x:c r="U294" s="9"/>
      <x:c r="V294" s="9"/>
      <x:c r="W294" s="12" t="str">
        <x:f>IF(A294="","",IF(COUNTIF($A$6:$A$505,A294)&gt;1,"记录ID重复",IF(COUNTIF('案件索引'!$A$6:$A$105,B294)=0,"案件ID未登记",IF(OR(C294="",D294="",F294="",G294="",H294="",I294="",J294="",K294="",M294="",N294="",Q294="",R294="",T294=""),"补对象、必要性、结果、依据或标注人",IF(AND(H294="条件必要",L294=""),"条件必要须写条件",IF(AND(R294="条件通过待执行核验",OR(M294="未知",M294="未满足",O294="",O294="未提供")),"条件或权限证据不足，退回核验","格式已填；仍须人工复核"))))))</x:f>
      </x:c>
    </x:row>
    <x:row r="295" ht="44" customHeight="1">
      <x:c r="A295" s="9"/>
      <x:c r="B295" s="9"/>
      <x:c r="C295" s="9"/>
      <x:c r="D295" s="9"/>
      <x:c r="E295" s="9"/>
      <x:c r="F295" s="9"/>
      <x:c r="G295" s="9"/>
      <x:c r="H295" s="9"/>
      <x:c r="I295" s="9"/>
      <x:c r="J295" s="9"/>
      <x:c r="K295" s="9"/>
      <x:c r="L295" s="9"/>
      <x:c r="M295" s="9"/>
      <x:c r="N295" s="9"/>
      <x:c r="O295" s="9"/>
      <x:c r="P295" s="9"/>
      <x:c r="Q295" s="9"/>
      <x:c r="R295" s="9"/>
      <x:c r="S295" s="9"/>
      <x:c r="T295" s="9"/>
      <x:c r="U295" s="9"/>
      <x:c r="V295" s="9"/>
      <x:c r="W295" s="12" t="str">
        <x:f>IF(A295="","",IF(COUNTIF($A$6:$A$505,A295)&gt;1,"记录ID重复",IF(COUNTIF('案件索引'!$A$6:$A$105,B295)=0,"案件ID未登记",IF(OR(C295="",D295="",F295="",G295="",H295="",I295="",J295="",K295="",M295="",N295="",Q295="",R295="",T295=""),"补对象、必要性、结果、依据或标注人",IF(AND(H295="条件必要",L295=""),"条件必要须写条件",IF(AND(R295="条件通过待执行核验",OR(M295="未知",M295="未满足",O295="",O295="未提供")),"条件或权限证据不足，退回核验","格式已填；仍须人工复核"))))))</x:f>
      </x:c>
    </x:row>
    <x:row r="296" ht="44" customHeight="1">
      <x:c r="A296" s="9"/>
      <x:c r="B296" s="9"/>
      <x:c r="C296" s="9"/>
      <x:c r="D296" s="9"/>
      <x:c r="E296" s="9"/>
      <x:c r="F296" s="9"/>
      <x:c r="G296" s="9"/>
      <x:c r="H296" s="9"/>
      <x:c r="I296" s="9"/>
      <x:c r="J296" s="9"/>
      <x:c r="K296" s="9"/>
      <x:c r="L296" s="9"/>
      <x:c r="M296" s="9"/>
      <x:c r="N296" s="9"/>
      <x:c r="O296" s="9"/>
      <x:c r="P296" s="9"/>
      <x:c r="Q296" s="9"/>
      <x:c r="R296" s="9"/>
      <x:c r="S296" s="9"/>
      <x:c r="T296" s="9"/>
      <x:c r="U296" s="9"/>
      <x:c r="V296" s="9"/>
      <x:c r="W296" s="12" t="str">
        <x:f>IF(A296="","",IF(COUNTIF($A$6:$A$505,A296)&gt;1,"记录ID重复",IF(COUNTIF('案件索引'!$A$6:$A$105,B296)=0,"案件ID未登记",IF(OR(C296="",D296="",F296="",G296="",H296="",I296="",J296="",K296="",M296="",N296="",Q296="",R296="",T296=""),"补对象、必要性、结果、依据或标注人",IF(AND(H296="条件必要",L296=""),"条件必要须写条件",IF(AND(R296="条件通过待执行核验",OR(M296="未知",M296="未满足",O296="",O296="未提供")),"条件或权限证据不足，退回核验","格式已填；仍须人工复核"))))))</x:f>
      </x:c>
    </x:row>
    <x:row r="297" ht="44" customHeight="1">
      <x:c r="A297" s="9"/>
      <x:c r="B297" s="9"/>
      <x:c r="C297" s="9"/>
      <x:c r="D297" s="9"/>
      <x:c r="E297" s="9"/>
      <x:c r="F297" s="9"/>
      <x:c r="G297" s="9"/>
      <x:c r="H297" s="9"/>
      <x:c r="I297" s="9"/>
      <x:c r="J297" s="9"/>
      <x:c r="K297" s="9"/>
      <x:c r="L297" s="9"/>
      <x:c r="M297" s="9"/>
      <x:c r="N297" s="9"/>
      <x:c r="O297" s="9"/>
      <x:c r="P297" s="9"/>
      <x:c r="Q297" s="9"/>
      <x:c r="R297" s="9"/>
      <x:c r="S297" s="9"/>
      <x:c r="T297" s="9"/>
      <x:c r="U297" s="9"/>
      <x:c r="V297" s="9"/>
      <x:c r="W297" s="12" t="str">
        <x:f>IF(A297="","",IF(COUNTIF($A$6:$A$505,A297)&gt;1,"记录ID重复",IF(COUNTIF('案件索引'!$A$6:$A$105,B297)=0,"案件ID未登记",IF(OR(C297="",D297="",F297="",G297="",H297="",I297="",J297="",K297="",M297="",N297="",Q297="",R297="",T297=""),"补对象、必要性、结果、依据或标注人",IF(AND(H297="条件必要",L297=""),"条件必要须写条件",IF(AND(R297="条件通过待执行核验",OR(M297="未知",M297="未满足",O297="",O297="未提供")),"条件或权限证据不足，退回核验","格式已填；仍须人工复核"))))))</x:f>
      </x:c>
    </x:row>
    <x:row r="298" ht="44" customHeight="1">
      <x:c r="A298" s="9"/>
      <x:c r="B298" s="9"/>
      <x:c r="C298" s="9"/>
      <x:c r="D298" s="9"/>
      <x:c r="E298" s="9"/>
      <x:c r="F298" s="9"/>
      <x:c r="G298" s="9"/>
      <x:c r="H298" s="9"/>
      <x:c r="I298" s="9"/>
      <x:c r="J298" s="9"/>
      <x:c r="K298" s="9"/>
      <x:c r="L298" s="9"/>
      <x:c r="M298" s="9"/>
      <x:c r="N298" s="9"/>
      <x:c r="O298" s="9"/>
      <x:c r="P298" s="9"/>
      <x:c r="Q298" s="9"/>
      <x:c r="R298" s="9"/>
      <x:c r="S298" s="9"/>
      <x:c r="T298" s="9"/>
      <x:c r="U298" s="9"/>
      <x:c r="V298" s="9"/>
      <x:c r="W298" s="12" t="str">
        <x:f>IF(A298="","",IF(COUNTIF($A$6:$A$505,A298)&gt;1,"记录ID重复",IF(COUNTIF('案件索引'!$A$6:$A$105,B298)=0,"案件ID未登记",IF(OR(C298="",D298="",F298="",G298="",H298="",I298="",J298="",K298="",M298="",N298="",Q298="",R298="",T298=""),"补对象、必要性、结果、依据或标注人",IF(AND(H298="条件必要",L298=""),"条件必要须写条件",IF(AND(R298="条件通过待执行核验",OR(M298="未知",M298="未满足",O298="",O298="未提供")),"条件或权限证据不足，退回核验","格式已填；仍须人工复核"))))))</x:f>
      </x:c>
    </x:row>
    <x:row r="299" ht="44" customHeight="1">
      <x:c r="A299" s="9"/>
      <x:c r="B299" s="9"/>
      <x:c r="C299" s="9"/>
      <x:c r="D299" s="9"/>
      <x:c r="E299" s="9"/>
      <x:c r="F299" s="9"/>
      <x:c r="G299" s="9"/>
      <x:c r="H299" s="9"/>
      <x:c r="I299" s="9"/>
      <x:c r="J299" s="9"/>
      <x:c r="K299" s="9"/>
      <x:c r="L299" s="9"/>
      <x:c r="M299" s="9"/>
      <x:c r="N299" s="9"/>
      <x:c r="O299" s="9"/>
      <x:c r="P299" s="9"/>
      <x:c r="Q299" s="9"/>
      <x:c r="R299" s="9"/>
      <x:c r="S299" s="9"/>
      <x:c r="T299" s="9"/>
      <x:c r="U299" s="9"/>
      <x:c r="V299" s="9"/>
      <x:c r="W299" s="12" t="str">
        <x:f>IF(A299="","",IF(COUNTIF($A$6:$A$505,A299)&gt;1,"记录ID重复",IF(COUNTIF('案件索引'!$A$6:$A$105,B299)=0,"案件ID未登记",IF(OR(C299="",D299="",F299="",G299="",H299="",I299="",J299="",K299="",M299="",N299="",Q299="",R299="",T299=""),"补对象、必要性、结果、依据或标注人",IF(AND(H299="条件必要",L299=""),"条件必要须写条件",IF(AND(R299="条件通过待执行核验",OR(M299="未知",M299="未满足",O299="",O299="未提供")),"条件或权限证据不足，退回核验","格式已填；仍须人工复核"))))))</x:f>
      </x:c>
    </x:row>
    <x:row r="300" ht="44" customHeight="1">
      <x:c r="A300" s="9"/>
      <x:c r="B300" s="9"/>
      <x:c r="C300" s="9"/>
      <x:c r="D300" s="9"/>
      <x:c r="E300" s="9"/>
      <x:c r="F300" s="9"/>
      <x:c r="G300" s="9"/>
      <x:c r="H300" s="9"/>
      <x:c r="I300" s="9"/>
      <x:c r="J300" s="9"/>
      <x:c r="K300" s="9"/>
      <x:c r="L300" s="9"/>
      <x:c r="M300" s="9"/>
      <x:c r="N300" s="9"/>
      <x:c r="O300" s="9"/>
      <x:c r="P300" s="9"/>
      <x:c r="Q300" s="9"/>
      <x:c r="R300" s="9"/>
      <x:c r="S300" s="9"/>
      <x:c r="T300" s="9"/>
      <x:c r="U300" s="9"/>
      <x:c r="V300" s="9"/>
      <x:c r="W300" s="12" t="str">
        <x:f>IF(A300="","",IF(COUNTIF($A$6:$A$505,A300)&gt;1,"记录ID重复",IF(COUNTIF('案件索引'!$A$6:$A$105,B300)=0,"案件ID未登记",IF(OR(C300="",D300="",F300="",G300="",H300="",I300="",J300="",K300="",M300="",N300="",Q300="",R300="",T300=""),"补对象、必要性、结果、依据或标注人",IF(AND(H300="条件必要",L300=""),"条件必要须写条件",IF(AND(R300="条件通过待执行核验",OR(M300="未知",M300="未满足",O300="",O300="未提供")),"条件或权限证据不足，退回核验","格式已填；仍须人工复核"))))))</x:f>
      </x:c>
    </x:row>
    <x:row r="301" ht="44" customHeight="1">
      <x:c r="A301" s="9"/>
      <x:c r="B301" s="9"/>
      <x:c r="C301" s="9"/>
      <x:c r="D301" s="9"/>
      <x:c r="E301" s="9"/>
      <x:c r="F301" s="9"/>
      <x:c r="G301" s="9"/>
      <x:c r="H301" s="9"/>
      <x:c r="I301" s="9"/>
      <x:c r="J301" s="9"/>
      <x:c r="K301" s="9"/>
      <x:c r="L301" s="9"/>
      <x:c r="M301" s="9"/>
      <x:c r="N301" s="9"/>
      <x:c r="O301" s="9"/>
      <x:c r="P301" s="9"/>
      <x:c r="Q301" s="9"/>
      <x:c r="R301" s="9"/>
      <x:c r="S301" s="9"/>
      <x:c r="T301" s="9"/>
      <x:c r="U301" s="9"/>
      <x:c r="V301" s="9"/>
      <x:c r="W301" s="12" t="str">
        <x:f>IF(A301="","",IF(COUNTIF($A$6:$A$505,A301)&gt;1,"记录ID重复",IF(COUNTIF('案件索引'!$A$6:$A$105,B301)=0,"案件ID未登记",IF(OR(C301="",D301="",F301="",G301="",H301="",I301="",J301="",K301="",M301="",N301="",Q301="",R301="",T301=""),"补对象、必要性、结果、依据或标注人",IF(AND(H301="条件必要",L301=""),"条件必要须写条件",IF(AND(R301="条件通过待执行核验",OR(M301="未知",M301="未满足",O301="",O301="未提供")),"条件或权限证据不足，退回核验","格式已填；仍须人工复核"))))))</x:f>
      </x:c>
    </x:row>
    <x:row r="302" ht="44" customHeight="1">
      <x:c r="A302" s="9"/>
      <x:c r="B302" s="9"/>
      <x:c r="C302" s="9"/>
      <x:c r="D302" s="9"/>
      <x:c r="E302" s="9"/>
      <x:c r="F302" s="9"/>
      <x:c r="G302" s="9"/>
      <x:c r="H302" s="9"/>
      <x:c r="I302" s="9"/>
      <x:c r="J302" s="9"/>
      <x:c r="K302" s="9"/>
      <x:c r="L302" s="9"/>
      <x:c r="M302" s="9"/>
      <x:c r="N302" s="9"/>
      <x:c r="O302" s="9"/>
      <x:c r="P302" s="9"/>
      <x:c r="Q302" s="9"/>
      <x:c r="R302" s="9"/>
      <x:c r="S302" s="9"/>
      <x:c r="T302" s="9"/>
      <x:c r="U302" s="9"/>
      <x:c r="V302" s="9"/>
      <x:c r="W302" s="12" t="str">
        <x:f>IF(A302="","",IF(COUNTIF($A$6:$A$505,A302)&gt;1,"记录ID重复",IF(COUNTIF('案件索引'!$A$6:$A$105,B302)=0,"案件ID未登记",IF(OR(C302="",D302="",F302="",G302="",H302="",I302="",J302="",K302="",M302="",N302="",Q302="",R302="",T302=""),"补对象、必要性、结果、依据或标注人",IF(AND(H302="条件必要",L302=""),"条件必要须写条件",IF(AND(R302="条件通过待执行核验",OR(M302="未知",M302="未满足",O302="",O302="未提供")),"条件或权限证据不足，退回核验","格式已填；仍须人工复核"))))))</x:f>
      </x:c>
    </x:row>
    <x:row r="303" ht="44" customHeight="1">
      <x:c r="A303" s="9"/>
      <x:c r="B303" s="9"/>
      <x:c r="C303" s="9"/>
      <x:c r="D303" s="9"/>
      <x:c r="E303" s="9"/>
      <x:c r="F303" s="9"/>
      <x:c r="G303" s="9"/>
      <x:c r="H303" s="9"/>
      <x:c r="I303" s="9"/>
      <x:c r="J303" s="9"/>
      <x:c r="K303" s="9"/>
      <x:c r="L303" s="9"/>
      <x:c r="M303" s="9"/>
      <x:c r="N303" s="9"/>
      <x:c r="O303" s="9"/>
      <x:c r="P303" s="9"/>
      <x:c r="Q303" s="9"/>
      <x:c r="R303" s="9"/>
      <x:c r="S303" s="9"/>
      <x:c r="T303" s="9"/>
      <x:c r="U303" s="9"/>
      <x:c r="V303" s="9"/>
      <x:c r="W303" s="12" t="str">
        <x:f>IF(A303="","",IF(COUNTIF($A$6:$A$505,A303)&gt;1,"记录ID重复",IF(COUNTIF('案件索引'!$A$6:$A$105,B303)=0,"案件ID未登记",IF(OR(C303="",D303="",F303="",G303="",H303="",I303="",J303="",K303="",M303="",N303="",Q303="",R303="",T303=""),"补对象、必要性、结果、依据或标注人",IF(AND(H303="条件必要",L303=""),"条件必要须写条件",IF(AND(R303="条件通过待执行核验",OR(M303="未知",M303="未满足",O303="",O303="未提供")),"条件或权限证据不足，退回核验","格式已填；仍须人工复核"))))))</x:f>
      </x:c>
    </x:row>
    <x:row r="304" ht="44" customHeight="1">
      <x:c r="A304" s="9"/>
      <x:c r="B304" s="9"/>
      <x:c r="C304" s="9"/>
      <x:c r="D304" s="9"/>
      <x:c r="E304" s="9"/>
      <x:c r="F304" s="9"/>
      <x:c r="G304" s="9"/>
      <x:c r="H304" s="9"/>
      <x:c r="I304" s="9"/>
      <x:c r="J304" s="9"/>
      <x:c r="K304" s="9"/>
      <x:c r="L304" s="9"/>
      <x:c r="M304" s="9"/>
      <x:c r="N304" s="9"/>
      <x:c r="O304" s="9"/>
      <x:c r="P304" s="9"/>
      <x:c r="Q304" s="9"/>
      <x:c r="R304" s="9"/>
      <x:c r="S304" s="9"/>
      <x:c r="T304" s="9"/>
      <x:c r="U304" s="9"/>
      <x:c r="V304" s="9"/>
      <x:c r="W304" s="12" t="str">
        <x:f>IF(A304="","",IF(COUNTIF($A$6:$A$505,A304)&gt;1,"记录ID重复",IF(COUNTIF('案件索引'!$A$6:$A$105,B304)=0,"案件ID未登记",IF(OR(C304="",D304="",F304="",G304="",H304="",I304="",J304="",K304="",M304="",N304="",Q304="",R304="",T304=""),"补对象、必要性、结果、依据或标注人",IF(AND(H304="条件必要",L304=""),"条件必要须写条件",IF(AND(R304="条件通过待执行核验",OR(M304="未知",M304="未满足",O304="",O304="未提供")),"条件或权限证据不足，退回核验","格式已填；仍须人工复核"))))))</x:f>
      </x:c>
    </x:row>
    <x:row r="305" ht="44" customHeight="1">
      <x:c r="A305" s="9"/>
      <x:c r="B305" s="9"/>
      <x:c r="C305" s="9"/>
      <x:c r="D305" s="9"/>
      <x:c r="E305" s="9"/>
      <x:c r="F305" s="9"/>
      <x:c r="G305" s="9"/>
      <x:c r="H305" s="9"/>
      <x:c r="I305" s="9"/>
      <x:c r="J305" s="9"/>
      <x:c r="K305" s="9"/>
      <x:c r="L305" s="9"/>
      <x:c r="M305" s="9"/>
      <x:c r="N305" s="9"/>
      <x:c r="O305" s="9"/>
      <x:c r="P305" s="9"/>
      <x:c r="Q305" s="9"/>
      <x:c r="R305" s="9"/>
      <x:c r="S305" s="9"/>
      <x:c r="T305" s="9"/>
      <x:c r="U305" s="9"/>
      <x:c r="V305" s="9"/>
      <x:c r="W305" s="12" t="str">
        <x:f>IF(A305="","",IF(COUNTIF($A$6:$A$505,A305)&gt;1,"记录ID重复",IF(COUNTIF('案件索引'!$A$6:$A$105,B305)=0,"案件ID未登记",IF(OR(C305="",D305="",F305="",G305="",H305="",I305="",J305="",K305="",M305="",N305="",Q305="",R305="",T305=""),"补对象、必要性、结果、依据或标注人",IF(AND(H305="条件必要",L305=""),"条件必要须写条件",IF(AND(R305="条件通过待执行核验",OR(M305="未知",M305="未满足",O305="",O305="未提供")),"条件或权限证据不足，退回核验","格式已填；仍须人工复核"))))))</x:f>
      </x:c>
    </x:row>
    <x:row r="306" ht="44" customHeight="1">
      <x:c r="A306" s="9"/>
      <x:c r="B306" s="9"/>
      <x:c r="C306" s="9"/>
      <x:c r="D306" s="9"/>
      <x:c r="E306" s="9"/>
      <x:c r="F306" s="9"/>
      <x:c r="G306" s="9"/>
      <x:c r="H306" s="9"/>
      <x:c r="I306" s="9"/>
      <x:c r="J306" s="9"/>
      <x:c r="K306" s="9"/>
      <x:c r="L306" s="9"/>
      <x:c r="M306" s="9"/>
      <x:c r="N306" s="9"/>
      <x:c r="O306" s="9"/>
      <x:c r="P306" s="9"/>
      <x:c r="Q306" s="9"/>
      <x:c r="R306" s="9"/>
      <x:c r="S306" s="9"/>
      <x:c r="T306" s="9"/>
      <x:c r="U306" s="9"/>
      <x:c r="V306" s="9"/>
      <x:c r="W306" s="12" t="str">
        <x:f>IF(A306="","",IF(COUNTIF($A$6:$A$505,A306)&gt;1,"记录ID重复",IF(COUNTIF('案件索引'!$A$6:$A$105,B306)=0,"案件ID未登记",IF(OR(C306="",D306="",F306="",G306="",H306="",I306="",J306="",K306="",M306="",N306="",Q306="",R306="",T306=""),"补对象、必要性、结果、依据或标注人",IF(AND(H306="条件必要",L306=""),"条件必要须写条件",IF(AND(R306="条件通过待执行核验",OR(M306="未知",M306="未满足",O306="",O306="未提供")),"条件或权限证据不足，退回核验","格式已填；仍须人工复核"))))))</x:f>
      </x:c>
    </x:row>
    <x:row r="307" ht="44" customHeight="1">
      <x:c r="A307" s="9"/>
      <x:c r="B307" s="9"/>
      <x:c r="C307" s="9"/>
      <x:c r="D307" s="9"/>
      <x:c r="E307" s="9"/>
      <x:c r="F307" s="9"/>
      <x:c r="G307" s="9"/>
      <x:c r="H307" s="9"/>
      <x:c r="I307" s="9"/>
      <x:c r="J307" s="9"/>
      <x:c r="K307" s="9"/>
      <x:c r="L307" s="9"/>
      <x:c r="M307" s="9"/>
      <x:c r="N307" s="9"/>
      <x:c r="O307" s="9"/>
      <x:c r="P307" s="9"/>
      <x:c r="Q307" s="9"/>
      <x:c r="R307" s="9"/>
      <x:c r="S307" s="9"/>
      <x:c r="T307" s="9"/>
      <x:c r="U307" s="9"/>
      <x:c r="V307" s="9"/>
      <x:c r="W307" s="12" t="str">
        <x:f>IF(A307="","",IF(COUNTIF($A$6:$A$505,A307)&gt;1,"记录ID重复",IF(COUNTIF('案件索引'!$A$6:$A$105,B307)=0,"案件ID未登记",IF(OR(C307="",D307="",F307="",G307="",H307="",I307="",J307="",K307="",M307="",N307="",Q307="",R307="",T307=""),"补对象、必要性、结果、依据或标注人",IF(AND(H307="条件必要",L307=""),"条件必要须写条件",IF(AND(R307="条件通过待执行核验",OR(M307="未知",M307="未满足",O307="",O307="未提供")),"条件或权限证据不足，退回核验","格式已填；仍须人工复核"))))))</x:f>
      </x:c>
    </x:row>
    <x:row r="308" ht="44" customHeight="1">
      <x:c r="A308" s="9"/>
      <x:c r="B308" s="9"/>
      <x:c r="C308" s="9"/>
      <x:c r="D308" s="9"/>
      <x:c r="E308" s="9"/>
      <x:c r="F308" s="9"/>
      <x:c r="G308" s="9"/>
      <x:c r="H308" s="9"/>
      <x:c r="I308" s="9"/>
      <x:c r="J308" s="9"/>
      <x:c r="K308" s="9"/>
      <x:c r="L308" s="9"/>
      <x:c r="M308" s="9"/>
      <x:c r="N308" s="9"/>
      <x:c r="O308" s="9"/>
      <x:c r="P308" s="9"/>
      <x:c r="Q308" s="9"/>
      <x:c r="R308" s="9"/>
      <x:c r="S308" s="9"/>
      <x:c r="T308" s="9"/>
      <x:c r="U308" s="9"/>
      <x:c r="V308" s="9"/>
      <x:c r="W308" s="12" t="str">
        <x:f>IF(A308="","",IF(COUNTIF($A$6:$A$505,A308)&gt;1,"记录ID重复",IF(COUNTIF('案件索引'!$A$6:$A$105,B308)=0,"案件ID未登记",IF(OR(C308="",D308="",F308="",G308="",H308="",I308="",J308="",K308="",M308="",N308="",Q308="",R308="",T308=""),"补对象、必要性、结果、依据或标注人",IF(AND(H308="条件必要",L308=""),"条件必要须写条件",IF(AND(R308="条件通过待执行核验",OR(M308="未知",M308="未满足",O308="",O308="未提供")),"条件或权限证据不足，退回核验","格式已填；仍须人工复核"))))))</x:f>
      </x:c>
    </x:row>
    <x:row r="309" ht="44" customHeight="1">
      <x:c r="A309" s="9"/>
      <x:c r="B309" s="9"/>
      <x:c r="C309" s="9"/>
      <x:c r="D309" s="9"/>
      <x:c r="E309" s="9"/>
      <x:c r="F309" s="9"/>
      <x:c r="G309" s="9"/>
      <x:c r="H309" s="9"/>
      <x:c r="I309" s="9"/>
      <x:c r="J309" s="9"/>
      <x:c r="K309" s="9"/>
      <x:c r="L309" s="9"/>
      <x:c r="M309" s="9"/>
      <x:c r="N309" s="9"/>
      <x:c r="O309" s="9"/>
      <x:c r="P309" s="9"/>
      <x:c r="Q309" s="9"/>
      <x:c r="R309" s="9"/>
      <x:c r="S309" s="9"/>
      <x:c r="T309" s="9"/>
      <x:c r="U309" s="9"/>
      <x:c r="V309" s="9"/>
      <x:c r="W309" s="12" t="str">
        <x:f>IF(A309="","",IF(COUNTIF($A$6:$A$505,A309)&gt;1,"记录ID重复",IF(COUNTIF('案件索引'!$A$6:$A$105,B309)=0,"案件ID未登记",IF(OR(C309="",D309="",F309="",G309="",H309="",I309="",J309="",K309="",M309="",N309="",Q309="",R309="",T309=""),"补对象、必要性、结果、依据或标注人",IF(AND(H309="条件必要",L309=""),"条件必要须写条件",IF(AND(R309="条件通过待执行核验",OR(M309="未知",M309="未满足",O309="",O309="未提供")),"条件或权限证据不足，退回核验","格式已填；仍须人工复核"))))))</x:f>
      </x:c>
    </x:row>
    <x:row r="310" ht="44" customHeight="1">
      <x:c r="A310" s="9"/>
      <x:c r="B310" s="9"/>
      <x:c r="C310" s="9"/>
      <x:c r="D310" s="9"/>
      <x:c r="E310" s="9"/>
      <x:c r="F310" s="9"/>
      <x:c r="G310" s="9"/>
      <x:c r="H310" s="9"/>
      <x:c r="I310" s="9"/>
      <x:c r="J310" s="9"/>
      <x:c r="K310" s="9"/>
      <x:c r="L310" s="9"/>
      <x:c r="M310" s="9"/>
      <x:c r="N310" s="9"/>
      <x:c r="O310" s="9"/>
      <x:c r="P310" s="9"/>
      <x:c r="Q310" s="9"/>
      <x:c r="R310" s="9"/>
      <x:c r="S310" s="9"/>
      <x:c r="T310" s="9"/>
      <x:c r="U310" s="9"/>
      <x:c r="V310" s="9"/>
      <x:c r="W310" s="12" t="str">
        <x:f>IF(A310="","",IF(COUNTIF($A$6:$A$505,A310)&gt;1,"记录ID重复",IF(COUNTIF('案件索引'!$A$6:$A$105,B310)=0,"案件ID未登记",IF(OR(C310="",D310="",F310="",G310="",H310="",I310="",J310="",K310="",M310="",N310="",Q310="",R310="",T310=""),"补对象、必要性、结果、依据或标注人",IF(AND(H310="条件必要",L310=""),"条件必要须写条件",IF(AND(R310="条件通过待执行核验",OR(M310="未知",M310="未满足",O310="",O310="未提供")),"条件或权限证据不足，退回核验","格式已填；仍须人工复核"))))))</x:f>
      </x:c>
    </x:row>
    <x:row r="311" ht="44" customHeight="1">
      <x:c r="A311" s="9"/>
      <x:c r="B311" s="9"/>
      <x:c r="C311" s="9"/>
      <x:c r="D311" s="9"/>
      <x:c r="E311" s="9"/>
      <x:c r="F311" s="9"/>
      <x:c r="G311" s="9"/>
      <x:c r="H311" s="9"/>
      <x:c r="I311" s="9"/>
      <x:c r="J311" s="9"/>
      <x:c r="K311" s="9"/>
      <x:c r="L311" s="9"/>
      <x:c r="M311" s="9"/>
      <x:c r="N311" s="9"/>
      <x:c r="O311" s="9"/>
      <x:c r="P311" s="9"/>
      <x:c r="Q311" s="9"/>
      <x:c r="R311" s="9"/>
      <x:c r="S311" s="9"/>
      <x:c r="T311" s="9"/>
      <x:c r="U311" s="9"/>
      <x:c r="V311" s="9"/>
      <x:c r="W311" s="12" t="str">
        <x:f>IF(A311="","",IF(COUNTIF($A$6:$A$505,A311)&gt;1,"记录ID重复",IF(COUNTIF('案件索引'!$A$6:$A$105,B311)=0,"案件ID未登记",IF(OR(C311="",D311="",F311="",G311="",H311="",I311="",J311="",K311="",M311="",N311="",Q311="",R311="",T311=""),"补对象、必要性、结果、依据或标注人",IF(AND(H311="条件必要",L311=""),"条件必要须写条件",IF(AND(R311="条件通过待执行核验",OR(M311="未知",M311="未满足",O311="",O311="未提供")),"条件或权限证据不足，退回核验","格式已填；仍须人工复核"))))))</x:f>
      </x:c>
    </x:row>
    <x:row r="312" ht="44" customHeight="1">
      <x:c r="A312" s="9"/>
      <x:c r="B312" s="9"/>
      <x:c r="C312" s="9"/>
      <x:c r="D312" s="9"/>
      <x:c r="E312" s="9"/>
      <x:c r="F312" s="9"/>
      <x:c r="G312" s="9"/>
      <x:c r="H312" s="9"/>
      <x:c r="I312" s="9"/>
      <x:c r="J312" s="9"/>
      <x:c r="K312" s="9"/>
      <x:c r="L312" s="9"/>
      <x:c r="M312" s="9"/>
      <x:c r="N312" s="9"/>
      <x:c r="O312" s="9"/>
      <x:c r="P312" s="9"/>
      <x:c r="Q312" s="9"/>
      <x:c r="R312" s="9"/>
      <x:c r="S312" s="9"/>
      <x:c r="T312" s="9"/>
      <x:c r="U312" s="9"/>
      <x:c r="V312" s="9"/>
      <x:c r="W312" s="12" t="str">
        <x:f>IF(A312="","",IF(COUNTIF($A$6:$A$505,A312)&gt;1,"记录ID重复",IF(COUNTIF('案件索引'!$A$6:$A$105,B312)=0,"案件ID未登记",IF(OR(C312="",D312="",F312="",G312="",H312="",I312="",J312="",K312="",M312="",N312="",Q312="",R312="",T312=""),"补对象、必要性、结果、依据或标注人",IF(AND(H312="条件必要",L312=""),"条件必要须写条件",IF(AND(R312="条件通过待执行核验",OR(M312="未知",M312="未满足",O312="",O312="未提供")),"条件或权限证据不足，退回核验","格式已填；仍须人工复核"))))))</x:f>
      </x:c>
    </x:row>
    <x:row r="313" ht="44" customHeight="1">
      <x:c r="A313" s="9"/>
      <x:c r="B313" s="9"/>
      <x:c r="C313" s="9"/>
      <x:c r="D313" s="9"/>
      <x:c r="E313" s="9"/>
      <x:c r="F313" s="9"/>
      <x:c r="G313" s="9"/>
      <x:c r="H313" s="9"/>
      <x:c r="I313" s="9"/>
      <x:c r="J313" s="9"/>
      <x:c r="K313" s="9"/>
      <x:c r="L313" s="9"/>
      <x:c r="M313" s="9"/>
      <x:c r="N313" s="9"/>
      <x:c r="O313" s="9"/>
      <x:c r="P313" s="9"/>
      <x:c r="Q313" s="9"/>
      <x:c r="R313" s="9"/>
      <x:c r="S313" s="9"/>
      <x:c r="T313" s="9"/>
      <x:c r="U313" s="9"/>
      <x:c r="V313" s="9"/>
      <x:c r="W313" s="12" t="str">
        <x:f>IF(A313="","",IF(COUNTIF($A$6:$A$505,A313)&gt;1,"记录ID重复",IF(COUNTIF('案件索引'!$A$6:$A$105,B313)=0,"案件ID未登记",IF(OR(C313="",D313="",F313="",G313="",H313="",I313="",J313="",K313="",M313="",N313="",Q313="",R313="",T313=""),"补对象、必要性、结果、依据或标注人",IF(AND(H313="条件必要",L313=""),"条件必要须写条件",IF(AND(R313="条件通过待执行核验",OR(M313="未知",M313="未满足",O313="",O313="未提供")),"条件或权限证据不足，退回核验","格式已填；仍须人工复核"))))))</x:f>
      </x:c>
    </x:row>
    <x:row r="314" ht="44" customHeight="1">
      <x:c r="A314" s="9"/>
      <x:c r="B314" s="9"/>
      <x:c r="C314" s="9"/>
      <x:c r="D314" s="9"/>
      <x:c r="E314" s="9"/>
      <x:c r="F314" s="9"/>
      <x:c r="G314" s="9"/>
      <x:c r="H314" s="9"/>
      <x:c r="I314" s="9"/>
      <x:c r="J314" s="9"/>
      <x:c r="K314" s="9"/>
      <x:c r="L314" s="9"/>
      <x:c r="M314" s="9"/>
      <x:c r="N314" s="9"/>
      <x:c r="O314" s="9"/>
      <x:c r="P314" s="9"/>
      <x:c r="Q314" s="9"/>
      <x:c r="R314" s="9"/>
      <x:c r="S314" s="9"/>
      <x:c r="T314" s="9"/>
      <x:c r="U314" s="9"/>
      <x:c r="V314" s="9"/>
      <x:c r="W314" s="12" t="str">
        <x:f>IF(A314="","",IF(COUNTIF($A$6:$A$505,A314)&gt;1,"记录ID重复",IF(COUNTIF('案件索引'!$A$6:$A$105,B314)=0,"案件ID未登记",IF(OR(C314="",D314="",F314="",G314="",H314="",I314="",J314="",K314="",M314="",N314="",Q314="",R314="",T314=""),"补对象、必要性、结果、依据或标注人",IF(AND(H314="条件必要",L314=""),"条件必要须写条件",IF(AND(R314="条件通过待执行核验",OR(M314="未知",M314="未满足",O314="",O314="未提供")),"条件或权限证据不足，退回核验","格式已填；仍须人工复核"))))))</x:f>
      </x:c>
    </x:row>
    <x:row r="315" ht="44" customHeight="1">
      <x:c r="A315" s="9"/>
      <x:c r="B315" s="9"/>
      <x:c r="C315" s="9"/>
      <x:c r="D315" s="9"/>
      <x:c r="E315" s="9"/>
      <x:c r="F315" s="9"/>
      <x:c r="G315" s="9"/>
      <x:c r="H315" s="9"/>
      <x:c r="I315" s="9"/>
      <x:c r="J315" s="9"/>
      <x:c r="K315" s="9"/>
      <x:c r="L315" s="9"/>
      <x:c r="M315" s="9"/>
      <x:c r="N315" s="9"/>
      <x:c r="O315" s="9"/>
      <x:c r="P315" s="9"/>
      <x:c r="Q315" s="9"/>
      <x:c r="R315" s="9"/>
      <x:c r="S315" s="9"/>
      <x:c r="T315" s="9"/>
      <x:c r="U315" s="9"/>
      <x:c r="V315" s="9"/>
      <x:c r="W315" s="12" t="str">
        <x:f>IF(A315="","",IF(COUNTIF($A$6:$A$505,A315)&gt;1,"记录ID重复",IF(COUNTIF('案件索引'!$A$6:$A$105,B315)=0,"案件ID未登记",IF(OR(C315="",D315="",F315="",G315="",H315="",I315="",J315="",K315="",M315="",N315="",Q315="",R315="",T315=""),"补对象、必要性、结果、依据或标注人",IF(AND(H315="条件必要",L315=""),"条件必要须写条件",IF(AND(R315="条件通过待执行核验",OR(M315="未知",M315="未满足",O315="",O315="未提供")),"条件或权限证据不足，退回核验","格式已填；仍须人工复核"))))))</x:f>
      </x:c>
    </x:row>
    <x:row r="316" ht="44" customHeight="1">
      <x:c r="A316" s="9"/>
      <x:c r="B316" s="9"/>
      <x:c r="C316" s="9"/>
      <x:c r="D316" s="9"/>
      <x:c r="E316" s="9"/>
      <x:c r="F316" s="9"/>
      <x:c r="G316" s="9"/>
      <x:c r="H316" s="9"/>
      <x:c r="I316" s="9"/>
      <x:c r="J316" s="9"/>
      <x:c r="K316" s="9"/>
      <x:c r="L316" s="9"/>
      <x:c r="M316" s="9"/>
      <x:c r="N316" s="9"/>
      <x:c r="O316" s="9"/>
      <x:c r="P316" s="9"/>
      <x:c r="Q316" s="9"/>
      <x:c r="R316" s="9"/>
      <x:c r="S316" s="9"/>
      <x:c r="T316" s="9"/>
      <x:c r="U316" s="9"/>
      <x:c r="V316" s="9"/>
      <x:c r="W316" s="12" t="str">
        <x:f>IF(A316="","",IF(COUNTIF($A$6:$A$505,A316)&gt;1,"记录ID重复",IF(COUNTIF('案件索引'!$A$6:$A$105,B316)=0,"案件ID未登记",IF(OR(C316="",D316="",F316="",G316="",H316="",I316="",J316="",K316="",M316="",N316="",Q316="",R316="",T316=""),"补对象、必要性、结果、依据或标注人",IF(AND(H316="条件必要",L316=""),"条件必要须写条件",IF(AND(R316="条件通过待执行核验",OR(M316="未知",M316="未满足",O316="",O316="未提供")),"条件或权限证据不足，退回核验","格式已填；仍须人工复核"))))))</x:f>
      </x:c>
    </x:row>
    <x:row r="317" ht="44" customHeight="1">
      <x:c r="A317" s="9"/>
      <x:c r="B317" s="9"/>
      <x:c r="C317" s="9"/>
      <x:c r="D317" s="9"/>
      <x:c r="E317" s="9"/>
      <x:c r="F317" s="9"/>
      <x:c r="G317" s="9"/>
      <x:c r="H317" s="9"/>
      <x:c r="I317" s="9"/>
      <x:c r="J317" s="9"/>
      <x:c r="K317" s="9"/>
      <x:c r="L317" s="9"/>
      <x:c r="M317" s="9"/>
      <x:c r="N317" s="9"/>
      <x:c r="O317" s="9"/>
      <x:c r="P317" s="9"/>
      <x:c r="Q317" s="9"/>
      <x:c r="R317" s="9"/>
      <x:c r="S317" s="9"/>
      <x:c r="T317" s="9"/>
      <x:c r="U317" s="9"/>
      <x:c r="V317" s="9"/>
      <x:c r="W317" s="12" t="str">
        <x:f>IF(A317="","",IF(COUNTIF($A$6:$A$505,A317)&gt;1,"记录ID重复",IF(COUNTIF('案件索引'!$A$6:$A$105,B317)=0,"案件ID未登记",IF(OR(C317="",D317="",F317="",G317="",H317="",I317="",J317="",K317="",M317="",N317="",Q317="",R317="",T317=""),"补对象、必要性、结果、依据或标注人",IF(AND(H317="条件必要",L317=""),"条件必要须写条件",IF(AND(R317="条件通过待执行核验",OR(M317="未知",M317="未满足",O317="",O317="未提供")),"条件或权限证据不足，退回核验","格式已填；仍须人工复核"))))))</x:f>
      </x:c>
    </x:row>
    <x:row r="318" ht="44" customHeight="1">
      <x:c r="A318" s="9"/>
      <x:c r="B318" s="9"/>
      <x:c r="C318" s="9"/>
      <x:c r="D318" s="9"/>
      <x:c r="E318" s="9"/>
      <x:c r="F318" s="9"/>
      <x:c r="G318" s="9"/>
      <x:c r="H318" s="9"/>
      <x:c r="I318" s="9"/>
      <x:c r="J318" s="9"/>
      <x:c r="K318" s="9"/>
      <x:c r="L318" s="9"/>
      <x:c r="M318" s="9"/>
      <x:c r="N318" s="9"/>
      <x:c r="O318" s="9"/>
      <x:c r="P318" s="9"/>
      <x:c r="Q318" s="9"/>
      <x:c r="R318" s="9"/>
      <x:c r="S318" s="9"/>
      <x:c r="T318" s="9"/>
      <x:c r="U318" s="9"/>
      <x:c r="V318" s="9"/>
      <x:c r="W318" s="12" t="str">
        <x:f>IF(A318="","",IF(COUNTIF($A$6:$A$505,A318)&gt;1,"记录ID重复",IF(COUNTIF('案件索引'!$A$6:$A$105,B318)=0,"案件ID未登记",IF(OR(C318="",D318="",F318="",G318="",H318="",I318="",J318="",K318="",M318="",N318="",Q318="",R318="",T318=""),"补对象、必要性、结果、依据或标注人",IF(AND(H318="条件必要",L318=""),"条件必要须写条件",IF(AND(R318="条件通过待执行核验",OR(M318="未知",M318="未满足",O318="",O318="未提供")),"条件或权限证据不足，退回核验","格式已填；仍须人工复核"))))))</x:f>
      </x:c>
    </x:row>
    <x:row r="319" ht="44" customHeight="1">
      <x:c r="A319" s="9"/>
      <x:c r="B319" s="9"/>
      <x:c r="C319" s="9"/>
      <x:c r="D319" s="9"/>
      <x:c r="E319" s="9"/>
      <x:c r="F319" s="9"/>
      <x:c r="G319" s="9"/>
      <x:c r="H319" s="9"/>
      <x:c r="I319" s="9"/>
      <x:c r="J319" s="9"/>
      <x:c r="K319" s="9"/>
      <x:c r="L319" s="9"/>
      <x:c r="M319" s="9"/>
      <x:c r="N319" s="9"/>
      <x:c r="O319" s="9"/>
      <x:c r="P319" s="9"/>
      <x:c r="Q319" s="9"/>
      <x:c r="R319" s="9"/>
      <x:c r="S319" s="9"/>
      <x:c r="T319" s="9"/>
      <x:c r="U319" s="9"/>
      <x:c r="V319" s="9"/>
      <x:c r="W319" s="12" t="str">
        <x:f>IF(A319="","",IF(COUNTIF($A$6:$A$505,A319)&gt;1,"记录ID重复",IF(COUNTIF('案件索引'!$A$6:$A$105,B319)=0,"案件ID未登记",IF(OR(C319="",D319="",F319="",G319="",H319="",I319="",J319="",K319="",M319="",N319="",Q319="",R319="",T319=""),"补对象、必要性、结果、依据或标注人",IF(AND(H319="条件必要",L319=""),"条件必要须写条件",IF(AND(R319="条件通过待执行核验",OR(M319="未知",M319="未满足",O319="",O319="未提供")),"条件或权限证据不足，退回核验","格式已填；仍须人工复核"))))))</x:f>
      </x:c>
    </x:row>
    <x:row r="320" ht="44" customHeight="1">
      <x:c r="A320" s="9"/>
      <x:c r="B320" s="9"/>
      <x:c r="C320" s="9"/>
      <x:c r="D320" s="9"/>
      <x:c r="E320" s="9"/>
      <x:c r="F320" s="9"/>
      <x:c r="G320" s="9"/>
      <x:c r="H320" s="9"/>
      <x:c r="I320" s="9"/>
      <x:c r="J320" s="9"/>
      <x:c r="K320" s="9"/>
      <x:c r="L320" s="9"/>
      <x:c r="M320" s="9"/>
      <x:c r="N320" s="9"/>
      <x:c r="O320" s="9"/>
      <x:c r="P320" s="9"/>
      <x:c r="Q320" s="9"/>
      <x:c r="R320" s="9"/>
      <x:c r="S320" s="9"/>
      <x:c r="T320" s="9"/>
      <x:c r="U320" s="9"/>
      <x:c r="V320" s="9"/>
      <x:c r="W320" s="12" t="str">
        <x:f>IF(A320="","",IF(COUNTIF($A$6:$A$505,A320)&gt;1,"记录ID重复",IF(COUNTIF('案件索引'!$A$6:$A$105,B320)=0,"案件ID未登记",IF(OR(C320="",D320="",F320="",G320="",H320="",I320="",J320="",K320="",M320="",N320="",Q320="",R320="",T320=""),"补对象、必要性、结果、依据或标注人",IF(AND(H320="条件必要",L320=""),"条件必要须写条件",IF(AND(R320="条件通过待执行核验",OR(M320="未知",M320="未满足",O320="",O320="未提供")),"条件或权限证据不足，退回核验","格式已填；仍须人工复核"))))))</x:f>
      </x:c>
    </x:row>
    <x:row r="321" ht="44" customHeight="1">
      <x:c r="A321" s="9"/>
      <x:c r="B321" s="9"/>
      <x:c r="C321" s="9"/>
      <x:c r="D321" s="9"/>
      <x:c r="E321" s="9"/>
      <x:c r="F321" s="9"/>
      <x:c r="G321" s="9"/>
      <x:c r="H321" s="9"/>
      <x:c r="I321" s="9"/>
      <x:c r="J321" s="9"/>
      <x:c r="K321" s="9"/>
      <x:c r="L321" s="9"/>
      <x:c r="M321" s="9"/>
      <x:c r="N321" s="9"/>
      <x:c r="O321" s="9"/>
      <x:c r="P321" s="9"/>
      <x:c r="Q321" s="9"/>
      <x:c r="R321" s="9"/>
      <x:c r="S321" s="9"/>
      <x:c r="T321" s="9"/>
      <x:c r="U321" s="9"/>
      <x:c r="V321" s="9"/>
      <x:c r="W321" s="12" t="str">
        <x:f>IF(A321="","",IF(COUNTIF($A$6:$A$505,A321)&gt;1,"记录ID重复",IF(COUNTIF('案件索引'!$A$6:$A$105,B321)=0,"案件ID未登记",IF(OR(C321="",D321="",F321="",G321="",H321="",I321="",J321="",K321="",M321="",N321="",Q321="",R321="",T321=""),"补对象、必要性、结果、依据或标注人",IF(AND(H321="条件必要",L321=""),"条件必要须写条件",IF(AND(R321="条件通过待执行核验",OR(M321="未知",M321="未满足",O321="",O321="未提供")),"条件或权限证据不足，退回核验","格式已填；仍须人工复核"))))))</x:f>
      </x:c>
    </x:row>
    <x:row r="322" ht="44" customHeight="1">
      <x:c r="A322" s="9"/>
      <x:c r="B322" s="9"/>
      <x:c r="C322" s="9"/>
      <x:c r="D322" s="9"/>
      <x:c r="E322" s="9"/>
      <x:c r="F322" s="9"/>
      <x:c r="G322" s="9"/>
      <x:c r="H322" s="9"/>
      <x:c r="I322" s="9"/>
      <x:c r="J322" s="9"/>
      <x:c r="K322" s="9"/>
      <x:c r="L322" s="9"/>
      <x:c r="M322" s="9"/>
      <x:c r="N322" s="9"/>
      <x:c r="O322" s="9"/>
      <x:c r="P322" s="9"/>
      <x:c r="Q322" s="9"/>
      <x:c r="R322" s="9"/>
      <x:c r="S322" s="9"/>
      <x:c r="T322" s="9"/>
      <x:c r="U322" s="9"/>
      <x:c r="V322" s="9"/>
      <x:c r="W322" s="12" t="str">
        <x:f>IF(A322="","",IF(COUNTIF($A$6:$A$505,A322)&gt;1,"记录ID重复",IF(COUNTIF('案件索引'!$A$6:$A$105,B322)=0,"案件ID未登记",IF(OR(C322="",D322="",F322="",G322="",H322="",I322="",J322="",K322="",M322="",N322="",Q322="",R322="",T322=""),"补对象、必要性、结果、依据或标注人",IF(AND(H322="条件必要",L322=""),"条件必要须写条件",IF(AND(R322="条件通过待执行核验",OR(M322="未知",M322="未满足",O322="",O322="未提供")),"条件或权限证据不足，退回核验","格式已填；仍须人工复核"))))))</x:f>
      </x:c>
    </x:row>
    <x:row r="323" ht="44" customHeight="1">
      <x:c r="A323" s="9"/>
      <x:c r="B323" s="9"/>
      <x:c r="C323" s="9"/>
      <x:c r="D323" s="9"/>
      <x:c r="E323" s="9"/>
      <x:c r="F323" s="9"/>
      <x:c r="G323" s="9"/>
      <x:c r="H323" s="9"/>
      <x:c r="I323" s="9"/>
      <x:c r="J323" s="9"/>
      <x:c r="K323" s="9"/>
      <x:c r="L323" s="9"/>
      <x:c r="M323" s="9"/>
      <x:c r="N323" s="9"/>
      <x:c r="O323" s="9"/>
      <x:c r="P323" s="9"/>
      <x:c r="Q323" s="9"/>
      <x:c r="R323" s="9"/>
      <x:c r="S323" s="9"/>
      <x:c r="T323" s="9"/>
      <x:c r="U323" s="9"/>
      <x:c r="V323" s="9"/>
      <x:c r="W323" s="12" t="str">
        <x:f>IF(A323="","",IF(COUNTIF($A$6:$A$505,A323)&gt;1,"记录ID重复",IF(COUNTIF('案件索引'!$A$6:$A$105,B323)=0,"案件ID未登记",IF(OR(C323="",D323="",F323="",G323="",H323="",I323="",J323="",K323="",M323="",N323="",Q323="",R323="",T323=""),"补对象、必要性、结果、依据或标注人",IF(AND(H323="条件必要",L323=""),"条件必要须写条件",IF(AND(R323="条件通过待执行核验",OR(M323="未知",M323="未满足",O323="",O323="未提供")),"条件或权限证据不足，退回核验","格式已填；仍须人工复核"))))))</x:f>
      </x:c>
    </x:row>
    <x:row r="324" ht="44" customHeight="1">
      <x:c r="A324" s="9"/>
      <x:c r="B324" s="9"/>
      <x:c r="C324" s="9"/>
      <x:c r="D324" s="9"/>
      <x:c r="E324" s="9"/>
      <x:c r="F324" s="9"/>
      <x:c r="G324" s="9"/>
      <x:c r="H324" s="9"/>
      <x:c r="I324" s="9"/>
      <x:c r="J324" s="9"/>
      <x:c r="K324" s="9"/>
      <x:c r="L324" s="9"/>
      <x:c r="M324" s="9"/>
      <x:c r="N324" s="9"/>
      <x:c r="O324" s="9"/>
      <x:c r="P324" s="9"/>
      <x:c r="Q324" s="9"/>
      <x:c r="R324" s="9"/>
      <x:c r="S324" s="9"/>
      <x:c r="T324" s="9"/>
      <x:c r="U324" s="9"/>
      <x:c r="V324" s="9"/>
      <x:c r="W324" s="12" t="str">
        <x:f>IF(A324="","",IF(COUNTIF($A$6:$A$505,A324)&gt;1,"记录ID重复",IF(COUNTIF('案件索引'!$A$6:$A$105,B324)=0,"案件ID未登记",IF(OR(C324="",D324="",F324="",G324="",H324="",I324="",J324="",K324="",M324="",N324="",Q324="",R324="",T324=""),"补对象、必要性、结果、依据或标注人",IF(AND(H324="条件必要",L324=""),"条件必要须写条件",IF(AND(R324="条件通过待执行核验",OR(M324="未知",M324="未满足",O324="",O324="未提供")),"条件或权限证据不足，退回核验","格式已填；仍须人工复核"))))))</x:f>
      </x:c>
    </x:row>
    <x:row r="325" ht="44" customHeight="1">
      <x:c r="A325" s="9"/>
      <x:c r="B325" s="9"/>
      <x:c r="C325" s="9"/>
      <x:c r="D325" s="9"/>
      <x:c r="E325" s="9"/>
      <x:c r="F325" s="9"/>
      <x:c r="G325" s="9"/>
      <x:c r="H325" s="9"/>
      <x:c r="I325" s="9"/>
      <x:c r="J325" s="9"/>
      <x:c r="K325" s="9"/>
      <x:c r="L325" s="9"/>
      <x:c r="M325" s="9"/>
      <x:c r="N325" s="9"/>
      <x:c r="O325" s="9"/>
      <x:c r="P325" s="9"/>
      <x:c r="Q325" s="9"/>
      <x:c r="R325" s="9"/>
      <x:c r="S325" s="9"/>
      <x:c r="T325" s="9"/>
      <x:c r="U325" s="9"/>
      <x:c r="V325" s="9"/>
      <x:c r="W325" s="12" t="str">
        <x:f>IF(A325="","",IF(COUNTIF($A$6:$A$505,A325)&gt;1,"记录ID重复",IF(COUNTIF('案件索引'!$A$6:$A$105,B325)=0,"案件ID未登记",IF(OR(C325="",D325="",F325="",G325="",H325="",I325="",J325="",K325="",M325="",N325="",Q325="",R325="",T325=""),"补对象、必要性、结果、依据或标注人",IF(AND(H325="条件必要",L325=""),"条件必要须写条件",IF(AND(R325="条件通过待执行核验",OR(M325="未知",M325="未满足",O325="",O325="未提供")),"条件或权限证据不足，退回核验","格式已填；仍须人工复核"))))))</x:f>
      </x:c>
    </x:row>
    <x:row r="326" ht="44" customHeight="1">
      <x:c r="A326" s="9"/>
      <x:c r="B326" s="9"/>
      <x:c r="C326" s="9"/>
      <x:c r="D326" s="9"/>
      <x:c r="E326" s="9"/>
      <x:c r="F326" s="9"/>
      <x:c r="G326" s="9"/>
      <x:c r="H326" s="9"/>
      <x:c r="I326" s="9"/>
      <x:c r="J326" s="9"/>
      <x:c r="K326" s="9"/>
      <x:c r="L326" s="9"/>
      <x:c r="M326" s="9"/>
      <x:c r="N326" s="9"/>
      <x:c r="O326" s="9"/>
      <x:c r="P326" s="9"/>
      <x:c r="Q326" s="9"/>
      <x:c r="R326" s="9"/>
      <x:c r="S326" s="9"/>
      <x:c r="T326" s="9"/>
      <x:c r="U326" s="9"/>
      <x:c r="V326" s="9"/>
      <x:c r="W326" s="12" t="str">
        <x:f>IF(A326="","",IF(COUNTIF($A$6:$A$505,A326)&gt;1,"记录ID重复",IF(COUNTIF('案件索引'!$A$6:$A$105,B326)=0,"案件ID未登记",IF(OR(C326="",D326="",F326="",G326="",H326="",I326="",J326="",K326="",M326="",N326="",Q326="",R326="",T326=""),"补对象、必要性、结果、依据或标注人",IF(AND(H326="条件必要",L326=""),"条件必要须写条件",IF(AND(R326="条件通过待执行核验",OR(M326="未知",M326="未满足",O326="",O326="未提供")),"条件或权限证据不足，退回核验","格式已填；仍须人工复核"))))))</x:f>
      </x:c>
    </x:row>
    <x:row r="327" ht="44" customHeight="1">
      <x:c r="A327" s="9"/>
      <x:c r="B327" s="9"/>
      <x:c r="C327" s="9"/>
      <x:c r="D327" s="9"/>
      <x:c r="E327" s="9"/>
      <x:c r="F327" s="9"/>
      <x:c r="G327" s="9"/>
      <x:c r="H327" s="9"/>
      <x:c r="I327" s="9"/>
      <x:c r="J327" s="9"/>
      <x:c r="K327" s="9"/>
      <x:c r="L327" s="9"/>
      <x:c r="M327" s="9"/>
      <x:c r="N327" s="9"/>
      <x:c r="O327" s="9"/>
      <x:c r="P327" s="9"/>
      <x:c r="Q327" s="9"/>
      <x:c r="R327" s="9"/>
      <x:c r="S327" s="9"/>
      <x:c r="T327" s="9"/>
      <x:c r="U327" s="9"/>
      <x:c r="V327" s="9"/>
      <x:c r="W327" s="12" t="str">
        <x:f>IF(A327="","",IF(COUNTIF($A$6:$A$505,A327)&gt;1,"记录ID重复",IF(COUNTIF('案件索引'!$A$6:$A$105,B327)=0,"案件ID未登记",IF(OR(C327="",D327="",F327="",G327="",H327="",I327="",J327="",K327="",M327="",N327="",Q327="",R327="",T327=""),"补对象、必要性、结果、依据或标注人",IF(AND(H327="条件必要",L327=""),"条件必要须写条件",IF(AND(R327="条件通过待执行核验",OR(M327="未知",M327="未满足",O327="",O327="未提供")),"条件或权限证据不足，退回核验","格式已填；仍须人工复核"))))))</x:f>
      </x:c>
    </x:row>
    <x:row r="328" ht="44" customHeight="1">
      <x:c r="A328" s="9"/>
      <x:c r="B328" s="9"/>
      <x:c r="C328" s="9"/>
      <x:c r="D328" s="9"/>
      <x:c r="E328" s="9"/>
      <x:c r="F328" s="9"/>
      <x:c r="G328" s="9"/>
      <x:c r="H328" s="9"/>
      <x:c r="I328" s="9"/>
      <x:c r="J328" s="9"/>
      <x:c r="K328" s="9"/>
      <x:c r="L328" s="9"/>
      <x:c r="M328" s="9"/>
      <x:c r="N328" s="9"/>
      <x:c r="O328" s="9"/>
      <x:c r="P328" s="9"/>
      <x:c r="Q328" s="9"/>
      <x:c r="R328" s="9"/>
      <x:c r="S328" s="9"/>
      <x:c r="T328" s="9"/>
      <x:c r="U328" s="9"/>
      <x:c r="V328" s="9"/>
      <x:c r="W328" s="12" t="str">
        <x:f>IF(A328="","",IF(COUNTIF($A$6:$A$505,A328)&gt;1,"记录ID重复",IF(COUNTIF('案件索引'!$A$6:$A$105,B328)=0,"案件ID未登记",IF(OR(C328="",D328="",F328="",G328="",H328="",I328="",J328="",K328="",M328="",N328="",Q328="",R328="",T328=""),"补对象、必要性、结果、依据或标注人",IF(AND(H328="条件必要",L328=""),"条件必要须写条件",IF(AND(R328="条件通过待执行核验",OR(M328="未知",M328="未满足",O328="",O328="未提供")),"条件或权限证据不足，退回核验","格式已填；仍须人工复核"))))))</x:f>
      </x:c>
    </x:row>
    <x:row r="329" ht="44" customHeight="1">
      <x:c r="A329" s="9"/>
      <x:c r="B329" s="9"/>
      <x:c r="C329" s="9"/>
      <x:c r="D329" s="9"/>
      <x:c r="E329" s="9"/>
      <x:c r="F329" s="9"/>
      <x:c r="G329" s="9"/>
      <x:c r="H329" s="9"/>
      <x:c r="I329" s="9"/>
      <x:c r="J329" s="9"/>
      <x:c r="K329" s="9"/>
      <x:c r="L329" s="9"/>
      <x:c r="M329" s="9"/>
      <x:c r="N329" s="9"/>
      <x:c r="O329" s="9"/>
      <x:c r="P329" s="9"/>
      <x:c r="Q329" s="9"/>
      <x:c r="R329" s="9"/>
      <x:c r="S329" s="9"/>
      <x:c r="T329" s="9"/>
      <x:c r="U329" s="9"/>
      <x:c r="V329" s="9"/>
      <x:c r="W329" s="12" t="str">
        <x:f>IF(A329="","",IF(COUNTIF($A$6:$A$505,A329)&gt;1,"记录ID重复",IF(COUNTIF('案件索引'!$A$6:$A$105,B329)=0,"案件ID未登记",IF(OR(C329="",D329="",F329="",G329="",H329="",I329="",J329="",K329="",M329="",N329="",Q329="",R329="",T329=""),"补对象、必要性、结果、依据或标注人",IF(AND(H329="条件必要",L329=""),"条件必要须写条件",IF(AND(R329="条件通过待执行核验",OR(M329="未知",M329="未满足",O329="",O329="未提供")),"条件或权限证据不足，退回核验","格式已填；仍须人工复核"))))))</x:f>
      </x:c>
    </x:row>
    <x:row r="330" ht="44" customHeight="1">
      <x:c r="A330" s="9"/>
      <x:c r="B330" s="9"/>
      <x:c r="C330" s="9"/>
      <x:c r="D330" s="9"/>
      <x:c r="E330" s="9"/>
      <x:c r="F330" s="9"/>
      <x:c r="G330" s="9"/>
      <x:c r="H330" s="9"/>
      <x:c r="I330" s="9"/>
      <x:c r="J330" s="9"/>
      <x:c r="K330" s="9"/>
      <x:c r="L330" s="9"/>
      <x:c r="M330" s="9"/>
      <x:c r="N330" s="9"/>
      <x:c r="O330" s="9"/>
      <x:c r="P330" s="9"/>
      <x:c r="Q330" s="9"/>
      <x:c r="R330" s="9"/>
      <x:c r="S330" s="9"/>
      <x:c r="T330" s="9"/>
      <x:c r="U330" s="9"/>
      <x:c r="V330" s="9"/>
      <x:c r="W330" s="12" t="str">
        <x:f>IF(A330="","",IF(COUNTIF($A$6:$A$505,A330)&gt;1,"记录ID重复",IF(COUNTIF('案件索引'!$A$6:$A$105,B330)=0,"案件ID未登记",IF(OR(C330="",D330="",F330="",G330="",H330="",I330="",J330="",K330="",M330="",N330="",Q330="",R330="",T330=""),"补对象、必要性、结果、依据或标注人",IF(AND(H330="条件必要",L330=""),"条件必要须写条件",IF(AND(R330="条件通过待执行核验",OR(M330="未知",M330="未满足",O330="",O330="未提供")),"条件或权限证据不足，退回核验","格式已填；仍须人工复核"))))))</x:f>
      </x:c>
    </x:row>
    <x:row r="331" ht="44" customHeight="1">
      <x:c r="A331" s="9"/>
      <x:c r="B331" s="9"/>
      <x:c r="C331" s="9"/>
      <x:c r="D331" s="9"/>
      <x:c r="E331" s="9"/>
      <x:c r="F331" s="9"/>
      <x:c r="G331" s="9"/>
      <x:c r="H331" s="9"/>
      <x:c r="I331" s="9"/>
      <x:c r="J331" s="9"/>
      <x:c r="K331" s="9"/>
      <x:c r="L331" s="9"/>
      <x:c r="M331" s="9"/>
      <x:c r="N331" s="9"/>
      <x:c r="O331" s="9"/>
      <x:c r="P331" s="9"/>
      <x:c r="Q331" s="9"/>
      <x:c r="R331" s="9"/>
      <x:c r="S331" s="9"/>
      <x:c r="T331" s="9"/>
      <x:c r="U331" s="9"/>
      <x:c r="V331" s="9"/>
      <x:c r="W331" s="12" t="str">
        <x:f>IF(A331="","",IF(COUNTIF($A$6:$A$505,A331)&gt;1,"记录ID重复",IF(COUNTIF('案件索引'!$A$6:$A$105,B331)=0,"案件ID未登记",IF(OR(C331="",D331="",F331="",G331="",H331="",I331="",J331="",K331="",M331="",N331="",Q331="",R331="",T331=""),"补对象、必要性、结果、依据或标注人",IF(AND(H331="条件必要",L331=""),"条件必要须写条件",IF(AND(R331="条件通过待执行核验",OR(M331="未知",M331="未满足",O331="",O331="未提供")),"条件或权限证据不足，退回核验","格式已填；仍须人工复核"))))))</x:f>
      </x:c>
    </x:row>
    <x:row r="332" ht="44" customHeight="1">
      <x:c r="A332" s="9"/>
      <x:c r="B332" s="9"/>
      <x:c r="C332" s="9"/>
      <x:c r="D332" s="9"/>
      <x:c r="E332" s="9"/>
      <x:c r="F332" s="9"/>
      <x:c r="G332" s="9"/>
      <x:c r="H332" s="9"/>
      <x:c r="I332" s="9"/>
      <x:c r="J332" s="9"/>
      <x:c r="K332" s="9"/>
      <x:c r="L332" s="9"/>
      <x:c r="M332" s="9"/>
      <x:c r="N332" s="9"/>
      <x:c r="O332" s="9"/>
      <x:c r="P332" s="9"/>
      <x:c r="Q332" s="9"/>
      <x:c r="R332" s="9"/>
      <x:c r="S332" s="9"/>
      <x:c r="T332" s="9"/>
      <x:c r="U332" s="9"/>
      <x:c r="V332" s="9"/>
      <x:c r="W332" s="12" t="str">
        <x:f>IF(A332="","",IF(COUNTIF($A$6:$A$505,A332)&gt;1,"记录ID重复",IF(COUNTIF('案件索引'!$A$6:$A$105,B332)=0,"案件ID未登记",IF(OR(C332="",D332="",F332="",G332="",H332="",I332="",J332="",K332="",M332="",N332="",Q332="",R332="",T332=""),"补对象、必要性、结果、依据或标注人",IF(AND(H332="条件必要",L332=""),"条件必要须写条件",IF(AND(R332="条件通过待执行核验",OR(M332="未知",M332="未满足",O332="",O332="未提供")),"条件或权限证据不足，退回核验","格式已填；仍须人工复核"))))))</x:f>
      </x:c>
    </x:row>
    <x:row r="333" ht="44" customHeight="1">
      <x:c r="A333" s="9"/>
      <x:c r="B333" s="9"/>
      <x:c r="C333" s="9"/>
      <x:c r="D333" s="9"/>
      <x:c r="E333" s="9"/>
      <x:c r="F333" s="9"/>
      <x:c r="G333" s="9"/>
      <x:c r="H333" s="9"/>
      <x:c r="I333" s="9"/>
      <x:c r="J333" s="9"/>
      <x:c r="K333" s="9"/>
      <x:c r="L333" s="9"/>
      <x:c r="M333" s="9"/>
      <x:c r="N333" s="9"/>
      <x:c r="O333" s="9"/>
      <x:c r="P333" s="9"/>
      <x:c r="Q333" s="9"/>
      <x:c r="R333" s="9"/>
      <x:c r="S333" s="9"/>
      <x:c r="T333" s="9"/>
      <x:c r="U333" s="9"/>
      <x:c r="V333" s="9"/>
      <x:c r="W333" s="12" t="str">
        <x:f>IF(A333="","",IF(COUNTIF($A$6:$A$505,A333)&gt;1,"记录ID重复",IF(COUNTIF('案件索引'!$A$6:$A$105,B333)=0,"案件ID未登记",IF(OR(C333="",D333="",F333="",G333="",H333="",I333="",J333="",K333="",M333="",N333="",Q333="",R333="",T333=""),"补对象、必要性、结果、依据或标注人",IF(AND(H333="条件必要",L333=""),"条件必要须写条件",IF(AND(R333="条件通过待执行核验",OR(M333="未知",M333="未满足",O333="",O333="未提供")),"条件或权限证据不足，退回核验","格式已填；仍须人工复核"))))))</x:f>
      </x:c>
    </x:row>
    <x:row r="334" ht="44" customHeight="1">
      <x:c r="A334" s="9"/>
      <x:c r="B334" s="9"/>
      <x:c r="C334" s="9"/>
      <x:c r="D334" s="9"/>
      <x:c r="E334" s="9"/>
      <x:c r="F334" s="9"/>
      <x:c r="G334" s="9"/>
      <x:c r="H334" s="9"/>
      <x:c r="I334" s="9"/>
      <x:c r="J334" s="9"/>
      <x:c r="K334" s="9"/>
      <x:c r="L334" s="9"/>
      <x:c r="M334" s="9"/>
      <x:c r="N334" s="9"/>
      <x:c r="O334" s="9"/>
      <x:c r="P334" s="9"/>
      <x:c r="Q334" s="9"/>
      <x:c r="R334" s="9"/>
      <x:c r="S334" s="9"/>
      <x:c r="T334" s="9"/>
      <x:c r="U334" s="9"/>
      <x:c r="V334" s="9"/>
      <x:c r="W334" s="12" t="str">
        <x:f>IF(A334="","",IF(COUNTIF($A$6:$A$505,A334)&gt;1,"记录ID重复",IF(COUNTIF('案件索引'!$A$6:$A$105,B334)=0,"案件ID未登记",IF(OR(C334="",D334="",F334="",G334="",H334="",I334="",J334="",K334="",M334="",N334="",Q334="",R334="",T334=""),"补对象、必要性、结果、依据或标注人",IF(AND(H334="条件必要",L334=""),"条件必要须写条件",IF(AND(R334="条件通过待执行核验",OR(M334="未知",M334="未满足",O334="",O334="未提供")),"条件或权限证据不足，退回核验","格式已填；仍须人工复核"))))))</x:f>
      </x:c>
    </x:row>
    <x:row r="335" ht="44" customHeight="1">
      <x:c r="A335" s="9"/>
      <x:c r="B335" s="9"/>
      <x:c r="C335" s="9"/>
      <x:c r="D335" s="9"/>
      <x:c r="E335" s="9"/>
      <x:c r="F335" s="9"/>
      <x:c r="G335" s="9"/>
      <x:c r="H335" s="9"/>
      <x:c r="I335" s="9"/>
      <x:c r="J335" s="9"/>
      <x:c r="K335" s="9"/>
      <x:c r="L335" s="9"/>
      <x:c r="M335" s="9"/>
      <x:c r="N335" s="9"/>
      <x:c r="O335" s="9"/>
      <x:c r="P335" s="9"/>
      <x:c r="Q335" s="9"/>
      <x:c r="R335" s="9"/>
      <x:c r="S335" s="9"/>
      <x:c r="T335" s="9"/>
      <x:c r="U335" s="9"/>
      <x:c r="V335" s="9"/>
      <x:c r="W335" s="12" t="str">
        <x:f>IF(A335="","",IF(COUNTIF($A$6:$A$505,A335)&gt;1,"记录ID重复",IF(COUNTIF('案件索引'!$A$6:$A$105,B335)=0,"案件ID未登记",IF(OR(C335="",D335="",F335="",G335="",H335="",I335="",J335="",K335="",M335="",N335="",Q335="",R335="",T335=""),"补对象、必要性、结果、依据或标注人",IF(AND(H335="条件必要",L335=""),"条件必要须写条件",IF(AND(R335="条件通过待执行核验",OR(M335="未知",M335="未满足",O335="",O335="未提供")),"条件或权限证据不足，退回核验","格式已填；仍须人工复核"))))))</x:f>
      </x:c>
    </x:row>
    <x:row r="336" ht="44" customHeight="1">
      <x:c r="A336" s="9"/>
      <x:c r="B336" s="9"/>
      <x:c r="C336" s="9"/>
      <x:c r="D336" s="9"/>
      <x:c r="E336" s="9"/>
      <x:c r="F336" s="9"/>
      <x:c r="G336" s="9"/>
      <x:c r="H336" s="9"/>
      <x:c r="I336" s="9"/>
      <x:c r="J336" s="9"/>
      <x:c r="K336" s="9"/>
      <x:c r="L336" s="9"/>
      <x:c r="M336" s="9"/>
      <x:c r="N336" s="9"/>
      <x:c r="O336" s="9"/>
      <x:c r="P336" s="9"/>
      <x:c r="Q336" s="9"/>
      <x:c r="R336" s="9"/>
      <x:c r="S336" s="9"/>
      <x:c r="T336" s="9"/>
      <x:c r="U336" s="9"/>
      <x:c r="V336" s="9"/>
      <x:c r="W336" s="12" t="str">
        <x:f>IF(A336="","",IF(COUNTIF($A$6:$A$505,A336)&gt;1,"记录ID重复",IF(COUNTIF('案件索引'!$A$6:$A$105,B336)=0,"案件ID未登记",IF(OR(C336="",D336="",F336="",G336="",H336="",I336="",J336="",K336="",M336="",N336="",Q336="",R336="",T336=""),"补对象、必要性、结果、依据或标注人",IF(AND(H336="条件必要",L336=""),"条件必要须写条件",IF(AND(R336="条件通过待执行核验",OR(M336="未知",M336="未满足",O336="",O336="未提供")),"条件或权限证据不足，退回核验","格式已填；仍须人工复核"))))))</x:f>
      </x:c>
    </x:row>
    <x:row r="337" ht="44" customHeight="1">
      <x:c r="A337" s="9"/>
      <x:c r="B337" s="9"/>
      <x:c r="C337" s="9"/>
      <x:c r="D337" s="9"/>
      <x:c r="E337" s="9"/>
      <x:c r="F337" s="9"/>
      <x:c r="G337" s="9"/>
      <x:c r="H337" s="9"/>
      <x:c r="I337" s="9"/>
      <x:c r="J337" s="9"/>
      <x:c r="K337" s="9"/>
      <x:c r="L337" s="9"/>
      <x:c r="M337" s="9"/>
      <x:c r="N337" s="9"/>
      <x:c r="O337" s="9"/>
      <x:c r="P337" s="9"/>
      <x:c r="Q337" s="9"/>
      <x:c r="R337" s="9"/>
      <x:c r="S337" s="9"/>
      <x:c r="T337" s="9"/>
      <x:c r="U337" s="9"/>
      <x:c r="V337" s="9"/>
      <x:c r="W337" s="12" t="str">
        <x:f>IF(A337="","",IF(COUNTIF($A$6:$A$505,A337)&gt;1,"记录ID重复",IF(COUNTIF('案件索引'!$A$6:$A$105,B337)=0,"案件ID未登记",IF(OR(C337="",D337="",F337="",G337="",H337="",I337="",J337="",K337="",M337="",N337="",Q337="",R337="",T337=""),"补对象、必要性、结果、依据或标注人",IF(AND(H337="条件必要",L337=""),"条件必要须写条件",IF(AND(R337="条件通过待执行核验",OR(M337="未知",M337="未满足",O337="",O337="未提供")),"条件或权限证据不足，退回核验","格式已填；仍须人工复核"))))))</x:f>
      </x:c>
    </x:row>
    <x:row r="338" ht="44" customHeight="1">
      <x:c r="A338" s="9"/>
      <x:c r="B338" s="9"/>
      <x:c r="C338" s="9"/>
      <x:c r="D338" s="9"/>
      <x:c r="E338" s="9"/>
      <x:c r="F338" s="9"/>
      <x:c r="G338" s="9"/>
      <x:c r="H338" s="9"/>
      <x:c r="I338" s="9"/>
      <x:c r="J338" s="9"/>
      <x:c r="K338" s="9"/>
      <x:c r="L338" s="9"/>
      <x:c r="M338" s="9"/>
      <x:c r="N338" s="9"/>
      <x:c r="O338" s="9"/>
      <x:c r="P338" s="9"/>
      <x:c r="Q338" s="9"/>
      <x:c r="R338" s="9"/>
      <x:c r="S338" s="9"/>
      <x:c r="T338" s="9"/>
      <x:c r="U338" s="9"/>
      <x:c r="V338" s="9"/>
      <x:c r="W338" s="12" t="str">
        <x:f>IF(A338="","",IF(COUNTIF($A$6:$A$505,A338)&gt;1,"记录ID重复",IF(COUNTIF('案件索引'!$A$6:$A$105,B338)=0,"案件ID未登记",IF(OR(C338="",D338="",F338="",G338="",H338="",I338="",J338="",K338="",M338="",N338="",Q338="",R338="",T338=""),"补对象、必要性、结果、依据或标注人",IF(AND(H338="条件必要",L338=""),"条件必要须写条件",IF(AND(R338="条件通过待执行核验",OR(M338="未知",M338="未满足",O338="",O338="未提供")),"条件或权限证据不足，退回核验","格式已填；仍须人工复核"))))))</x:f>
      </x:c>
    </x:row>
    <x:row r="339" ht="44" customHeight="1">
      <x:c r="A339" s="9"/>
      <x:c r="B339" s="9"/>
      <x:c r="C339" s="9"/>
      <x:c r="D339" s="9"/>
      <x:c r="E339" s="9"/>
      <x:c r="F339" s="9"/>
      <x:c r="G339" s="9"/>
      <x:c r="H339" s="9"/>
      <x:c r="I339" s="9"/>
      <x:c r="J339" s="9"/>
      <x:c r="K339" s="9"/>
      <x:c r="L339" s="9"/>
      <x:c r="M339" s="9"/>
      <x:c r="N339" s="9"/>
      <x:c r="O339" s="9"/>
      <x:c r="P339" s="9"/>
      <x:c r="Q339" s="9"/>
      <x:c r="R339" s="9"/>
      <x:c r="S339" s="9"/>
      <x:c r="T339" s="9"/>
      <x:c r="U339" s="9"/>
      <x:c r="V339" s="9"/>
      <x:c r="W339" s="12" t="str">
        <x:f>IF(A339="","",IF(COUNTIF($A$6:$A$505,A339)&gt;1,"记录ID重复",IF(COUNTIF('案件索引'!$A$6:$A$105,B339)=0,"案件ID未登记",IF(OR(C339="",D339="",F339="",G339="",H339="",I339="",J339="",K339="",M339="",N339="",Q339="",R339="",T339=""),"补对象、必要性、结果、依据或标注人",IF(AND(H339="条件必要",L339=""),"条件必要须写条件",IF(AND(R339="条件通过待执行核验",OR(M339="未知",M339="未满足",O339="",O339="未提供")),"条件或权限证据不足，退回核验","格式已填；仍须人工复核"))))))</x:f>
      </x:c>
    </x:row>
    <x:row r="340" ht="44" customHeight="1">
      <x:c r="A340" s="9"/>
      <x:c r="B340" s="9"/>
      <x:c r="C340" s="9"/>
      <x:c r="D340" s="9"/>
      <x:c r="E340" s="9"/>
      <x:c r="F340" s="9"/>
      <x:c r="G340" s="9"/>
      <x:c r="H340" s="9"/>
      <x:c r="I340" s="9"/>
      <x:c r="J340" s="9"/>
      <x:c r="K340" s="9"/>
      <x:c r="L340" s="9"/>
      <x:c r="M340" s="9"/>
      <x:c r="N340" s="9"/>
      <x:c r="O340" s="9"/>
      <x:c r="P340" s="9"/>
      <x:c r="Q340" s="9"/>
      <x:c r="R340" s="9"/>
      <x:c r="S340" s="9"/>
      <x:c r="T340" s="9"/>
      <x:c r="U340" s="9"/>
      <x:c r="V340" s="9"/>
      <x:c r="W340" s="12" t="str">
        <x:f>IF(A340="","",IF(COUNTIF($A$6:$A$505,A340)&gt;1,"记录ID重复",IF(COUNTIF('案件索引'!$A$6:$A$105,B340)=0,"案件ID未登记",IF(OR(C340="",D340="",F340="",G340="",H340="",I340="",J340="",K340="",M340="",N340="",Q340="",R340="",T340=""),"补对象、必要性、结果、依据或标注人",IF(AND(H340="条件必要",L340=""),"条件必要须写条件",IF(AND(R340="条件通过待执行核验",OR(M340="未知",M340="未满足",O340="",O340="未提供")),"条件或权限证据不足，退回核验","格式已填；仍须人工复核"))))))</x:f>
      </x:c>
    </x:row>
    <x:row r="341" ht="44" customHeight="1">
      <x:c r="A341" s="9"/>
      <x:c r="B341" s="9"/>
      <x:c r="C341" s="9"/>
      <x:c r="D341" s="9"/>
      <x:c r="E341" s="9"/>
      <x:c r="F341" s="9"/>
      <x:c r="G341" s="9"/>
      <x:c r="H341" s="9"/>
      <x:c r="I341" s="9"/>
      <x:c r="J341" s="9"/>
      <x:c r="K341" s="9"/>
      <x:c r="L341" s="9"/>
      <x:c r="M341" s="9"/>
      <x:c r="N341" s="9"/>
      <x:c r="O341" s="9"/>
      <x:c r="P341" s="9"/>
      <x:c r="Q341" s="9"/>
      <x:c r="R341" s="9"/>
      <x:c r="S341" s="9"/>
      <x:c r="T341" s="9"/>
      <x:c r="U341" s="9"/>
      <x:c r="V341" s="9"/>
      <x:c r="W341" s="12" t="str">
        <x:f>IF(A341="","",IF(COUNTIF($A$6:$A$505,A341)&gt;1,"记录ID重复",IF(COUNTIF('案件索引'!$A$6:$A$105,B341)=0,"案件ID未登记",IF(OR(C341="",D341="",F341="",G341="",H341="",I341="",J341="",K341="",M341="",N341="",Q341="",R341="",T341=""),"补对象、必要性、结果、依据或标注人",IF(AND(H341="条件必要",L341=""),"条件必要须写条件",IF(AND(R341="条件通过待执行核验",OR(M341="未知",M341="未满足",O341="",O341="未提供")),"条件或权限证据不足，退回核验","格式已填；仍须人工复核"))))))</x:f>
      </x:c>
    </x:row>
    <x:row r="342" ht="44" customHeight="1">
      <x:c r="A342" s="9"/>
      <x:c r="B342" s="9"/>
      <x:c r="C342" s="9"/>
      <x:c r="D342" s="9"/>
      <x:c r="E342" s="9"/>
      <x:c r="F342" s="9"/>
      <x:c r="G342" s="9"/>
      <x:c r="H342" s="9"/>
      <x:c r="I342" s="9"/>
      <x:c r="J342" s="9"/>
      <x:c r="K342" s="9"/>
      <x:c r="L342" s="9"/>
      <x:c r="M342" s="9"/>
      <x:c r="N342" s="9"/>
      <x:c r="O342" s="9"/>
      <x:c r="P342" s="9"/>
      <x:c r="Q342" s="9"/>
      <x:c r="R342" s="9"/>
      <x:c r="S342" s="9"/>
      <x:c r="T342" s="9"/>
      <x:c r="U342" s="9"/>
      <x:c r="V342" s="9"/>
      <x:c r="W342" s="12" t="str">
        <x:f>IF(A342="","",IF(COUNTIF($A$6:$A$505,A342)&gt;1,"记录ID重复",IF(COUNTIF('案件索引'!$A$6:$A$105,B342)=0,"案件ID未登记",IF(OR(C342="",D342="",F342="",G342="",H342="",I342="",J342="",K342="",M342="",N342="",Q342="",R342="",T342=""),"补对象、必要性、结果、依据或标注人",IF(AND(H342="条件必要",L342=""),"条件必要须写条件",IF(AND(R342="条件通过待执行核验",OR(M342="未知",M342="未满足",O342="",O342="未提供")),"条件或权限证据不足，退回核验","格式已填；仍须人工复核"))))))</x:f>
      </x:c>
    </x:row>
    <x:row r="343" ht="44" customHeight="1">
      <x:c r="A343" s="9"/>
      <x:c r="B343" s="9"/>
      <x:c r="C343" s="9"/>
      <x:c r="D343" s="9"/>
      <x:c r="E343" s="9"/>
      <x:c r="F343" s="9"/>
      <x:c r="G343" s="9"/>
      <x:c r="H343" s="9"/>
      <x:c r="I343" s="9"/>
      <x:c r="J343" s="9"/>
      <x:c r="K343" s="9"/>
      <x:c r="L343" s="9"/>
      <x:c r="M343" s="9"/>
      <x:c r="N343" s="9"/>
      <x:c r="O343" s="9"/>
      <x:c r="P343" s="9"/>
      <x:c r="Q343" s="9"/>
      <x:c r="R343" s="9"/>
      <x:c r="S343" s="9"/>
      <x:c r="T343" s="9"/>
      <x:c r="U343" s="9"/>
      <x:c r="V343" s="9"/>
      <x:c r="W343" s="12" t="str">
        <x:f>IF(A343="","",IF(COUNTIF($A$6:$A$505,A343)&gt;1,"记录ID重复",IF(COUNTIF('案件索引'!$A$6:$A$105,B343)=0,"案件ID未登记",IF(OR(C343="",D343="",F343="",G343="",H343="",I343="",J343="",K343="",M343="",N343="",Q343="",R343="",T343=""),"补对象、必要性、结果、依据或标注人",IF(AND(H343="条件必要",L343=""),"条件必要须写条件",IF(AND(R343="条件通过待执行核验",OR(M343="未知",M343="未满足",O343="",O343="未提供")),"条件或权限证据不足，退回核验","格式已填；仍须人工复核"))))))</x:f>
      </x:c>
    </x:row>
    <x:row r="344" ht="44" customHeight="1">
      <x:c r="A344" s="9"/>
      <x:c r="B344" s="9"/>
      <x:c r="C344" s="9"/>
      <x:c r="D344" s="9"/>
      <x:c r="E344" s="9"/>
      <x:c r="F344" s="9"/>
      <x:c r="G344" s="9"/>
      <x:c r="H344" s="9"/>
      <x:c r="I344" s="9"/>
      <x:c r="J344" s="9"/>
      <x:c r="K344" s="9"/>
      <x:c r="L344" s="9"/>
      <x:c r="M344" s="9"/>
      <x:c r="N344" s="9"/>
      <x:c r="O344" s="9"/>
      <x:c r="P344" s="9"/>
      <x:c r="Q344" s="9"/>
      <x:c r="R344" s="9"/>
      <x:c r="S344" s="9"/>
      <x:c r="T344" s="9"/>
      <x:c r="U344" s="9"/>
      <x:c r="V344" s="9"/>
      <x:c r="W344" s="12" t="str">
        <x:f>IF(A344="","",IF(COUNTIF($A$6:$A$505,A344)&gt;1,"记录ID重复",IF(COUNTIF('案件索引'!$A$6:$A$105,B344)=0,"案件ID未登记",IF(OR(C344="",D344="",F344="",G344="",H344="",I344="",J344="",K344="",M344="",N344="",Q344="",R344="",T344=""),"补对象、必要性、结果、依据或标注人",IF(AND(H344="条件必要",L344=""),"条件必要须写条件",IF(AND(R344="条件通过待执行核验",OR(M344="未知",M344="未满足",O344="",O344="未提供")),"条件或权限证据不足，退回核验","格式已填；仍须人工复核"))))))</x:f>
      </x:c>
    </x:row>
    <x:row r="345" ht="44" customHeight="1">
      <x:c r="A345" s="9"/>
      <x:c r="B345" s="9"/>
      <x:c r="C345" s="9"/>
      <x:c r="D345" s="9"/>
      <x:c r="E345" s="9"/>
      <x:c r="F345" s="9"/>
      <x:c r="G345" s="9"/>
      <x:c r="H345" s="9"/>
      <x:c r="I345" s="9"/>
      <x:c r="J345" s="9"/>
      <x:c r="K345" s="9"/>
      <x:c r="L345" s="9"/>
      <x:c r="M345" s="9"/>
      <x:c r="N345" s="9"/>
      <x:c r="O345" s="9"/>
      <x:c r="P345" s="9"/>
      <x:c r="Q345" s="9"/>
      <x:c r="R345" s="9"/>
      <x:c r="S345" s="9"/>
      <x:c r="T345" s="9"/>
      <x:c r="U345" s="9"/>
      <x:c r="V345" s="9"/>
      <x:c r="W345" s="12" t="str">
        <x:f>IF(A345="","",IF(COUNTIF($A$6:$A$505,A345)&gt;1,"记录ID重复",IF(COUNTIF('案件索引'!$A$6:$A$105,B345)=0,"案件ID未登记",IF(OR(C345="",D345="",F345="",G345="",H345="",I345="",J345="",K345="",M345="",N345="",Q345="",R345="",T345=""),"补对象、必要性、结果、依据或标注人",IF(AND(H345="条件必要",L345=""),"条件必要须写条件",IF(AND(R345="条件通过待执行核验",OR(M345="未知",M345="未满足",O345="",O345="未提供")),"条件或权限证据不足，退回核验","格式已填；仍须人工复核"))))))</x:f>
      </x:c>
    </x:row>
    <x:row r="346" ht="44" customHeight="1">
      <x:c r="A346" s="9"/>
      <x:c r="B346" s="9"/>
      <x:c r="C346" s="9"/>
      <x:c r="D346" s="9"/>
      <x:c r="E346" s="9"/>
      <x:c r="F346" s="9"/>
      <x:c r="G346" s="9"/>
      <x:c r="H346" s="9"/>
      <x:c r="I346" s="9"/>
      <x:c r="J346" s="9"/>
      <x:c r="K346" s="9"/>
      <x:c r="L346" s="9"/>
      <x:c r="M346" s="9"/>
      <x:c r="N346" s="9"/>
      <x:c r="O346" s="9"/>
      <x:c r="P346" s="9"/>
      <x:c r="Q346" s="9"/>
      <x:c r="R346" s="9"/>
      <x:c r="S346" s="9"/>
      <x:c r="T346" s="9"/>
      <x:c r="U346" s="9"/>
      <x:c r="V346" s="9"/>
      <x:c r="W346" s="12" t="str">
        <x:f>IF(A346="","",IF(COUNTIF($A$6:$A$505,A346)&gt;1,"记录ID重复",IF(COUNTIF('案件索引'!$A$6:$A$105,B346)=0,"案件ID未登记",IF(OR(C346="",D346="",F346="",G346="",H346="",I346="",J346="",K346="",M346="",N346="",Q346="",R346="",T346=""),"补对象、必要性、结果、依据或标注人",IF(AND(H346="条件必要",L346=""),"条件必要须写条件",IF(AND(R346="条件通过待执行核验",OR(M346="未知",M346="未满足",O346="",O346="未提供")),"条件或权限证据不足，退回核验","格式已填；仍须人工复核"))))))</x:f>
      </x:c>
    </x:row>
    <x:row r="347" ht="44" customHeight="1">
      <x:c r="A347" s="9"/>
      <x:c r="B347" s="9"/>
      <x:c r="C347" s="9"/>
      <x:c r="D347" s="9"/>
      <x:c r="E347" s="9"/>
      <x:c r="F347" s="9"/>
      <x:c r="G347" s="9"/>
      <x:c r="H347" s="9"/>
      <x:c r="I347" s="9"/>
      <x:c r="J347" s="9"/>
      <x:c r="K347" s="9"/>
      <x:c r="L347" s="9"/>
      <x:c r="M347" s="9"/>
      <x:c r="N347" s="9"/>
      <x:c r="O347" s="9"/>
      <x:c r="P347" s="9"/>
      <x:c r="Q347" s="9"/>
      <x:c r="R347" s="9"/>
      <x:c r="S347" s="9"/>
      <x:c r="T347" s="9"/>
      <x:c r="U347" s="9"/>
      <x:c r="V347" s="9"/>
      <x:c r="W347" s="12" t="str">
        <x:f>IF(A347="","",IF(COUNTIF($A$6:$A$505,A347)&gt;1,"记录ID重复",IF(COUNTIF('案件索引'!$A$6:$A$105,B347)=0,"案件ID未登记",IF(OR(C347="",D347="",F347="",G347="",H347="",I347="",J347="",K347="",M347="",N347="",Q347="",R347="",T347=""),"补对象、必要性、结果、依据或标注人",IF(AND(H347="条件必要",L347=""),"条件必要须写条件",IF(AND(R347="条件通过待执行核验",OR(M347="未知",M347="未满足",O347="",O347="未提供")),"条件或权限证据不足，退回核验","格式已填；仍须人工复核"))))))</x:f>
      </x:c>
    </x:row>
    <x:row r="348" ht="44" customHeight="1">
      <x:c r="A348" s="9"/>
      <x:c r="B348" s="9"/>
      <x:c r="C348" s="9"/>
      <x:c r="D348" s="9"/>
      <x:c r="E348" s="9"/>
      <x:c r="F348" s="9"/>
      <x:c r="G348" s="9"/>
      <x:c r="H348" s="9"/>
      <x:c r="I348" s="9"/>
      <x:c r="J348" s="9"/>
      <x:c r="K348" s="9"/>
      <x:c r="L348" s="9"/>
      <x:c r="M348" s="9"/>
      <x:c r="N348" s="9"/>
      <x:c r="O348" s="9"/>
      <x:c r="P348" s="9"/>
      <x:c r="Q348" s="9"/>
      <x:c r="R348" s="9"/>
      <x:c r="S348" s="9"/>
      <x:c r="T348" s="9"/>
      <x:c r="U348" s="9"/>
      <x:c r="V348" s="9"/>
      <x:c r="W348" s="12" t="str">
        <x:f>IF(A348="","",IF(COUNTIF($A$6:$A$505,A348)&gt;1,"记录ID重复",IF(COUNTIF('案件索引'!$A$6:$A$105,B348)=0,"案件ID未登记",IF(OR(C348="",D348="",F348="",G348="",H348="",I348="",J348="",K348="",M348="",N348="",Q348="",R348="",T348=""),"补对象、必要性、结果、依据或标注人",IF(AND(H348="条件必要",L348=""),"条件必要须写条件",IF(AND(R348="条件通过待执行核验",OR(M348="未知",M348="未满足",O348="",O348="未提供")),"条件或权限证据不足，退回核验","格式已填；仍须人工复核"))))))</x:f>
      </x:c>
    </x:row>
    <x:row r="349" ht="44" customHeight="1">
      <x:c r="A349" s="9"/>
      <x:c r="B349" s="9"/>
      <x:c r="C349" s="9"/>
      <x:c r="D349" s="9"/>
      <x:c r="E349" s="9"/>
      <x:c r="F349" s="9"/>
      <x:c r="G349" s="9"/>
      <x:c r="H349" s="9"/>
      <x:c r="I349" s="9"/>
      <x:c r="J349" s="9"/>
      <x:c r="K349" s="9"/>
      <x:c r="L349" s="9"/>
      <x:c r="M349" s="9"/>
      <x:c r="N349" s="9"/>
      <x:c r="O349" s="9"/>
      <x:c r="P349" s="9"/>
      <x:c r="Q349" s="9"/>
      <x:c r="R349" s="9"/>
      <x:c r="S349" s="9"/>
      <x:c r="T349" s="9"/>
      <x:c r="U349" s="9"/>
      <x:c r="V349" s="9"/>
      <x:c r="W349" s="12" t="str">
        <x:f>IF(A349="","",IF(COUNTIF($A$6:$A$505,A349)&gt;1,"记录ID重复",IF(COUNTIF('案件索引'!$A$6:$A$105,B349)=0,"案件ID未登记",IF(OR(C349="",D349="",F349="",G349="",H349="",I349="",J349="",K349="",M349="",N349="",Q349="",R349="",T349=""),"补对象、必要性、结果、依据或标注人",IF(AND(H349="条件必要",L349=""),"条件必要须写条件",IF(AND(R349="条件通过待执行核验",OR(M349="未知",M349="未满足",O349="",O349="未提供")),"条件或权限证据不足，退回核验","格式已填；仍须人工复核"))))))</x:f>
      </x:c>
    </x:row>
    <x:row r="350" ht="44" customHeight="1">
      <x:c r="A350" s="9"/>
      <x:c r="B350" s="9"/>
      <x:c r="C350" s="9"/>
      <x:c r="D350" s="9"/>
      <x:c r="E350" s="9"/>
      <x:c r="F350" s="9"/>
      <x:c r="G350" s="9"/>
      <x:c r="H350" s="9"/>
      <x:c r="I350" s="9"/>
      <x:c r="J350" s="9"/>
      <x:c r="K350" s="9"/>
      <x:c r="L350" s="9"/>
      <x:c r="M350" s="9"/>
      <x:c r="N350" s="9"/>
      <x:c r="O350" s="9"/>
      <x:c r="P350" s="9"/>
      <x:c r="Q350" s="9"/>
      <x:c r="R350" s="9"/>
      <x:c r="S350" s="9"/>
      <x:c r="T350" s="9"/>
      <x:c r="U350" s="9"/>
      <x:c r="V350" s="9"/>
      <x:c r="W350" s="12" t="str">
        <x:f>IF(A350="","",IF(COUNTIF($A$6:$A$505,A350)&gt;1,"记录ID重复",IF(COUNTIF('案件索引'!$A$6:$A$105,B350)=0,"案件ID未登记",IF(OR(C350="",D350="",F350="",G350="",H350="",I350="",J350="",K350="",M350="",N350="",Q350="",R350="",T350=""),"补对象、必要性、结果、依据或标注人",IF(AND(H350="条件必要",L350=""),"条件必要须写条件",IF(AND(R350="条件通过待执行核验",OR(M350="未知",M350="未满足",O350="",O350="未提供")),"条件或权限证据不足，退回核验","格式已填；仍须人工复核"))))))</x:f>
      </x:c>
    </x:row>
    <x:row r="351" ht="44" customHeight="1">
      <x:c r="A351" s="9"/>
      <x:c r="B351" s="9"/>
      <x:c r="C351" s="9"/>
      <x:c r="D351" s="9"/>
      <x:c r="E351" s="9"/>
      <x:c r="F351" s="9"/>
      <x:c r="G351" s="9"/>
      <x:c r="H351" s="9"/>
      <x:c r="I351" s="9"/>
      <x:c r="J351" s="9"/>
      <x:c r="K351" s="9"/>
      <x:c r="L351" s="9"/>
      <x:c r="M351" s="9"/>
      <x:c r="N351" s="9"/>
      <x:c r="O351" s="9"/>
      <x:c r="P351" s="9"/>
      <x:c r="Q351" s="9"/>
      <x:c r="R351" s="9"/>
      <x:c r="S351" s="9"/>
      <x:c r="T351" s="9"/>
      <x:c r="U351" s="9"/>
      <x:c r="V351" s="9"/>
      <x:c r="W351" s="12" t="str">
        <x:f>IF(A351="","",IF(COUNTIF($A$6:$A$505,A351)&gt;1,"记录ID重复",IF(COUNTIF('案件索引'!$A$6:$A$105,B351)=0,"案件ID未登记",IF(OR(C351="",D351="",F351="",G351="",H351="",I351="",J351="",K351="",M351="",N351="",Q351="",R351="",T351=""),"补对象、必要性、结果、依据或标注人",IF(AND(H351="条件必要",L351=""),"条件必要须写条件",IF(AND(R351="条件通过待执行核验",OR(M351="未知",M351="未满足",O351="",O351="未提供")),"条件或权限证据不足，退回核验","格式已填；仍须人工复核"))))))</x:f>
      </x:c>
    </x:row>
    <x:row r="352" ht="44" customHeight="1">
      <x:c r="A352" s="9"/>
      <x:c r="B352" s="9"/>
      <x:c r="C352" s="9"/>
      <x:c r="D352" s="9"/>
      <x:c r="E352" s="9"/>
      <x:c r="F352" s="9"/>
      <x:c r="G352" s="9"/>
      <x:c r="H352" s="9"/>
      <x:c r="I352" s="9"/>
      <x:c r="J352" s="9"/>
      <x:c r="K352" s="9"/>
      <x:c r="L352" s="9"/>
      <x:c r="M352" s="9"/>
      <x:c r="N352" s="9"/>
      <x:c r="O352" s="9"/>
      <x:c r="P352" s="9"/>
      <x:c r="Q352" s="9"/>
      <x:c r="R352" s="9"/>
      <x:c r="S352" s="9"/>
      <x:c r="T352" s="9"/>
      <x:c r="U352" s="9"/>
      <x:c r="V352" s="9"/>
      <x:c r="W352" s="12" t="str">
        <x:f>IF(A352="","",IF(COUNTIF($A$6:$A$505,A352)&gt;1,"记录ID重复",IF(COUNTIF('案件索引'!$A$6:$A$105,B352)=0,"案件ID未登记",IF(OR(C352="",D352="",F352="",G352="",H352="",I352="",J352="",K352="",M352="",N352="",Q352="",R352="",T352=""),"补对象、必要性、结果、依据或标注人",IF(AND(H352="条件必要",L352=""),"条件必要须写条件",IF(AND(R352="条件通过待执行核验",OR(M352="未知",M352="未满足",O352="",O352="未提供")),"条件或权限证据不足，退回核验","格式已填；仍须人工复核"))))))</x:f>
      </x:c>
    </x:row>
    <x:row r="353" ht="44" customHeight="1">
      <x:c r="A353" s="9"/>
      <x:c r="B353" s="9"/>
      <x:c r="C353" s="9"/>
      <x:c r="D353" s="9"/>
      <x:c r="E353" s="9"/>
      <x:c r="F353" s="9"/>
      <x:c r="G353" s="9"/>
      <x:c r="H353" s="9"/>
      <x:c r="I353" s="9"/>
      <x:c r="J353" s="9"/>
      <x:c r="K353" s="9"/>
      <x:c r="L353" s="9"/>
      <x:c r="M353" s="9"/>
      <x:c r="N353" s="9"/>
      <x:c r="O353" s="9"/>
      <x:c r="P353" s="9"/>
      <x:c r="Q353" s="9"/>
      <x:c r="R353" s="9"/>
      <x:c r="S353" s="9"/>
      <x:c r="T353" s="9"/>
      <x:c r="U353" s="9"/>
      <x:c r="V353" s="9"/>
      <x:c r="W353" s="12" t="str">
        <x:f>IF(A353="","",IF(COUNTIF($A$6:$A$505,A353)&gt;1,"记录ID重复",IF(COUNTIF('案件索引'!$A$6:$A$105,B353)=0,"案件ID未登记",IF(OR(C353="",D353="",F353="",G353="",H353="",I353="",J353="",K353="",M353="",N353="",Q353="",R353="",T353=""),"补对象、必要性、结果、依据或标注人",IF(AND(H353="条件必要",L353=""),"条件必要须写条件",IF(AND(R353="条件通过待执行核验",OR(M353="未知",M353="未满足",O353="",O353="未提供")),"条件或权限证据不足，退回核验","格式已填；仍须人工复核"))))))</x:f>
      </x:c>
    </x:row>
    <x:row r="354" ht="44" customHeight="1">
      <x:c r="A354" s="9"/>
      <x:c r="B354" s="9"/>
      <x:c r="C354" s="9"/>
      <x:c r="D354" s="9"/>
      <x:c r="E354" s="9"/>
      <x:c r="F354" s="9"/>
      <x:c r="G354" s="9"/>
      <x:c r="H354" s="9"/>
      <x:c r="I354" s="9"/>
      <x:c r="J354" s="9"/>
      <x:c r="K354" s="9"/>
      <x:c r="L354" s="9"/>
      <x:c r="M354" s="9"/>
      <x:c r="N354" s="9"/>
      <x:c r="O354" s="9"/>
      <x:c r="P354" s="9"/>
      <x:c r="Q354" s="9"/>
      <x:c r="R354" s="9"/>
      <x:c r="S354" s="9"/>
      <x:c r="T354" s="9"/>
      <x:c r="U354" s="9"/>
      <x:c r="V354" s="9"/>
      <x:c r="W354" s="12" t="str">
        <x:f>IF(A354="","",IF(COUNTIF($A$6:$A$505,A354)&gt;1,"记录ID重复",IF(COUNTIF('案件索引'!$A$6:$A$105,B354)=0,"案件ID未登记",IF(OR(C354="",D354="",F354="",G354="",H354="",I354="",J354="",K354="",M354="",N354="",Q354="",R354="",T354=""),"补对象、必要性、结果、依据或标注人",IF(AND(H354="条件必要",L354=""),"条件必要须写条件",IF(AND(R354="条件通过待执行核验",OR(M354="未知",M354="未满足",O354="",O354="未提供")),"条件或权限证据不足，退回核验","格式已填；仍须人工复核"))))))</x:f>
      </x:c>
    </x:row>
    <x:row r="355" ht="44" customHeight="1">
      <x:c r="A355" s="9"/>
      <x:c r="B355" s="9"/>
      <x:c r="C355" s="9"/>
      <x:c r="D355" s="9"/>
      <x:c r="E355" s="9"/>
      <x:c r="F355" s="9"/>
      <x:c r="G355" s="9"/>
      <x:c r="H355" s="9"/>
      <x:c r="I355" s="9"/>
      <x:c r="J355" s="9"/>
      <x:c r="K355" s="9"/>
      <x:c r="L355" s="9"/>
      <x:c r="M355" s="9"/>
      <x:c r="N355" s="9"/>
      <x:c r="O355" s="9"/>
      <x:c r="P355" s="9"/>
      <x:c r="Q355" s="9"/>
      <x:c r="R355" s="9"/>
      <x:c r="S355" s="9"/>
      <x:c r="T355" s="9"/>
      <x:c r="U355" s="9"/>
      <x:c r="V355" s="9"/>
      <x:c r="W355" s="12" t="str">
        <x:f>IF(A355="","",IF(COUNTIF($A$6:$A$505,A355)&gt;1,"记录ID重复",IF(COUNTIF('案件索引'!$A$6:$A$105,B355)=0,"案件ID未登记",IF(OR(C355="",D355="",F355="",G355="",H355="",I355="",J355="",K355="",M355="",N355="",Q355="",R355="",T355=""),"补对象、必要性、结果、依据或标注人",IF(AND(H355="条件必要",L355=""),"条件必要须写条件",IF(AND(R355="条件通过待执行核验",OR(M355="未知",M355="未满足",O355="",O355="未提供")),"条件或权限证据不足，退回核验","格式已填；仍须人工复核"))))))</x:f>
      </x:c>
    </x:row>
    <x:row r="356" ht="44" customHeight="1">
      <x:c r="A356" s="9"/>
      <x:c r="B356" s="9"/>
      <x:c r="C356" s="9"/>
      <x:c r="D356" s="9"/>
      <x:c r="E356" s="9"/>
      <x:c r="F356" s="9"/>
      <x:c r="G356" s="9"/>
      <x:c r="H356" s="9"/>
      <x:c r="I356" s="9"/>
      <x:c r="J356" s="9"/>
      <x:c r="K356" s="9"/>
      <x:c r="L356" s="9"/>
      <x:c r="M356" s="9"/>
      <x:c r="N356" s="9"/>
      <x:c r="O356" s="9"/>
      <x:c r="P356" s="9"/>
      <x:c r="Q356" s="9"/>
      <x:c r="R356" s="9"/>
      <x:c r="S356" s="9"/>
      <x:c r="T356" s="9"/>
      <x:c r="U356" s="9"/>
      <x:c r="V356" s="9"/>
      <x:c r="W356" s="12" t="str">
        <x:f>IF(A356="","",IF(COUNTIF($A$6:$A$505,A356)&gt;1,"记录ID重复",IF(COUNTIF('案件索引'!$A$6:$A$105,B356)=0,"案件ID未登记",IF(OR(C356="",D356="",F356="",G356="",H356="",I356="",J356="",K356="",M356="",N356="",Q356="",R356="",T356=""),"补对象、必要性、结果、依据或标注人",IF(AND(H356="条件必要",L356=""),"条件必要须写条件",IF(AND(R356="条件通过待执行核验",OR(M356="未知",M356="未满足",O356="",O356="未提供")),"条件或权限证据不足，退回核验","格式已填；仍须人工复核"))))))</x:f>
      </x:c>
    </x:row>
    <x:row r="357" ht="44" customHeight="1">
      <x:c r="A357" s="9"/>
      <x:c r="B357" s="9"/>
      <x:c r="C357" s="9"/>
      <x:c r="D357" s="9"/>
      <x:c r="E357" s="9"/>
      <x:c r="F357" s="9"/>
      <x:c r="G357" s="9"/>
      <x:c r="H357" s="9"/>
      <x:c r="I357" s="9"/>
      <x:c r="J357" s="9"/>
      <x:c r="K357" s="9"/>
      <x:c r="L357" s="9"/>
      <x:c r="M357" s="9"/>
      <x:c r="N357" s="9"/>
      <x:c r="O357" s="9"/>
      <x:c r="P357" s="9"/>
      <x:c r="Q357" s="9"/>
      <x:c r="R357" s="9"/>
      <x:c r="S357" s="9"/>
      <x:c r="T357" s="9"/>
      <x:c r="U357" s="9"/>
      <x:c r="V357" s="9"/>
      <x:c r="W357" s="12" t="str">
        <x:f>IF(A357="","",IF(COUNTIF($A$6:$A$505,A357)&gt;1,"记录ID重复",IF(COUNTIF('案件索引'!$A$6:$A$105,B357)=0,"案件ID未登记",IF(OR(C357="",D357="",F357="",G357="",H357="",I357="",J357="",K357="",M357="",N357="",Q357="",R357="",T357=""),"补对象、必要性、结果、依据或标注人",IF(AND(H357="条件必要",L357=""),"条件必要须写条件",IF(AND(R357="条件通过待执行核验",OR(M357="未知",M357="未满足",O357="",O357="未提供")),"条件或权限证据不足，退回核验","格式已填；仍须人工复核"))))))</x:f>
      </x:c>
    </x:row>
    <x:row r="358" ht="44" customHeight="1">
      <x:c r="A358" s="9"/>
      <x:c r="B358" s="9"/>
      <x:c r="C358" s="9"/>
      <x:c r="D358" s="9"/>
      <x:c r="E358" s="9"/>
      <x:c r="F358" s="9"/>
      <x:c r="G358" s="9"/>
      <x:c r="H358" s="9"/>
      <x:c r="I358" s="9"/>
      <x:c r="J358" s="9"/>
      <x:c r="K358" s="9"/>
      <x:c r="L358" s="9"/>
      <x:c r="M358" s="9"/>
      <x:c r="N358" s="9"/>
      <x:c r="O358" s="9"/>
      <x:c r="P358" s="9"/>
      <x:c r="Q358" s="9"/>
      <x:c r="R358" s="9"/>
      <x:c r="S358" s="9"/>
      <x:c r="T358" s="9"/>
      <x:c r="U358" s="9"/>
      <x:c r="V358" s="9"/>
      <x:c r="W358" s="12" t="str">
        <x:f>IF(A358="","",IF(COUNTIF($A$6:$A$505,A358)&gt;1,"记录ID重复",IF(COUNTIF('案件索引'!$A$6:$A$105,B358)=0,"案件ID未登记",IF(OR(C358="",D358="",F358="",G358="",H358="",I358="",J358="",K358="",M358="",N358="",Q358="",R358="",T358=""),"补对象、必要性、结果、依据或标注人",IF(AND(H358="条件必要",L358=""),"条件必要须写条件",IF(AND(R358="条件通过待执行核验",OR(M358="未知",M358="未满足",O358="",O358="未提供")),"条件或权限证据不足，退回核验","格式已填；仍须人工复核"))))))</x:f>
      </x:c>
    </x:row>
    <x:row r="359" ht="44" customHeight="1">
      <x:c r="A359" s="9"/>
      <x:c r="B359" s="9"/>
      <x:c r="C359" s="9"/>
      <x:c r="D359" s="9"/>
      <x:c r="E359" s="9"/>
      <x:c r="F359" s="9"/>
      <x:c r="G359" s="9"/>
      <x:c r="H359" s="9"/>
      <x:c r="I359" s="9"/>
      <x:c r="J359" s="9"/>
      <x:c r="K359" s="9"/>
      <x:c r="L359" s="9"/>
      <x:c r="M359" s="9"/>
      <x:c r="N359" s="9"/>
      <x:c r="O359" s="9"/>
      <x:c r="P359" s="9"/>
      <x:c r="Q359" s="9"/>
      <x:c r="R359" s="9"/>
      <x:c r="S359" s="9"/>
      <x:c r="T359" s="9"/>
      <x:c r="U359" s="9"/>
      <x:c r="V359" s="9"/>
      <x:c r="W359" s="12" t="str">
        <x:f>IF(A359="","",IF(COUNTIF($A$6:$A$505,A359)&gt;1,"记录ID重复",IF(COUNTIF('案件索引'!$A$6:$A$105,B359)=0,"案件ID未登记",IF(OR(C359="",D359="",F359="",G359="",H359="",I359="",J359="",K359="",M359="",N359="",Q359="",R359="",T359=""),"补对象、必要性、结果、依据或标注人",IF(AND(H359="条件必要",L359=""),"条件必要须写条件",IF(AND(R359="条件通过待执行核验",OR(M359="未知",M359="未满足",O359="",O359="未提供")),"条件或权限证据不足，退回核验","格式已填；仍须人工复核"))))))</x:f>
      </x:c>
    </x:row>
    <x:row r="360" ht="44" customHeight="1">
      <x:c r="A360" s="9"/>
      <x:c r="B360" s="9"/>
      <x:c r="C360" s="9"/>
      <x:c r="D360" s="9"/>
      <x:c r="E360" s="9"/>
      <x:c r="F360" s="9"/>
      <x:c r="G360" s="9"/>
      <x:c r="H360" s="9"/>
      <x:c r="I360" s="9"/>
      <x:c r="J360" s="9"/>
      <x:c r="K360" s="9"/>
      <x:c r="L360" s="9"/>
      <x:c r="M360" s="9"/>
      <x:c r="N360" s="9"/>
      <x:c r="O360" s="9"/>
      <x:c r="P360" s="9"/>
      <x:c r="Q360" s="9"/>
      <x:c r="R360" s="9"/>
      <x:c r="S360" s="9"/>
      <x:c r="T360" s="9"/>
      <x:c r="U360" s="9"/>
      <x:c r="V360" s="9"/>
      <x:c r="W360" s="12" t="str">
        <x:f>IF(A360="","",IF(COUNTIF($A$6:$A$505,A360)&gt;1,"记录ID重复",IF(COUNTIF('案件索引'!$A$6:$A$105,B360)=0,"案件ID未登记",IF(OR(C360="",D360="",F360="",G360="",H360="",I360="",J360="",K360="",M360="",N360="",Q360="",R360="",T360=""),"补对象、必要性、结果、依据或标注人",IF(AND(H360="条件必要",L360=""),"条件必要须写条件",IF(AND(R360="条件通过待执行核验",OR(M360="未知",M360="未满足",O360="",O360="未提供")),"条件或权限证据不足，退回核验","格式已填；仍须人工复核"))))))</x:f>
      </x:c>
    </x:row>
    <x:row r="361" ht="44" customHeight="1">
      <x:c r="A361" s="9"/>
      <x:c r="B361" s="9"/>
      <x:c r="C361" s="9"/>
      <x:c r="D361" s="9"/>
      <x:c r="E361" s="9"/>
      <x:c r="F361" s="9"/>
      <x:c r="G361" s="9"/>
      <x:c r="H361" s="9"/>
      <x:c r="I361" s="9"/>
      <x:c r="J361" s="9"/>
      <x:c r="K361" s="9"/>
      <x:c r="L361" s="9"/>
      <x:c r="M361" s="9"/>
      <x:c r="N361" s="9"/>
      <x:c r="O361" s="9"/>
      <x:c r="P361" s="9"/>
      <x:c r="Q361" s="9"/>
      <x:c r="R361" s="9"/>
      <x:c r="S361" s="9"/>
      <x:c r="T361" s="9"/>
      <x:c r="U361" s="9"/>
      <x:c r="V361" s="9"/>
      <x:c r="W361" s="12" t="str">
        <x:f>IF(A361="","",IF(COUNTIF($A$6:$A$505,A361)&gt;1,"记录ID重复",IF(COUNTIF('案件索引'!$A$6:$A$105,B361)=0,"案件ID未登记",IF(OR(C361="",D361="",F361="",G361="",H361="",I361="",J361="",K361="",M361="",N361="",Q361="",R361="",T361=""),"补对象、必要性、结果、依据或标注人",IF(AND(H361="条件必要",L361=""),"条件必要须写条件",IF(AND(R361="条件通过待执行核验",OR(M361="未知",M361="未满足",O361="",O361="未提供")),"条件或权限证据不足，退回核验","格式已填；仍须人工复核"))))))</x:f>
      </x:c>
    </x:row>
    <x:row r="362" ht="44" customHeight="1">
      <x:c r="A362" s="9"/>
      <x:c r="B362" s="9"/>
      <x:c r="C362" s="9"/>
      <x:c r="D362" s="9"/>
      <x:c r="E362" s="9"/>
      <x:c r="F362" s="9"/>
      <x:c r="G362" s="9"/>
      <x:c r="H362" s="9"/>
      <x:c r="I362" s="9"/>
      <x:c r="J362" s="9"/>
      <x:c r="K362" s="9"/>
      <x:c r="L362" s="9"/>
      <x:c r="M362" s="9"/>
      <x:c r="N362" s="9"/>
      <x:c r="O362" s="9"/>
      <x:c r="P362" s="9"/>
      <x:c r="Q362" s="9"/>
      <x:c r="R362" s="9"/>
      <x:c r="S362" s="9"/>
      <x:c r="T362" s="9"/>
      <x:c r="U362" s="9"/>
      <x:c r="V362" s="9"/>
      <x:c r="W362" s="12" t="str">
        <x:f>IF(A362="","",IF(COUNTIF($A$6:$A$505,A362)&gt;1,"记录ID重复",IF(COUNTIF('案件索引'!$A$6:$A$105,B362)=0,"案件ID未登记",IF(OR(C362="",D362="",F362="",G362="",H362="",I362="",J362="",K362="",M362="",N362="",Q362="",R362="",T362=""),"补对象、必要性、结果、依据或标注人",IF(AND(H362="条件必要",L362=""),"条件必要须写条件",IF(AND(R362="条件通过待执行核验",OR(M362="未知",M362="未满足",O362="",O362="未提供")),"条件或权限证据不足，退回核验","格式已填；仍须人工复核"))))))</x:f>
      </x:c>
    </x:row>
    <x:row r="363" ht="44" customHeight="1">
      <x:c r="A363" s="9"/>
      <x:c r="B363" s="9"/>
      <x:c r="C363" s="9"/>
      <x:c r="D363" s="9"/>
      <x:c r="E363" s="9"/>
      <x:c r="F363" s="9"/>
      <x:c r="G363" s="9"/>
      <x:c r="H363" s="9"/>
      <x:c r="I363" s="9"/>
      <x:c r="J363" s="9"/>
      <x:c r="K363" s="9"/>
      <x:c r="L363" s="9"/>
      <x:c r="M363" s="9"/>
      <x:c r="N363" s="9"/>
      <x:c r="O363" s="9"/>
      <x:c r="P363" s="9"/>
      <x:c r="Q363" s="9"/>
      <x:c r="R363" s="9"/>
      <x:c r="S363" s="9"/>
      <x:c r="T363" s="9"/>
      <x:c r="U363" s="9"/>
      <x:c r="V363" s="9"/>
      <x:c r="W363" s="12" t="str">
        <x:f>IF(A363="","",IF(COUNTIF($A$6:$A$505,A363)&gt;1,"记录ID重复",IF(COUNTIF('案件索引'!$A$6:$A$105,B363)=0,"案件ID未登记",IF(OR(C363="",D363="",F363="",G363="",H363="",I363="",J363="",K363="",M363="",N363="",Q363="",R363="",T363=""),"补对象、必要性、结果、依据或标注人",IF(AND(H363="条件必要",L363=""),"条件必要须写条件",IF(AND(R363="条件通过待执行核验",OR(M363="未知",M363="未满足",O363="",O363="未提供")),"条件或权限证据不足，退回核验","格式已填；仍须人工复核"))))))</x:f>
      </x:c>
    </x:row>
    <x:row r="364" ht="44" customHeight="1">
      <x:c r="A364" s="9"/>
      <x:c r="B364" s="9"/>
      <x:c r="C364" s="9"/>
      <x:c r="D364" s="9"/>
      <x:c r="E364" s="9"/>
      <x:c r="F364" s="9"/>
      <x:c r="G364" s="9"/>
      <x:c r="H364" s="9"/>
      <x:c r="I364" s="9"/>
      <x:c r="J364" s="9"/>
      <x:c r="K364" s="9"/>
      <x:c r="L364" s="9"/>
      <x:c r="M364" s="9"/>
      <x:c r="N364" s="9"/>
      <x:c r="O364" s="9"/>
      <x:c r="P364" s="9"/>
      <x:c r="Q364" s="9"/>
      <x:c r="R364" s="9"/>
      <x:c r="S364" s="9"/>
      <x:c r="T364" s="9"/>
      <x:c r="U364" s="9"/>
      <x:c r="V364" s="9"/>
      <x:c r="W364" s="12" t="str">
        <x:f>IF(A364="","",IF(COUNTIF($A$6:$A$505,A364)&gt;1,"记录ID重复",IF(COUNTIF('案件索引'!$A$6:$A$105,B364)=0,"案件ID未登记",IF(OR(C364="",D364="",F364="",G364="",H364="",I364="",J364="",K364="",M364="",N364="",Q364="",R364="",T364=""),"补对象、必要性、结果、依据或标注人",IF(AND(H364="条件必要",L364=""),"条件必要须写条件",IF(AND(R364="条件通过待执行核验",OR(M364="未知",M364="未满足",O364="",O364="未提供")),"条件或权限证据不足，退回核验","格式已填；仍须人工复核"))))))</x:f>
      </x:c>
    </x:row>
    <x:row r="365" ht="44" customHeight="1">
      <x:c r="A365" s="9"/>
      <x:c r="B365" s="9"/>
      <x:c r="C365" s="9"/>
      <x:c r="D365" s="9"/>
      <x:c r="E365" s="9"/>
      <x:c r="F365" s="9"/>
      <x:c r="G365" s="9"/>
      <x:c r="H365" s="9"/>
      <x:c r="I365" s="9"/>
      <x:c r="J365" s="9"/>
      <x:c r="K365" s="9"/>
      <x:c r="L365" s="9"/>
      <x:c r="M365" s="9"/>
      <x:c r="N365" s="9"/>
      <x:c r="O365" s="9"/>
      <x:c r="P365" s="9"/>
      <x:c r="Q365" s="9"/>
      <x:c r="R365" s="9"/>
      <x:c r="S365" s="9"/>
      <x:c r="T365" s="9"/>
      <x:c r="U365" s="9"/>
      <x:c r="V365" s="9"/>
      <x:c r="W365" s="12" t="str">
        <x:f>IF(A365="","",IF(COUNTIF($A$6:$A$505,A365)&gt;1,"记录ID重复",IF(COUNTIF('案件索引'!$A$6:$A$105,B365)=0,"案件ID未登记",IF(OR(C365="",D365="",F365="",G365="",H365="",I365="",J365="",K365="",M365="",N365="",Q365="",R365="",T365=""),"补对象、必要性、结果、依据或标注人",IF(AND(H365="条件必要",L365=""),"条件必要须写条件",IF(AND(R365="条件通过待执行核验",OR(M365="未知",M365="未满足",O365="",O365="未提供")),"条件或权限证据不足，退回核验","格式已填；仍须人工复核"))))))</x:f>
      </x:c>
    </x:row>
    <x:row r="366" ht="44" customHeight="1">
      <x:c r="A366" s="9"/>
      <x:c r="B366" s="9"/>
      <x:c r="C366" s="9"/>
      <x:c r="D366" s="9"/>
      <x:c r="E366" s="9"/>
      <x:c r="F366" s="9"/>
      <x:c r="G366" s="9"/>
      <x:c r="H366" s="9"/>
      <x:c r="I366" s="9"/>
      <x:c r="J366" s="9"/>
      <x:c r="K366" s="9"/>
      <x:c r="L366" s="9"/>
      <x:c r="M366" s="9"/>
      <x:c r="N366" s="9"/>
      <x:c r="O366" s="9"/>
      <x:c r="P366" s="9"/>
      <x:c r="Q366" s="9"/>
      <x:c r="R366" s="9"/>
      <x:c r="S366" s="9"/>
      <x:c r="T366" s="9"/>
      <x:c r="U366" s="9"/>
      <x:c r="V366" s="9"/>
      <x:c r="W366" s="12" t="str">
        <x:f>IF(A366="","",IF(COUNTIF($A$6:$A$505,A366)&gt;1,"记录ID重复",IF(COUNTIF('案件索引'!$A$6:$A$105,B366)=0,"案件ID未登记",IF(OR(C366="",D366="",F366="",G366="",H366="",I366="",J366="",K366="",M366="",N366="",Q366="",R366="",T366=""),"补对象、必要性、结果、依据或标注人",IF(AND(H366="条件必要",L366=""),"条件必要须写条件",IF(AND(R366="条件通过待执行核验",OR(M366="未知",M366="未满足",O366="",O366="未提供")),"条件或权限证据不足，退回核验","格式已填；仍须人工复核"))))))</x:f>
      </x:c>
    </x:row>
    <x:row r="367" ht="44" customHeight="1">
      <x:c r="A367" s="9"/>
      <x:c r="B367" s="9"/>
      <x:c r="C367" s="9"/>
      <x:c r="D367" s="9"/>
      <x:c r="E367" s="9"/>
      <x:c r="F367" s="9"/>
      <x:c r="G367" s="9"/>
      <x:c r="H367" s="9"/>
      <x:c r="I367" s="9"/>
      <x:c r="J367" s="9"/>
      <x:c r="K367" s="9"/>
      <x:c r="L367" s="9"/>
      <x:c r="M367" s="9"/>
      <x:c r="N367" s="9"/>
      <x:c r="O367" s="9"/>
      <x:c r="P367" s="9"/>
      <x:c r="Q367" s="9"/>
      <x:c r="R367" s="9"/>
      <x:c r="S367" s="9"/>
      <x:c r="T367" s="9"/>
      <x:c r="U367" s="9"/>
      <x:c r="V367" s="9"/>
      <x:c r="W367" s="12" t="str">
        <x:f>IF(A367="","",IF(COUNTIF($A$6:$A$505,A367)&gt;1,"记录ID重复",IF(COUNTIF('案件索引'!$A$6:$A$105,B367)=0,"案件ID未登记",IF(OR(C367="",D367="",F367="",G367="",H367="",I367="",J367="",K367="",M367="",N367="",Q367="",R367="",T367=""),"补对象、必要性、结果、依据或标注人",IF(AND(H367="条件必要",L367=""),"条件必要须写条件",IF(AND(R367="条件通过待执行核验",OR(M367="未知",M367="未满足",O367="",O367="未提供")),"条件或权限证据不足，退回核验","格式已填；仍须人工复核"))))))</x:f>
      </x:c>
    </x:row>
    <x:row r="368" ht="44" customHeight="1">
      <x:c r="A368" s="9"/>
      <x:c r="B368" s="9"/>
      <x:c r="C368" s="9"/>
      <x:c r="D368" s="9"/>
      <x:c r="E368" s="9"/>
      <x:c r="F368" s="9"/>
      <x:c r="G368" s="9"/>
      <x:c r="H368" s="9"/>
      <x:c r="I368" s="9"/>
      <x:c r="J368" s="9"/>
      <x:c r="K368" s="9"/>
      <x:c r="L368" s="9"/>
      <x:c r="M368" s="9"/>
      <x:c r="N368" s="9"/>
      <x:c r="O368" s="9"/>
      <x:c r="P368" s="9"/>
      <x:c r="Q368" s="9"/>
      <x:c r="R368" s="9"/>
      <x:c r="S368" s="9"/>
      <x:c r="T368" s="9"/>
      <x:c r="U368" s="9"/>
      <x:c r="V368" s="9"/>
      <x:c r="W368" s="12" t="str">
        <x:f>IF(A368="","",IF(COUNTIF($A$6:$A$505,A368)&gt;1,"记录ID重复",IF(COUNTIF('案件索引'!$A$6:$A$105,B368)=0,"案件ID未登记",IF(OR(C368="",D368="",F368="",G368="",H368="",I368="",J368="",K368="",M368="",N368="",Q368="",R368="",T368=""),"补对象、必要性、结果、依据或标注人",IF(AND(H368="条件必要",L368=""),"条件必要须写条件",IF(AND(R368="条件通过待执行核验",OR(M368="未知",M368="未满足",O368="",O368="未提供")),"条件或权限证据不足，退回核验","格式已填；仍须人工复核"))))))</x:f>
      </x:c>
    </x:row>
    <x:row r="369" ht="44" customHeight="1">
      <x:c r="A369" s="9"/>
      <x:c r="B369" s="9"/>
      <x:c r="C369" s="9"/>
      <x:c r="D369" s="9"/>
      <x:c r="E369" s="9"/>
      <x:c r="F369" s="9"/>
      <x:c r="G369" s="9"/>
      <x:c r="H369" s="9"/>
      <x:c r="I369" s="9"/>
      <x:c r="J369" s="9"/>
      <x:c r="K369" s="9"/>
      <x:c r="L369" s="9"/>
      <x:c r="M369" s="9"/>
      <x:c r="N369" s="9"/>
      <x:c r="O369" s="9"/>
      <x:c r="P369" s="9"/>
      <x:c r="Q369" s="9"/>
      <x:c r="R369" s="9"/>
      <x:c r="S369" s="9"/>
      <x:c r="T369" s="9"/>
      <x:c r="U369" s="9"/>
      <x:c r="V369" s="9"/>
      <x:c r="W369" s="12" t="str">
        <x:f>IF(A369="","",IF(COUNTIF($A$6:$A$505,A369)&gt;1,"记录ID重复",IF(COUNTIF('案件索引'!$A$6:$A$105,B369)=0,"案件ID未登记",IF(OR(C369="",D369="",F369="",G369="",H369="",I369="",J369="",K369="",M369="",N369="",Q369="",R369="",T369=""),"补对象、必要性、结果、依据或标注人",IF(AND(H369="条件必要",L369=""),"条件必要须写条件",IF(AND(R369="条件通过待执行核验",OR(M369="未知",M369="未满足",O369="",O369="未提供")),"条件或权限证据不足，退回核验","格式已填；仍须人工复核"))))))</x:f>
      </x:c>
    </x:row>
    <x:row r="370" ht="44" customHeight="1">
      <x:c r="A370" s="9"/>
      <x:c r="B370" s="9"/>
      <x:c r="C370" s="9"/>
      <x:c r="D370" s="9"/>
      <x:c r="E370" s="9"/>
      <x:c r="F370" s="9"/>
      <x:c r="G370" s="9"/>
      <x:c r="H370" s="9"/>
      <x:c r="I370" s="9"/>
      <x:c r="J370" s="9"/>
      <x:c r="K370" s="9"/>
      <x:c r="L370" s="9"/>
      <x:c r="M370" s="9"/>
      <x:c r="N370" s="9"/>
      <x:c r="O370" s="9"/>
      <x:c r="P370" s="9"/>
      <x:c r="Q370" s="9"/>
      <x:c r="R370" s="9"/>
      <x:c r="S370" s="9"/>
      <x:c r="T370" s="9"/>
      <x:c r="U370" s="9"/>
      <x:c r="V370" s="9"/>
      <x:c r="W370" s="12" t="str">
        <x:f>IF(A370="","",IF(COUNTIF($A$6:$A$505,A370)&gt;1,"记录ID重复",IF(COUNTIF('案件索引'!$A$6:$A$105,B370)=0,"案件ID未登记",IF(OR(C370="",D370="",F370="",G370="",H370="",I370="",J370="",K370="",M370="",N370="",Q370="",R370="",T370=""),"补对象、必要性、结果、依据或标注人",IF(AND(H370="条件必要",L370=""),"条件必要须写条件",IF(AND(R370="条件通过待执行核验",OR(M370="未知",M370="未满足",O370="",O370="未提供")),"条件或权限证据不足，退回核验","格式已填；仍须人工复核"))))))</x:f>
      </x:c>
    </x:row>
    <x:row r="371" ht="44" customHeight="1">
      <x:c r="A371" s="9"/>
      <x:c r="B371" s="9"/>
      <x:c r="C371" s="9"/>
      <x:c r="D371" s="9"/>
      <x:c r="E371" s="9"/>
      <x:c r="F371" s="9"/>
      <x:c r="G371" s="9"/>
      <x:c r="H371" s="9"/>
      <x:c r="I371" s="9"/>
      <x:c r="J371" s="9"/>
      <x:c r="K371" s="9"/>
      <x:c r="L371" s="9"/>
      <x:c r="M371" s="9"/>
      <x:c r="N371" s="9"/>
      <x:c r="O371" s="9"/>
      <x:c r="P371" s="9"/>
      <x:c r="Q371" s="9"/>
      <x:c r="R371" s="9"/>
      <x:c r="S371" s="9"/>
      <x:c r="T371" s="9"/>
      <x:c r="U371" s="9"/>
      <x:c r="V371" s="9"/>
      <x:c r="W371" s="12" t="str">
        <x:f>IF(A371="","",IF(COUNTIF($A$6:$A$505,A371)&gt;1,"记录ID重复",IF(COUNTIF('案件索引'!$A$6:$A$105,B371)=0,"案件ID未登记",IF(OR(C371="",D371="",F371="",G371="",H371="",I371="",J371="",K371="",M371="",N371="",Q371="",R371="",T371=""),"补对象、必要性、结果、依据或标注人",IF(AND(H371="条件必要",L371=""),"条件必要须写条件",IF(AND(R371="条件通过待执行核验",OR(M371="未知",M371="未满足",O371="",O371="未提供")),"条件或权限证据不足，退回核验","格式已填；仍须人工复核"))))))</x:f>
      </x:c>
    </x:row>
    <x:row r="372" ht="44" customHeight="1">
      <x:c r="A372" s="9"/>
      <x:c r="B372" s="9"/>
      <x:c r="C372" s="9"/>
      <x:c r="D372" s="9"/>
      <x:c r="E372" s="9"/>
      <x:c r="F372" s="9"/>
      <x:c r="G372" s="9"/>
      <x:c r="H372" s="9"/>
      <x:c r="I372" s="9"/>
      <x:c r="J372" s="9"/>
      <x:c r="K372" s="9"/>
      <x:c r="L372" s="9"/>
      <x:c r="M372" s="9"/>
      <x:c r="N372" s="9"/>
      <x:c r="O372" s="9"/>
      <x:c r="P372" s="9"/>
      <x:c r="Q372" s="9"/>
      <x:c r="R372" s="9"/>
      <x:c r="S372" s="9"/>
      <x:c r="T372" s="9"/>
      <x:c r="U372" s="9"/>
      <x:c r="V372" s="9"/>
      <x:c r="W372" s="12" t="str">
        <x:f>IF(A372="","",IF(COUNTIF($A$6:$A$505,A372)&gt;1,"记录ID重复",IF(COUNTIF('案件索引'!$A$6:$A$105,B372)=0,"案件ID未登记",IF(OR(C372="",D372="",F372="",G372="",H372="",I372="",J372="",K372="",M372="",N372="",Q372="",R372="",T372=""),"补对象、必要性、结果、依据或标注人",IF(AND(H372="条件必要",L372=""),"条件必要须写条件",IF(AND(R372="条件通过待执行核验",OR(M372="未知",M372="未满足",O372="",O372="未提供")),"条件或权限证据不足，退回核验","格式已填；仍须人工复核"))))))</x:f>
      </x:c>
    </x:row>
    <x:row r="373" ht="44" customHeight="1">
      <x:c r="A373" s="9"/>
      <x:c r="B373" s="9"/>
      <x:c r="C373" s="9"/>
      <x:c r="D373" s="9"/>
      <x:c r="E373" s="9"/>
      <x:c r="F373" s="9"/>
      <x:c r="G373" s="9"/>
      <x:c r="H373" s="9"/>
      <x:c r="I373" s="9"/>
      <x:c r="J373" s="9"/>
      <x:c r="K373" s="9"/>
      <x:c r="L373" s="9"/>
      <x:c r="M373" s="9"/>
      <x:c r="N373" s="9"/>
      <x:c r="O373" s="9"/>
      <x:c r="P373" s="9"/>
      <x:c r="Q373" s="9"/>
      <x:c r="R373" s="9"/>
      <x:c r="S373" s="9"/>
      <x:c r="T373" s="9"/>
      <x:c r="U373" s="9"/>
      <x:c r="V373" s="9"/>
      <x:c r="W373" s="12" t="str">
        <x:f>IF(A373="","",IF(COUNTIF($A$6:$A$505,A373)&gt;1,"记录ID重复",IF(COUNTIF('案件索引'!$A$6:$A$105,B373)=0,"案件ID未登记",IF(OR(C373="",D373="",F373="",G373="",H373="",I373="",J373="",K373="",M373="",N373="",Q373="",R373="",T373=""),"补对象、必要性、结果、依据或标注人",IF(AND(H373="条件必要",L373=""),"条件必要须写条件",IF(AND(R373="条件通过待执行核验",OR(M373="未知",M373="未满足",O373="",O373="未提供")),"条件或权限证据不足，退回核验","格式已填；仍须人工复核"))))))</x:f>
      </x:c>
    </x:row>
    <x:row r="374" ht="44" customHeight="1">
      <x:c r="A374" s="9"/>
      <x:c r="B374" s="9"/>
      <x:c r="C374" s="9"/>
      <x:c r="D374" s="9"/>
      <x:c r="E374" s="9"/>
      <x:c r="F374" s="9"/>
      <x:c r="G374" s="9"/>
      <x:c r="H374" s="9"/>
      <x:c r="I374" s="9"/>
      <x:c r="J374" s="9"/>
      <x:c r="K374" s="9"/>
      <x:c r="L374" s="9"/>
      <x:c r="M374" s="9"/>
      <x:c r="N374" s="9"/>
      <x:c r="O374" s="9"/>
      <x:c r="P374" s="9"/>
      <x:c r="Q374" s="9"/>
      <x:c r="R374" s="9"/>
      <x:c r="S374" s="9"/>
      <x:c r="T374" s="9"/>
      <x:c r="U374" s="9"/>
      <x:c r="V374" s="9"/>
      <x:c r="W374" s="12" t="str">
        <x:f>IF(A374="","",IF(COUNTIF($A$6:$A$505,A374)&gt;1,"记录ID重复",IF(COUNTIF('案件索引'!$A$6:$A$105,B374)=0,"案件ID未登记",IF(OR(C374="",D374="",F374="",G374="",H374="",I374="",J374="",K374="",M374="",N374="",Q374="",R374="",T374=""),"补对象、必要性、结果、依据或标注人",IF(AND(H374="条件必要",L374=""),"条件必要须写条件",IF(AND(R374="条件通过待执行核验",OR(M374="未知",M374="未满足",O374="",O374="未提供")),"条件或权限证据不足，退回核验","格式已填；仍须人工复核"))))))</x:f>
      </x:c>
    </x:row>
    <x:row r="375" ht="44" customHeight="1">
      <x:c r="A375" s="9"/>
      <x:c r="B375" s="9"/>
      <x:c r="C375" s="9"/>
      <x:c r="D375" s="9"/>
      <x:c r="E375" s="9"/>
      <x:c r="F375" s="9"/>
      <x:c r="G375" s="9"/>
      <x:c r="H375" s="9"/>
      <x:c r="I375" s="9"/>
      <x:c r="J375" s="9"/>
      <x:c r="K375" s="9"/>
      <x:c r="L375" s="9"/>
      <x:c r="M375" s="9"/>
      <x:c r="N375" s="9"/>
      <x:c r="O375" s="9"/>
      <x:c r="P375" s="9"/>
      <x:c r="Q375" s="9"/>
      <x:c r="R375" s="9"/>
      <x:c r="S375" s="9"/>
      <x:c r="T375" s="9"/>
      <x:c r="U375" s="9"/>
      <x:c r="V375" s="9"/>
      <x:c r="W375" s="12" t="str">
        <x:f>IF(A375="","",IF(COUNTIF($A$6:$A$505,A375)&gt;1,"记录ID重复",IF(COUNTIF('案件索引'!$A$6:$A$105,B375)=0,"案件ID未登记",IF(OR(C375="",D375="",F375="",G375="",H375="",I375="",J375="",K375="",M375="",N375="",Q375="",R375="",T375=""),"补对象、必要性、结果、依据或标注人",IF(AND(H375="条件必要",L375=""),"条件必要须写条件",IF(AND(R375="条件通过待执行核验",OR(M375="未知",M375="未满足",O375="",O375="未提供")),"条件或权限证据不足，退回核验","格式已填；仍须人工复核"))))))</x:f>
      </x:c>
    </x:row>
    <x:row r="376" ht="44" customHeight="1">
      <x:c r="A376" s="9"/>
      <x:c r="B376" s="9"/>
      <x:c r="C376" s="9"/>
      <x:c r="D376" s="9"/>
      <x:c r="E376" s="9"/>
      <x:c r="F376" s="9"/>
      <x:c r="G376" s="9"/>
      <x:c r="H376" s="9"/>
      <x:c r="I376" s="9"/>
      <x:c r="J376" s="9"/>
      <x:c r="K376" s="9"/>
      <x:c r="L376" s="9"/>
      <x:c r="M376" s="9"/>
      <x:c r="N376" s="9"/>
      <x:c r="O376" s="9"/>
      <x:c r="P376" s="9"/>
      <x:c r="Q376" s="9"/>
      <x:c r="R376" s="9"/>
      <x:c r="S376" s="9"/>
      <x:c r="T376" s="9"/>
      <x:c r="U376" s="9"/>
      <x:c r="V376" s="9"/>
      <x:c r="W376" s="12" t="str">
        <x:f>IF(A376="","",IF(COUNTIF($A$6:$A$505,A376)&gt;1,"记录ID重复",IF(COUNTIF('案件索引'!$A$6:$A$105,B376)=0,"案件ID未登记",IF(OR(C376="",D376="",F376="",G376="",H376="",I376="",J376="",K376="",M376="",N376="",Q376="",R376="",T376=""),"补对象、必要性、结果、依据或标注人",IF(AND(H376="条件必要",L376=""),"条件必要须写条件",IF(AND(R376="条件通过待执行核验",OR(M376="未知",M376="未满足",O376="",O376="未提供")),"条件或权限证据不足，退回核验","格式已填；仍须人工复核"))))))</x:f>
      </x:c>
    </x:row>
    <x:row r="377" ht="44" customHeight="1">
      <x:c r="A377" s="9"/>
      <x:c r="B377" s="9"/>
      <x:c r="C377" s="9"/>
      <x:c r="D377" s="9"/>
      <x:c r="E377" s="9"/>
      <x:c r="F377" s="9"/>
      <x:c r="G377" s="9"/>
      <x:c r="H377" s="9"/>
      <x:c r="I377" s="9"/>
      <x:c r="J377" s="9"/>
      <x:c r="K377" s="9"/>
      <x:c r="L377" s="9"/>
      <x:c r="M377" s="9"/>
      <x:c r="N377" s="9"/>
      <x:c r="O377" s="9"/>
      <x:c r="P377" s="9"/>
      <x:c r="Q377" s="9"/>
      <x:c r="R377" s="9"/>
      <x:c r="S377" s="9"/>
      <x:c r="T377" s="9"/>
      <x:c r="U377" s="9"/>
      <x:c r="V377" s="9"/>
      <x:c r="W377" s="12" t="str">
        <x:f>IF(A377="","",IF(COUNTIF($A$6:$A$505,A377)&gt;1,"记录ID重复",IF(COUNTIF('案件索引'!$A$6:$A$105,B377)=0,"案件ID未登记",IF(OR(C377="",D377="",F377="",G377="",H377="",I377="",J377="",K377="",M377="",N377="",Q377="",R377="",T377=""),"补对象、必要性、结果、依据或标注人",IF(AND(H377="条件必要",L377=""),"条件必要须写条件",IF(AND(R377="条件通过待执行核验",OR(M377="未知",M377="未满足",O377="",O377="未提供")),"条件或权限证据不足，退回核验","格式已填；仍须人工复核"))))))</x:f>
      </x:c>
    </x:row>
    <x:row r="378" ht="44" customHeight="1">
      <x:c r="A378" s="9"/>
      <x:c r="B378" s="9"/>
      <x:c r="C378" s="9"/>
      <x:c r="D378" s="9"/>
      <x:c r="E378" s="9"/>
      <x:c r="F378" s="9"/>
      <x:c r="G378" s="9"/>
      <x:c r="H378" s="9"/>
      <x:c r="I378" s="9"/>
      <x:c r="J378" s="9"/>
      <x:c r="K378" s="9"/>
      <x:c r="L378" s="9"/>
      <x:c r="M378" s="9"/>
      <x:c r="N378" s="9"/>
      <x:c r="O378" s="9"/>
      <x:c r="P378" s="9"/>
      <x:c r="Q378" s="9"/>
      <x:c r="R378" s="9"/>
      <x:c r="S378" s="9"/>
      <x:c r="T378" s="9"/>
      <x:c r="U378" s="9"/>
      <x:c r="V378" s="9"/>
      <x:c r="W378" s="12" t="str">
        <x:f>IF(A378="","",IF(COUNTIF($A$6:$A$505,A378)&gt;1,"记录ID重复",IF(COUNTIF('案件索引'!$A$6:$A$105,B378)=0,"案件ID未登记",IF(OR(C378="",D378="",F378="",G378="",H378="",I378="",J378="",K378="",M378="",N378="",Q378="",R378="",T378=""),"补对象、必要性、结果、依据或标注人",IF(AND(H378="条件必要",L378=""),"条件必要须写条件",IF(AND(R378="条件通过待执行核验",OR(M378="未知",M378="未满足",O378="",O378="未提供")),"条件或权限证据不足，退回核验","格式已填；仍须人工复核"))))))</x:f>
      </x:c>
    </x:row>
    <x:row r="379" ht="44" customHeight="1">
      <x:c r="A379" s="9"/>
      <x:c r="B379" s="9"/>
      <x:c r="C379" s="9"/>
      <x:c r="D379" s="9"/>
      <x:c r="E379" s="9"/>
      <x:c r="F379" s="9"/>
      <x:c r="G379" s="9"/>
      <x:c r="H379" s="9"/>
      <x:c r="I379" s="9"/>
      <x:c r="J379" s="9"/>
      <x:c r="K379" s="9"/>
      <x:c r="L379" s="9"/>
      <x:c r="M379" s="9"/>
      <x:c r="N379" s="9"/>
      <x:c r="O379" s="9"/>
      <x:c r="P379" s="9"/>
      <x:c r="Q379" s="9"/>
      <x:c r="R379" s="9"/>
      <x:c r="S379" s="9"/>
      <x:c r="T379" s="9"/>
      <x:c r="U379" s="9"/>
      <x:c r="V379" s="9"/>
      <x:c r="W379" s="12" t="str">
        <x:f>IF(A379="","",IF(COUNTIF($A$6:$A$505,A379)&gt;1,"记录ID重复",IF(COUNTIF('案件索引'!$A$6:$A$105,B379)=0,"案件ID未登记",IF(OR(C379="",D379="",F379="",G379="",H379="",I379="",J379="",K379="",M379="",N379="",Q379="",R379="",T379=""),"补对象、必要性、结果、依据或标注人",IF(AND(H379="条件必要",L379=""),"条件必要须写条件",IF(AND(R379="条件通过待执行核验",OR(M379="未知",M379="未满足",O379="",O379="未提供")),"条件或权限证据不足，退回核验","格式已填；仍须人工复核"))))))</x:f>
      </x:c>
    </x:row>
    <x:row r="380" ht="44" customHeight="1">
      <x:c r="A380" s="9"/>
      <x:c r="B380" s="9"/>
      <x:c r="C380" s="9"/>
      <x:c r="D380" s="9"/>
      <x:c r="E380" s="9"/>
      <x:c r="F380" s="9"/>
      <x:c r="G380" s="9"/>
      <x:c r="H380" s="9"/>
      <x:c r="I380" s="9"/>
      <x:c r="J380" s="9"/>
      <x:c r="K380" s="9"/>
      <x:c r="L380" s="9"/>
      <x:c r="M380" s="9"/>
      <x:c r="N380" s="9"/>
      <x:c r="O380" s="9"/>
      <x:c r="P380" s="9"/>
      <x:c r="Q380" s="9"/>
      <x:c r="R380" s="9"/>
      <x:c r="S380" s="9"/>
      <x:c r="T380" s="9"/>
      <x:c r="U380" s="9"/>
      <x:c r="V380" s="9"/>
      <x:c r="W380" s="12" t="str">
        <x:f>IF(A380="","",IF(COUNTIF($A$6:$A$505,A380)&gt;1,"记录ID重复",IF(COUNTIF('案件索引'!$A$6:$A$105,B380)=0,"案件ID未登记",IF(OR(C380="",D380="",F380="",G380="",H380="",I380="",J380="",K380="",M380="",N380="",Q380="",R380="",T380=""),"补对象、必要性、结果、依据或标注人",IF(AND(H380="条件必要",L380=""),"条件必要须写条件",IF(AND(R380="条件通过待执行核验",OR(M380="未知",M380="未满足",O380="",O380="未提供")),"条件或权限证据不足，退回核验","格式已填；仍须人工复核"))))))</x:f>
      </x:c>
    </x:row>
    <x:row r="381" ht="44" customHeight="1">
      <x:c r="A381" s="9"/>
      <x:c r="B381" s="9"/>
      <x:c r="C381" s="9"/>
      <x:c r="D381" s="9"/>
      <x:c r="E381" s="9"/>
      <x:c r="F381" s="9"/>
      <x:c r="G381" s="9"/>
      <x:c r="H381" s="9"/>
      <x:c r="I381" s="9"/>
      <x:c r="J381" s="9"/>
      <x:c r="K381" s="9"/>
      <x:c r="L381" s="9"/>
      <x:c r="M381" s="9"/>
      <x:c r="N381" s="9"/>
      <x:c r="O381" s="9"/>
      <x:c r="P381" s="9"/>
      <x:c r="Q381" s="9"/>
      <x:c r="R381" s="9"/>
      <x:c r="S381" s="9"/>
      <x:c r="T381" s="9"/>
      <x:c r="U381" s="9"/>
      <x:c r="V381" s="9"/>
      <x:c r="W381" s="12" t="str">
        <x:f>IF(A381="","",IF(COUNTIF($A$6:$A$505,A381)&gt;1,"记录ID重复",IF(COUNTIF('案件索引'!$A$6:$A$105,B381)=0,"案件ID未登记",IF(OR(C381="",D381="",F381="",G381="",H381="",I381="",J381="",K381="",M381="",N381="",Q381="",R381="",T381=""),"补对象、必要性、结果、依据或标注人",IF(AND(H381="条件必要",L381=""),"条件必要须写条件",IF(AND(R381="条件通过待执行核验",OR(M381="未知",M381="未满足",O381="",O381="未提供")),"条件或权限证据不足，退回核验","格式已填；仍须人工复核"))))))</x:f>
      </x:c>
    </x:row>
    <x:row r="382" ht="44" customHeight="1">
      <x:c r="A382" s="9"/>
      <x:c r="B382" s="9"/>
      <x:c r="C382" s="9"/>
      <x:c r="D382" s="9"/>
      <x:c r="E382" s="9"/>
      <x:c r="F382" s="9"/>
      <x:c r="G382" s="9"/>
      <x:c r="H382" s="9"/>
      <x:c r="I382" s="9"/>
      <x:c r="J382" s="9"/>
      <x:c r="K382" s="9"/>
      <x:c r="L382" s="9"/>
      <x:c r="M382" s="9"/>
      <x:c r="N382" s="9"/>
      <x:c r="O382" s="9"/>
      <x:c r="P382" s="9"/>
      <x:c r="Q382" s="9"/>
      <x:c r="R382" s="9"/>
      <x:c r="S382" s="9"/>
      <x:c r="T382" s="9"/>
      <x:c r="U382" s="9"/>
      <x:c r="V382" s="9"/>
      <x:c r="W382" s="12" t="str">
        <x:f>IF(A382="","",IF(COUNTIF($A$6:$A$505,A382)&gt;1,"记录ID重复",IF(COUNTIF('案件索引'!$A$6:$A$105,B382)=0,"案件ID未登记",IF(OR(C382="",D382="",F382="",G382="",H382="",I382="",J382="",K382="",M382="",N382="",Q382="",R382="",T382=""),"补对象、必要性、结果、依据或标注人",IF(AND(H382="条件必要",L382=""),"条件必要须写条件",IF(AND(R382="条件通过待执行核验",OR(M382="未知",M382="未满足",O382="",O382="未提供")),"条件或权限证据不足，退回核验","格式已填；仍须人工复核"))))))</x:f>
      </x:c>
    </x:row>
    <x:row r="383" ht="44" customHeight="1">
      <x:c r="A383" s="9"/>
      <x:c r="B383" s="9"/>
      <x:c r="C383" s="9"/>
      <x:c r="D383" s="9"/>
      <x:c r="E383" s="9"/>
      <x:c r="F383" s="9"/>
      <x:c r="G383" s="9"/>
      <x:c r="H383" s="9"/>
      <x:c r="I383" s="9"/>
      <x:c r="J383" s="9"/>
      <x:c r="K383" s="9"/>
      <x:c r="L383" s="9"/>
      <x:c r="M383" s="9"/>
      <x:c r="N383" s="9"/>
      <x:c r="O383" s="9"/>
      <x:c r="P383" s="9"/>
      <x:c r="Q383" s="9"/>
      <x:c r="R383" s="9"/>
      <x:c r="S383" s="9"/>
      <x:c r="T383" s="9"/>
      <x:c r="U383" s="9"/>
      <x:c r="V383" s="9"/>
      <x:c r="W383" s="12" t="str">
        <x:f>IF(A383="","",IF(COUNTIF($A$6:$A$505,A383)&gt;1,"记录ID重复",IF(COUNTIF('案件索引'!$A$6:$A$105,B383)=0,"案件ID未登记",IF(OR(C383="",D383="",F383="",G383="",H383="",I383="",J383="",K383="",M383="",N383="",Q383="",R383="",T383=""),"补对象、必要性、结果、依据或标注人",IF(AND(H383="条件必要",L383=""),"条件必要须写条件",IF(AND(R383="条件通过待执行核验",OR(M383="未知",M383="未满足",O383="",O383="未提供")),"条件或权限证据不足，退回核验","格式已填；仍须人工复核"))))))</x:f>
      </x:c>
    </x:row>
    <x:row r="384" ht="44" customHeight="1">
      <x:c r="A384" s="9"/>
      <x:c r="B384" s="9"/>
      <x:c r="C384" s="9"/>
      <x:c r="D384" s="9"/>
      <x:c r="E384" s="9"/>
      <x:c r="F384" s="9"/>
      <x:c r="G384" s="9"/>
      <x:c r="H384" s="9"/>
      <x:c r="I384" s="9"/>
      <x:c r="J384" s="9"/>
      <x:c r="K384" s="9"/>
      <x:c r="L384" s="9"/>
      <x:c r="M384" s="9"/>
      <x:c r="N384" s="9"/>
      <x:c r="O384" s="9"/>
      <x:c r="P384" s="9"/>
      <x:c r="Q384" s="9"/>
      <x:c r="R384" s="9"/>
      <x:c r="S384" s="9"/>
      <x:c r="T384" s="9"/>
      <x:c r="U384" s="9"/>
      <x:c r="V384" s="9"/>
      <x:c r="W384" s="12" t="str">
        <x:f>IF(A384="","",IF(COUNTIF($A$6:$A$505,A384)&gt;1,"记录ID重复",IF(COUNTIF('案件索引'!$A$6:$A$105,B384)=0,"案件ID未登记",IF(OR(C384="",D384="",F384="",G384="",H384="",I384="",J384="",K384="",M384="",N384="",Q384="",R384="",T384=""),"补对象、必要性、结果、依据或标注人",IF(AND(H384="条件必要",L384=""),"条件必要须写条件",IF(AND(R384="条件通过待执行核验",OR(M384="未知",M384="未满足",O384="",O384="未提供")),"条件或权限证据不足，退回核验","格式已填；仍须人工复核"))))))</x:f>
      </x:c>
    </x:row>
    <x:row r="385" ht="44" customHeight="1">
      <x:c r="A385" s="9"/>
      <x:c r="B385" s="9"/>
      <x:c r="C385" s="9"/>
      <x:c r="D385" s="9"/>
      <x:c r="E385" s="9"/>
      <x:c r="F385" s="9"/>
      <x:c r="G385" s="9"/>
      <x:c r="H385" s="9"/>
      <x:c r="I385" s="9"/>
      <x:c r="J385" s="9"/>
      <x:c r="K385" s="9"/>
      <x:c r="L385" s="9"/>
      <x:c r="M385" s="9"/>
      <x:c r="N385" s="9"/>
      <x:c r="O385" s="9"/>
      <x:c r="P385" s="9"/>
      <x:c r="Q385" s="9"/>
      <x:c r="R385" s="9"/>
      <x:c r="S385" s="9"/>
      <x:c r="T385" s="9"/>
      <x:c r="U385" s="9"/>
      <x:c r="V385" s="9"/>
      <x:c r="W385" s="12" t="str">
        <x:f>IF(A385="","",IF(COUNTIF($A$6:$A$505,A385)&gt;1,"记录ID重复",IF(COUNTIF('案件索引'!$A$6:$A$105,B385)=0,"案件ID未登记",IF(OR(C385="",D385="",F385="",G385="",H385="",I385="",J385="",K385="",M385="",N385="",Q385="",R385="",T385=""),"补对象、必要性、结果、依据或标注人",IF(AND(H385="条件必要",L385=""),"条件必要须写条件",IF(AND(R385="条件通过待执行核验",OR(M385="未知",M385="未满足",O385="",O385="未提供")),"条件或权限证据不足，退回核验","格式已填；仍须人工复核"))))))</x:f>
      </x:c>
    </x:row>
    <x:row r="386" ht="44" customHeight="1">
      <x:c r="A386" s="9"/>
      <x:c r="B386" s="9"/>
      <x:c r="C386" s="9"/>
      <x:c r="D386" s="9"/>
      <x:c r="E386" s="9"/>
      <x:c r="F386" s="9"/>
      <x:c r="G386" s="9"/>
      <x:c r="H386" s="9"/>
      <x:c r="I386" s="9"/>
      <x:c r="J386" s="9"/>
      <x:c r="K386" s="9"/>
      <x:c r="L386" s="9"/>
      <x:c r="M386" s="9"/>
      <x:c r="N386" s="9"/>
      <x:c r="O386" s="9"/>
      <x:c r="P386" s="9"/>
      <x:c r="Q386" s="9"/>
      <x:c r="R386" s="9"/>
      <x:c r="S386" s="9"/>
      <x:c r="T386" s="9"/>
      <x:c r="U386" s="9"/>
      <x:c r="V386" s="9"/>
      <x:c r="W386" s="12" t="str">
        <x:f>IF(A386="","",IF(COUNTIF($A$6:$A$505,A386)&gt;1,"记录ID重复",IF(COUNTIF('案件索引'!$A$6:$A$105,B386)=0,"案件ID未登记",IF(OR(C386="",D386="",F386="",G386="",H386="",I386="",J386="",K386="",M386="",N386="",Q386="",R386="",T386=""),"补对象、必要性、结果、依据或标注人",IF(AND(H386="条件必要",L386=""),"条件必要须写条件",IF(AND(R386="条件通过待执行核验",OR(M386="未知",M386="未满足",O386="",O386="未提供")),"条件或权限证据不足，退回核验","格式已填；仍须人工复核"))))))</x:f>
      </x:c>
    </x:row>
    <x:row r="387" ht="44" customHeight="1">
      <x:c r="A387" s="9"/>
      <x:c r="B387" s="9"/>
      <x:c r="C387" s="9"/>
      <x:c r="D387" s="9"/>
      <x:c r="E387" s="9"/>
      <x:c r="F387" s="9"/>
      <x:c r="G387" s="9"/>
      <x:c r="H387" s="9"/>
      <x:c r="I387" s="9"/>
      <x:c r="J387" s="9"/>
      <x:c r="K387" s="9"/>
      <x:c r="L387" s="9"/>
      <x:c r="M387" s="9"/>
      <x:c r="N387" s="9"/>
      <x:c r="O387" s="9"/>
      <x:c r="P387" s="9"/>
      <x:c r="Q387" s="9"/>
      <x:c r="R387" s="9"/>
      <x:c r="S387" s="9"/>
      <x:c r="T387" s="9"/>
      <x:c r="U387" s="9"/>
      <x:c r="V387" s="9"/>
      <x:c r="W387" s="12" t="str">
        <x:f>IF(A387="","",IF(COUNTIF($A$6:$A$505,A387)&gt;1,"记录ID重复",IF(COUNTIF('案件索引'!$A$6:$A$105,B387)=0,"案件ID未登记",IF(OR(C387="",D387="",F387="",G387="",H387="",I387="",J387="",K387="",M387="",N387="",Q387="",R387="",T387=""),"补对象、必要性、结果、依据或标注人",IF(AND(H387="条件必要",L387=""),"条件必要须写条件",IF(AND(R387="条件通过待执行核验",OR(M387="未知",M387="未满足",O387="",O387="未提供")),"条件或权限证据不足，退回核验","格式已填；仍须人工复核"))))))</x:f>
      </x:c>
    </x:row>
    <x:row r="388" ht="44" customHeight="1">
      <x:c r="A388" s="9"/>
      <x:c r="B388" s="9"/>
      <x:c r="C388" s="9"/>
      <x:c r="D388" s="9"/>
      <x:c r="E388" s="9"/>
      <x:c r="F388" s="9"/>
      <x:c r="G388" s="9"/>
      <x:c r="H388" s="9"/>
      <x:c r="I388" s="9"/>
      <x:c r="J388" s="9"/>
      <x:c r="K388" s="9"/>
      <x:c r="L388" s="9"/>
      <x:c r="M388" s="9"/>
      <x:c r="N388" s="9"/>
      <x:c r="O388" s="9"/>
      <x:c r="P388" s="9"/>
      <x:c r="Q388" s="9"/>
      <x:c r="R388" s="9"/>
      <x:c r="S388" s="9"/>
      <x:c r="T388" s="9"/>
      <x:c r="U388" s="9"/>
      <x:c r="V388" s="9"/>
      <x:c r="W388" s="12" t="str">
        <x:f>IF(A388="","",IF(COUNTIF($A$6:$A$505,A388)&gt;1,"记录ID重复",IF(COUNTIF('案件索引'!$A$6:$A$105,B388)=0,"案件ID未登记",IF(OR(C388="",D388="",F388="",G388="",H388="",I388="",J388="",K388="",M388="",N388="",Q388="",R388="",T388=""),"补对象、必要性、结果、依据或标注人",IF(AND(H388="条件必要",L388=""),"条件必要须写条件",IF(AND(R388="条件通过待执行核验",OR(M388="未知",M388="未满足",O388="",O388="未提供")),"条件或权限证据不足，退回核验","格式已填；仍须人工复核"))))))</x:f>
      </x:c>
    </x:row>
    <x:row r="389" ht="44" customHeight="1">
      <x:c r="A389" s="9"/>
      <x:c r="B389" s="9"/>
      <x:c r="C389" s="9"/>
      <x:c r="D389" s="9"/>
      <x:c r="E389" s="9"/>
      <x:c r="F389" s="9"/>
      <x:c r="G389" s="9"/>
      <x:c r="H389" s="9"/>
      <x:c r="I389" s="9"/>
      <x:c r="J389" s="9"/>
      <x:c r="K389" s="9"/>
      <x:c r="L389" s="9"/>
      <x:c r="M389" s="9"/>
      <x:c r="N389" s="9"/>
      <x:c r="O389" s="9"/>
      <x:c r="P389" s="9"/>
      <x:c r="Q389" s="9"/>
      <x:c r="R389" s="9"/>
      <x:c r="S389" s="9"/>
      <x:c r="T389" s="9"/>
      <x:c r="U389" s="9"/>
      <x:c r="V389" s="9"/>
      <x:c r="W389" s="12" t="str">
        <x:f>IF(A389="","",IF(COUNTIF($A$6:$A$505,A389)&gt;1,"记录ID重复",IF(COUNTIF('案件索引'!$A$6:$A$105,B389)=0,"案件ID未登记",IF(OR(C389="",D389="",F389="",G389="",H389="",I389="",J389="",K389="",M389="",N389="",Q389="",R389="",T389=""),"补对象、必要性、结果、依据或标注人",IF(AND(H389="条件必要",L389=""),"条件必要须写条件",IF(AND(R389="条件通过待执行核验",OR(M389="未知",M389="未满足",O389="",O389="未提供")),"条件或权限证据不足，退回核验","格式已填；仍须人工复核"))))))</x:f>
      </x:c>
    </x:row>
    <x:row r="390" ht="44" customHeight="1">
      <x:c r="A390" s="9"/>
      <x:c r="B390" s="9"/>
      <x:c r="C390" s="9"/>
      <x:c r="D390" s="9"/>
      <x:c r="E390" s="9"/>
      <x:c r="F390" s="9"/>
      <x:c r="G390" s="9"/>
      <x:c r="H390" s="9"/>
      <x:c r="I390" s="9"/>
      <x:c r="J390" s="9"/>
      <x:c r="K390" s="9"/>
      <x:c r="L390" s="9"/>
      <x:c r="M390" s="9"/>
      <x:c r="N390" s="9"/>
      <x:c r="O390" s="9"/>
      <x:c r="P390" s="9"/>
      <x:c r="Q390" s="9"/>
      <x:c r="R390" s="9"/>
      <x:c r="S390" s="9"/>
      <x:c r="T390" s="9"/>
      <x:c r="U390" s="9"/>
      <x:c r="V390" s="9"/>
      <x:c r="W390" s="12" t="str">
        <x:f>IF(A390="","",IF(COUNTIF($A$6:$A$505,A390)&gt;1,"记录ID重复",IF(COUNTIF('案件索引'!$A$6:$A$105,B390)=0,"案件ID未登记",IF(OR(C390="",D390="",F390="",G390="",H390="",I390="",J390="",K390="",M390="",N390="",Q390="",R390="",T390=""),"补对象、必要性、结果、依据或标注人",IF(AND(H390="条件必要",L390=""),"条件必要须写条件",IF(AND(R390="条件通过待执行核验",OR(M390="未知",M390="未满足",O390="",O390="未提供")),"条件或权限证据不足，退回核验","格式已填；仍须人工复核"))))))</x:f>
      </x:c>
    </x:row>
    <x:row r="391" ht="44" customHeight="1">
      <x:c r="A391" s="9"/>
      <x:c r="B391" s="9"/>
      <x:c r="C391" s="9"/>
      <x:c r="D391" s="9"/>
      <x:c r="E391" s="9"/>
      <x:c r="F391" s="9"/>
      <x:c r="G391" s="9"/>
      <x:c r="H391" s="9"/>
      <x:c r="I391" s="9"/>
      <x:c r="J391" s="9"/>
      <x:c r="K391" s="9"/>
      <x:c r="L391" s="9"/>
      <x:c r="M391" s="9"/>
      <x:c r="N391" s="9"/>
      <x:c r="O391" s="9"/>
      <x:c r="P391" s="9"/>
      <x:c r="Q391" s="9"/>
      <x:c r="R391" s="9"/>
      <x:c r="S391" s="9"/>
      <x:c r="T391" s="9"/>
      <x:c r="U391" s="9"/>
      <x:c r="V391" s="9"/>
      <x:c r="W391" s="12" t="str">
        <x:f>IF(A391="","",IF(COUNTIF($A$6:$A$505,A391)&gt;1,"记录ID重复",IF(COUNTIF('案件索引'!$A$6:$A$105,B391)=0,"案件ID未登记",IF(OR(C391="",D391="",F391="",G391="",H391="",I391="",J391="",K391="",M391="",N391="",Q391="",R391="",T391=""),"补对象、必要性、结果、依据或标注人",IF(AND(H391="条件必要",L391=""),"条件必要须写条件",IF(AND(R391="条件通过待执行核验",OR(M391="未知",M391="未满足",O391="",O391="未提供")),"条件或权限证据不足，退回核验","格式已填；仍须人工复核"))))))</x:f>
      </x:c>
    </x:row>
    <x:row r="392" ht="44" customHeight="1">
      <x:c r="A392" s="9"/>
      <x:c r="B392" s="9"/>
      <x:c r="C392" s="9"/>
      <x:c r="D392" s="9"/>
      <x:c r="E392" s="9"/>
      <x:c r="F392" s="9"/>
      <x:c r="G392" s="9"/>
      <x:c r="H392" s="9"/>
      <x:c r="I392" s="9"/>
      <x:c r="J392" s="9"/>
      <x:c r="K392" s="9"/>
      <x:c r="L392" s="9"/>
      <x:c r="M392" s="9"/>
      <x:c r="N392" s="9"/>
      <x:c r="O392" s="9"/>
      <x:c r="P392" s="9"/>
      <x:c r="Q392" s="9"/>
      <x:c r="R392" s="9"/>
      <x:c r="S392" s="9"/>
      <x:c r="T392" s="9"/>
      <x:c r="U392" s="9"/>
      <x:c r="V392" s="9"/>
      <x:c r="W392" s="12" t="str">
        <x:f>IF(A392="","",IF(COUNTIF($A$6:$A$505,A392)&gt;1,"记录ID重复",IF(COUNTIF('案件索引'!$A$6:$A$105,B392)=0,"案件ID未登记",IF(OR(C392="",D392="",F392="",G392="",H392="",I392="",J392="",K392="",M392="",N392="",Q392="",R392="",T392=""),"补对象、必要性、结果、依据或标注人",IF(AND(H392="条件必要",L392=""),"条件必要须写条件",IF(AND(R392="条件通过待执行核验",OR(M392="未知",M392="未满足",O392="",O392="未提供")),"条件或权限证据不足，退回核验","格式已填；仍须人工复核"))))))</x:f>
      </x:c>
    </x:row>
    <x:row r="393" ht="44" customHeight="1">
      <x:c r="A393" s="9"/>
      <x:c r="B393" s="9"/>
      <x:c r="C393" s="9"/>
      <x:c r="D393" s="9"/>
      <x:c r="E393" s="9"/>
      <x:c r="F393" s="9"/>
      <x:c r="G393" s="9"/>
      <x:c r="H393" s="9"/>
      <x:c r="I393" s="9"/>
      <x:c r="J393" s="9"/>
      <x:c r="K393" s="9"/>
      <x:c r="L393" s="9"/>
      <x:c r="M393" s="9"/>
      <x:c r="N393" s="9"/>
      <x:c r="O393" s="9"/>
      <x:c r="P393" s="9"/>
      <x:c r="Q393" s="9"/>
      <x:c r="R393" s="9"/>
      <x:c r="S393" s="9"/>
      <x:c r="T393" s="9"/>
      <x:c r="U393" s="9"/>
      <x:c r="V393" s="9"/>
      <x:c r="W393" s="12" t="str">
        <x:f>IF(A393="","",IF(COUNTIF($A$6:$A$505,A393)&gt;1,"记录ID重复",IF(COUNTIF('案件索引'!$A$6:$A$105,B393)=0,"案件ID未登记",IF(OR(C393="",D393="",F393="",G393="",H393="",I393="",J393="",K393="",M393="",N393="",Q393="",R393="",T393=""),"补对象、必要性、结果、依据或标注人",IF(AND(H393="条件必要",L393=""),"条件必要须写条件",IF(AND(R393="条件通过待执行核验",OR(M393="未知",M393="未满足",O393="",O393="未提供")),"条件或权限证据不足，退回核验","格式已填；仍须人工复核"))))))</x:f>
      </x:c>
    </x:row>
    <x:row r="394" ht="44" customHeight="1">
      <x:c r="A394" s="9"/>
      <x:c r="B394" s="9"/>
      <x:c r="C394" s="9"/>
      <x:c r="D394" s="9"/>
      <x:c r="E394" s="9"/>
      <x:c r="F394" s="9"/>
      <x:c r="G394" s="9"/>
      <x:c r="H394" s="9"/>
      <x:c r="I394" s="9"/>
      <x:c r="J394" s="9"/>
      <x:c r="K394" s="9"/>
      <x:c r="L394" s="9"/>
      <x:c r="M394" s="9"/>
      <x:c r="N394" s="9"/>
      <x:c r="O394" s="9"/>
      <x:c r="P394" s="9"/>
      <x:c r="Q394" s="9"/>
      <x:c r="R394" s="9"/>
      <x:c r="S394" s="9"/>
      <x:c r="T394" s="9"/>
      <x:c r="U394" s="9"/>
      <x:c r="V394" s="9"/>
      <x:c r="W394" s="12" t="str">
        <x:f>IF(A394="","",IF(COUNTIF($A$6:$A$505,A394)&gt;1,"记录ID重复",IF(COUNTIF('案件索引'!$A$6:$A$105,B394)=0,"案件ID未登记",IF(OR(C394="",D394="",F394="",G394="",H394="",I394="",J394="",K394="",M394="",N394="",Q394="",R394="",T394=""),"补对象、必要性、结果、依据或标注人",IF(AND(H394="条件必要",L394=""),"条件必要须写条件",IF(AND(R394="条件通过待执行核验",OR(M394="未知",M394="未满足",O394="",O394="未提供")),"条件或权限证据不足，退回核验","格式已填；仍须人工复核"))))))</x:f>
      </x:c>
    </x:row>
    <x:row r="395" ht="44" customHeight="1">
      <x:c r="A395" s="9"/>
      <x:c r="B395" s="9"/>
      <x:c r="C395" s="9"/>
      <x:c r="D395" s="9"/>
      <x:c r="E395" s="9"/>
      <x:c r="F395" s="9"/>
      <x:c r="G395" s="9"/>
      <x:c r="H395" s="9"/>
      <x:c r="I395" s="9"/>
      <x:c r="J395" s="9"/>
      <x:c r="K395" s="9"/>
      <x:c r="L395" s="9"/>
      <x:c r="M395" s="9"/>
      <x:c r="N395" s="9"/>
      <x:c r="O395" s="9"/>
      <x:c r="P395" s="9"/>
      <x:c r="Q395" s="9"/>
      <x:c r="R395" s="9"/>
      <x:c r="S395" s="9"/>
      <x:c r="T395" s="9"/>
      <x:c r="U395" s="9"/>
      <x:c r="V395" s="9"/>
      <x:c r="W395" s="12" t="str">
        <x:f>IF(A395="","",IF(COUNTIF($A$6:$A$505,A395)&gt;1,"记录ID重复",IF(COUNTIF('案件索引'!$A$6:$A$105,B395)=0,"案件ID未登记",IF(OR(C395="",D395="",F395="",G395="",H395="",I395="",J395="",K395="",M395="",N395="",Q395="",R395="",T395=""),"补对象、必要性、结果、依据或标注人",IF(AND(H395="条件必要",L395=""),"条件必要须写条件",IF(AND(R395="条件通过待执行核验",OR(M395="未知",M395="未满足",O395="",O395="未提供")),"条件或权限证据不足，退回核验","格式已填；仍须人工复核"))))))</x:f>
      </x:c>
    </x:row>
    <x:row r="396" ht="44" customHeight="1">
      <x:c r="A396" s="9"/>
      <x:c r="B396" s="9"/>
      <x:c r="C396" s="9"/>
      <x:c r="D396" s="9"/>
      <x:c r="E396" s="9"/>
      <x:c r="F396" s="9"/>
      <x:c r="G396" s="9"/>
      <x:c r="H396" s="9"/>
      <x:c r="I396" s="9"/>
      <x:c r="J396" s="9"/>
      <x:c r="K396" s="9"/>
      <x:c r="L396" s="9"/>
      <x:c r="M396" s="9"/>
      <x:c r="N396" s="9"/>
      <x:c r="O396" s="9"/>
      <x:c r="P396" s="9"/>
      <x:c r="Q396" s="9"/>
      <x:c r="R396" s="9"/>
      <x:c r="S396" s="9"/>
      <x:c r="T396" s="9"/>
      <x:c r="U396" s="9"/>
      <x:c r="V396" s="9"/>
      <x:c r="W396" s="12" t="str">
        <x:f>IF(A396="","",IF(COUNTIF($A$6:$A$505,A396)&gt;1,"记录ID重复",IF(COUNTIF('案件索引'!$A$6:$A$105,B396)=0,"案件ID未登记",IF(OR(C396="",D396="",F396="",G396="",H396="",I396="",J396="",K396="",M396="",N396="",Q396="",R396="",T396=""),"补对象、必要性、结果、依据或标注人",IF(AND(H396="条件必要",L396=""),"条件必要须写条件",IF(AND(R396="条件通过待执行核验",OR(M396="未知",M396="未满足",O396="",O396="未提供")),"条件或权限证据不足，退回核验","格式已填；仍须人工复核"))))))</x:f>
      </x:c>
    </x:row>
    <x:row r="397" ht="44" customHeight="1">
      <x:c r="A397" s="9"/>
      <x:c r="B397" s="9"/>
      <x:c r="C397" s="9"/>
      <x:c r="D397" s="9"/>
      <x:c r="E397" s="9"/>
      <x:c r="F397" s="9"/>
      <x:c r="G397" s="9"/>
      <x:c r="H397" s="9"/>
      <x:c r="I397" s="9"/>
      <x:c r="J397" s="9"/>
      <x:c r="K397" s="9"/>
      <x:c r="L397" s="9"/>
      <x:c r="M397" s="9"/>
      <x:c r="N397" s="9"/>
      <x:c r="O397" s="9"/>
      <x:c r="P397" s="9"/>
      <x:c r="Q397" s="9"/>
      <x:c r="R397" s="9"/>
      <x:c r="S397" s="9"/>
      <x:c r="T397" s="9"/>
      <x:c r="U397" s="9"/>
      <x:c r="V397" s="9"/>
      <x:c r="W397" s="12" t="str">
        <x:f>IF(A397="","",IF(COUNTIF($A$6:$A$505,A397)&gt;1,"记录ID重复",IF(COUNTIF('案件索引'!$A$6:$A$105,B397)=0,"案件ID未登记",IF(OR(C397="",D397="",F397="",G397="",H397="",I397="",J397="",K397="",M397="",N397="",Q397="",R397="",T397=""),"补对象、必要性、结果、依据或标注人",IF(AND(H397="条件必要",L397=""),"条件必要须写条件",IF(AND(R397="条件通过待执行核验",OR(M397="未知",M397="未满足",O397="",O397="未提供")),"条件或权限证据不足，退回核验","格式已填；仍须人工复核"))))))</x:f>
      </x:c>
    </x:row>
    <x:row r="398" ht="44" customHeight="1">
      <x:c r="A398" s="9"/>
      <x:c r="B398" s="9"/>
      <x:c r="C398" s="9"/>
      <x:c r="D398" s="9"/>
      <x:c r="E398" s="9"/>
      <x:c r="F398" s="9"/>
      <x:c r="G398" s="9"/>
      <x:c r="H398" s="9"/>
      <x:c r="I398" s="9"/>
      <x:c r="J398" s="9"/>
      <x:c r="K398" s="9"/>
      <x:c r="L398" s="9"/>
      <x:c r="M398" s="9"/>
      <x:c r="N398" s="9"/>
      <x:c r="O398" s="9"/>
      <x:c r="P398" s="9"/>
      <x:c r="Q398" s="9"/>
      <x:c r="R398" s="9"/>
      <x:c r="S398" s="9"/>
      <x:c r="T398" s="9"/>
      <x:c r="U398" s="9"/>
      <x:c r="V398" s="9"/>
      <x:c r="W398" s="12" t="str">
        <x:f>IF(A398="","",IF(COUNTIF($A$6:$A$505,A398)&gt;1,"记录ID重复",IF(COUNTIF('案件索引'!$A$6:$A$105,B398)=0,"案件ID未登记",IF(OR(C398="",D398="",F398="",G398="",H398="",I398="",J398="",K398="",M398="",N398="",Q398="",R398="",T398=""),"补对象、必要性、结果、依据或标注人",IF(AND(H398="条件必要",L398=""),"条件必要须写条件",IF(AND(R398="条件通过待执行核验",OR(M398="未知",M398="未满足",O398="",O398="未提供")),"条件或权限证据不足，退回核验","格式已填；仍须人工复核"))))))</x:f>
      </x:c>
    </x:row>
    <x:row r="399" ht="44" customHeight="1">
      <x:c r="A399" s="9"/>
      <x:c r="B399" s="9"/>
      <x:c r="C399" s="9"/>
      <x:c r="D399" s="9"/>
      <x:c r="E399" s="9"/>
      <x:c r="F399" s="9"/>
      <x:c r="G399" s="9"/>
      <x:c r="H399" s="9"/>
      <x:c r="I399" s="9"/>
      <x:c r="J399" s="9"/>
      <x:c r="K399" s="9"/>
      <x:c r="L399" s="9"/>
      <x:c r="M399" s="9"/>
      <x:c r="N399" s="9"/>
      <x:c r="O399" s="9"/>
      <x:c r="P399" s="9"/>
      <x:c r="Q399" s="9"/>
      <x:c r="R399" s="9"/>
      <x:c r="S399" s="9"/>
      <x:c r="T399" s="9"/>
      <x:c r="U399" s="9"/>
      <x:c r="V399" s="9"/>
      <x:c r="W399" s="12" t="str">
        <x:f>IF(A399="","",IF(COUNTIF($A$6:$A$505,A399)&gt;1,"记录ID重复",IF(COUNTIF('案件索引'!$A$6:$A$105,B399)=0,"案件ID未登记",IF(OR(C399="",D399="",F399="",G399="",H399="",I399="",J399="",K399="",M399="",N399="",Q399="",R399="",T399=""),"补对象、必要性、结果、依据或标注人",IF(AND(H399="条件必要",L399=""),"条件必要须写条件",IF(AND(R399="条件通过待执行核验",OR(M399="未知",M399="未满足",O399="",O399="未提供")),"条件或权限证据不足，退回核验","格式已填；仍须人工复核"))))))</x:f>
      </x:c>
    </x:row>
    <x:row r="400" ht="44" customHeight="1">
      <x:c r="A400" s="9"/>
      <x:c r="B400" s="9"/>
      <x:c r="C400" s="9"/>
      <x:c r="D400" s="9"/>
      <x:c r="E400" s="9"/>
      <x:c r="F400" s="9"/>
      <x:c r="G400" s="9"/>
      <x:c r="H400" s="9"/>
      <x:c r="I400" s="9"/>
      <x:c r="J400" s="9"/>
      <x:c r="K400" s="9"/>
      <x:c r="L400" s="9"/>
      <x:c r="M400" s="9"/>
      <x:c r="N400" s="9"/>
      <x:c r="O400" s="9"/>
      <x:c r="P400" s="9"/>
      <x:c r="Q400" s="9"/>
      <x:c r="R400" s="9"/>
      <x:c r="S400" s="9"/>
      <x:c r="T400" s="9"/>
      <x:c r="U400" s="9"/>
      <x:c r="V400" s="9"/>
      <x:c r="W400" s="12" t="str">
        <x:f>IF(A400="","",IF(COUNTIF($A$6:$A$505,A400)&gt;1,"记录ID重复",IF(COUNTIF('案件索引'!$A$6:$A$105,B400)=0,"案件ID未登记",IF(OR(C400="",D400="",F400="",G400="",H400="",I400="",J400="",K400="",M400="",N400="",Q400="",R400="",T400=""),"补对象、必要性、结果、依据或标注人",IF(AND(H400="条件必要",L400=""),"条件必要须写条件",IF(AND(R400="条件通过待执行核验",OR(M400="未知",M400="未满足",O400="",O400="未提供")),"条件或权限证据不足，退回核验","格式已填；仍须人工复核"))))))</x:f>
      </x:c>
    </x:row>
    <x:row r="401" ht="44" customHeight="1">
      <x:c r="A401" s="9"/>
      <x:c r="B401" s="9"/>
      <x:c r="C401" s="9"/>
      <x:c r="D401" s="9"/>
      <x:c r="E401" s="9"/>
      <x:c r="F401" s="9"/>
      <x:c r="G401" s="9"/>
      <x:c r="H401" s="9"/>
      <x:c r="I401" s="9"/>
      <x:c r="J401" s="9"/>
      <x:c r="K401" s="9"/>
      <x:c r="L401" s="9"/>
      <x:c r="M401" s="9"/>
      <x:c r="N401" s="9"/>
      <x:c r="O401" s="9"/>
      <x:c r="P401" s="9"/>
      <x:c r="Q401" s="9"/>
      <x:c r="R401" s="9"/>
      <x:c r="S401" s="9"/>
      <x:c r="T401" s="9"/>
      <x:c r="U401" s="9"/>
      <x:c r="V401" s="9"/>
      <x:c r="W401" s="12" t="str">
        <x:f>IF(A401="","",IF(COUNTIF($A$6:$A$505,A401)&gt;1,"记录ID重复",IF(COUNTIF('案件索引'!$A$6:$A$105,B401)=0,"案件ID未登记",IF(OR(C401="",D401="",F401="",G401="",H401="",I401="",J401="",K401="",M401="",N401="",Q401="",R401="",T401=""),"补对象、必要性、结果、依据或标注人",IF(AND(H401="条件必要",L401=""),"条件必要须写条件",IF(AND(R401="条件通过待执行核验",OR(M401="未知",M401="未满足",O401="",O401="未提供")),"条件或权限证据不足，退回核验","格式已填；仍须人工复核"))))))</x:f>
      </x:c>
    </x:row>
    <x:row r="402" ht="44" customHeight="1">
      <x:c r="A402" s="9"/>
      <x:c r="B402" s="9"/>
      <x:c r="C402" s="9"/>
      <x:c r="D402" s="9"/>
      <x:c r="E402" s="9"/>
      <x:c r="F402" s="9"/>
      <x:c r="G402" s="9"/>
      <x:c r="H402" s="9"/>
      <x:c r="I402" s="9"/>
      <x:c r="J402" s="9"/>
      <x:c r="K402" s="9"/>
      <x:c r="L402" s="9"/>
      <x:c r="M402" s="9"/>
      <x:c r="N402" s="9"/>
      <x:c r="O402" s="9"/>
      <x:c r="P402" s="9"/>
      <x:c r="Q402" s="9"/>
      <x:c r="R402" s="9"/>
      <x:c r="S402" s="9"/>
      <x:c r="T402" s="9"/>
      <x:c r="U402" s="9"/>
      <x:c r="V402" s="9"/>
      <x:c r="W402" s="12" t="str">
        <x:f>IF(A402="","",IF(COUNTIF($A$6:$A$505,A402)&gt;1,"记录ID重复",IF(COUNTIF('案件索引'!$A$6:$A$105,B402)=0,"案件ID未登记",IF(OR(C402="",D402="",F402="",G402="",H402="",I402="",J402="",K402="",M402="",N402="",Q402="",R402="",T402=""),"补对象、必要性、结果、依据或标注人",IF(AND(H402="条件必要",L402=""),"条件必要须写条件",IF(AND(R402="条件通过待执行核验",OR(M402="未知",M402="未满足",O402="",O402="未提供")),"条件或权限证据不足，退回核验","格式已填；仍须人工复核"))))))</x:f>
      </x:c>
    </x:row>
    <x:row r="403" ht="44" customHeight="1">
      <x:c r="A403" s="9"/>
      <x:c r="B403" s="9"/>
      <x:c r="C403" s="9"/>
      <x:c r="D403" s="9"/>
      <x:c r="E403" s="9"/>
      <x:c r="F403" s="9"/>
      <x:c r="G403" s="9"/>
      <x:c r="H403" s="9"/>
      <x:c r="I403" s="9"/>
      <x:c r="J403" s="9"/>
      <x:c r="K403" s="9"/>
      <x:c r="L403" s="9"/>
      <x:c r="M403" s="9"/>
      <x:c r="N403" s="9"/>
      <x:c r="O403" s="9"/>
      <x:c r="P403" s="9"/>
      <x:c r="Q403" s="9"/>
      <x:c r="R403" s="9"/>
      <x:c r="S403" s="9"/>
      <x:c r="T403" s="9"/>
      <x:c r="U403" s="9"/>
      <x:c r="V403" s="9"/>
      <x:c r="W403" s="12" t="str">
        <x:f>IF(A403="","",IF(COUNTIF($A$6:$A$505,A403)&gt;1,"记录ID重复",IF(COUNTIF('案件索引'!$A$6:$A$105,B403)=0,"案件ID未登记",IF(OR(C403="",D403="",F403="",G403="",H403="",I403="",J403="",K403="",M403="",N403="",Q403="",R403="",T403=""),"补对象、必要性、结果、依据或标注人",IF(AND(H403="条件必要",L403=""),"条件必要须写条件",IF(AND(R403="条件通过待执行核验",OR(M403="未知",M403="未满足",O403="",O403="未提供")),"条件或权限证据不足，退回核验","格式已填；仍须人工复核"))))))</x:f>
      </x:c>
    </x:row>
    <x:row r="404" ht="44" customHeight="1">
      <x:c r="A404" s="9"/>
      <x:c r="B404" s="9"/>
      <x:c r="C404" s="9"/>
      <x:c r="D404" s="9"/>
      <x:c r="E404" s="9"/>
      <x:c r="F404" s="9"/>
      <x:c r="G404" s="9"/>
      <x:c r="H404" s="9"/>
      <x:c r="I404" s="9"/>
      <x:c r="J404" s="9"/>
      <x:c r="K404" s="9"/>
      <x:c r="L404" s="9"/>
      <x:c r="M404" s="9"/>
      <x:c r="N404" s="9"/>
      <x:c r="O404" s="9"/>
      <x:c r="P404" s="9"/>
      <x:c r="Q404" s="9"/>
      <x:c r="R404" s="9"/>
      <x:c r="S404" s="9"/>
      <x:c r="T404" s="9"/>
      <x:c r="U404" s="9"/>
      <x:c r="V404" s="9"/>
      <x:c r="W404" s="12" t="str">
        <x:f>IF(A404="","",IF(COUNTIF($A$6:$A$505,A404)&gt;1,"记录ID重复",IF(COUNTIF('案件索引'!$A$6:$A$105,B404)=0,"案件ID未登记",IF(OR(C404="",D404="",F404="",G404="",H404="",I404="",J404="",K404="",M404="",N404="",Q404="",R404="",T404=""),"补对象、必要性、结果、依据或标注人",IF(AND(H404="条件必要",L404=""),"条件必要须写条件",IF(AND(R404="条件通过待执行核验",OR(M404="未知",M404="未满足",O404="",O404="未提供")),"条件或权限证据不足，退回核验","格式已填；仍须人工复核"))))))</x:f>
      </x:c>
    </x:row>
    <x:row r="405" ht="44" customHeight="1">
      <x:c r="A405" s="9"/>
      <x:c r="B405" s="9"/>
      <x:c r="C405" s="9"/>
      <x:c r="D405" s="9"/>
      <x:c r="E405" s="9"/>
      <x:c r="F405" s="9"/>
      <x:c r="G405" s="9"/>
      <x:c r="H405" s="9"/>
      <x:c r="I405" s="9"/>
      <x:c r="J405" s="9"/>
      <x:c r="K405" s="9"/>
      <x:c r="L405" s="9"/>
      <x:c r="M405" s="9"/>
      <x:c r="N405" s="9"/>
      <x:c r="O405" s="9"/>
      <x:c r="P405" s="9"/>
      <x:c r="Q405" s="9"/>
      <x:c r="R405" s="9"/>
      <x:c r="S405" s="9"/>
      <x:c r="T405" s="9"/>
      <x:c r="U405" s="9"/>
      <x:c r="V405" s="9"/>
      <x:c r="W405" s="12" t="str">
        <x:f>IF(A405="","",IF(COUNTIF($A$6:$A$505,A405)&gt;1,"记录ID重复",IF(COUNTIF('案件索引'!$A$6:$A$105,B405)=0,"案件ID未登记",IF(OR(C405="",D405="",F405="",G405="",H405="",I405="",J405="",K405="",M405="",N405="",Q405="",R405="",T405=""),"补对象、必要性、结果、依据或标注人",IF(AND(H405="条件必要",L405=""),"条件必要须写条件",IF(AND(R405="条件通过待执行核验",OR(M405="未知",M405="未满足",O405="",O405="未提供")),"条件或权限证据不足，退回核验","格式已填；仍须人工复核"))))))</x:f>
      </x:c>
    </x:row>
    <x:row r="406" ht="44" customHeight="1">
      <x:c r="A406" s="9"/>
      <x:c r="B406" s="9"/>
      <x:c r="C406" s="9"/>
      <x:c r="D406" s="9"/>
      <x:c r="E406" s="9"/>
      <x:c r="F406" s="9"/>
      <x:c r="G406" s="9"/>
      <x:c r="H406" s="9"/>
      <x:c r="I406" s="9"/>
      <x:c r="J406" s="9"/>
      <x:c r="K406" s="9"/>
      <x:c r="L406" s="9"/>
      <x:c r="M406" s="9"/>
      <x:c r="N406" s="9"/>
      <x:c r="O406" s="9"/>
      <x:c r="P406" s="9"/>
      <x:c r="Q406" s="9"/>
      <x:c r="R406" s="9"/>
      <x:c r="S406" s="9"/>
      <x:c r="T406" s="9"/>
      <x:c r="U406" s="9"/>
      <x:c r="V406" s="9"/>
      <x:c r="W406" s="12" t="str">
        <x:f>IF(A406="","",IF(COUNTIF($A$6:$A$505,A406)&gt;1,"记录ID重复",IF(COUNTIF('案件索引'!$A$6:$A$105,B406)=0,"案件ID未登记",IF(OR(C406="",D406="",F406="",G406="",H406="",I406="",J406="",K406="",M406="",N406="",Q406="",R406="",T406=""),"补对象、必要性、结果、依据或标注人",IF(AND(H406="条件必要",L406=""),"条件必要须写条件",IF(AND(R406="条件通过待执行核验",OR(M406="未知",M406="未满足",O406="",O406="未提供")),"条件或权限证据不足，退回核验","格式已填；仍须人工复核"))))))</x:f>
      </x:c>
    </x:row>
    <x:row r="407" ht="44" customHeight="1">
      <x:c r="A407" s="9"/>
      <x:c r="B407" s="9"/>
      <x:c r="C407" s="9"/>
      <x:c r="D407" s="9"/>
      <x:c r="E407" s="9"/>
      <x:c r="F407" s="9"/>
      <x:c r="G407" s="9"/>
      <x:c r="H407" s="9"/>
      <x:c r="I407" s="9"/>
      <x:c r="J407" s="9"/>
      <x:c r="K407" s="9"/>
      <x:c r="L407" s="9"/>
      <x:c r="M407" s="9"/>
      <x:c r="N407" s="9"/>
      <x:c r="O407" s="9"/>
      <x:c r="P407" s="9"/>
      <x:c r="Q407" s="9"/>
      <x:c r="R407" s="9"/>
      <x:c r="S407" s="9"/>
      <x:c r="T407" s="9"/>
      <x:c r="U407" s="9"/>
      <x:c r="V407" s="9"/>
      <x:c r="W407" s="12" t="str">
        <x:f>IF(A407="","",IF(COUNTIF($A$6:$A$505,A407)&gt;1,"记录ID重复",IF(COUNTIF('案件索引'!$A$6:$A$105,B407)=0,"案件ID未登记",IF(OR(C407="",D407="",F407="",G407="",H407="",I407="",J407="",K407="",M407="",N407="",Q407="",R407="",T407=""),"补对象、必要性、结果、依据或标注人",IF(AND(H407="条件必要",L407=""),"条件必要须写条件",IF(AND(R407="条件通过待执行核验",OR(M407="未知",M407="未满足",O407="",O407="未提供")),"条件或权限证据不足，退回核验","格式已填；仍须人工复核"))))))</x:f>
      </x:c>
    </x:row>
    <x:row r="408" ht="44" customHeight="1">
      <x:c r="A408" s="9"/>
      <x:c r="B408" s="9"/>
      <x:c r="C408" s="9"/>
      <x:c r="D408" s="9"/>
      <x:c r="E408" s="9"/>
      <x:c r="F408" s="9"/>
      <x:c r="G408" s="9"/>
      <x:c r="H408" s="9"/>
      <x:c r="I408" s="9"/>
      <x:c r="J408" s="9"/>
      <x:c r="K408" s="9"/>
      <x:c r="L408" s="9"/>
      <x:c r="M408" s="9"/>
      <x:c r="N408" s="9"/>
      <x:c r="O408" s="9"/>
      <x:c r="P408" s="9"/>
      <x:c r="Q408" s="9"/>
      <x:c r="R408" s="9"/>
      <x:c r="S408" s="9"/>
      <x:c r="T408" s="9"/>
      <x:c r="U408" s="9"/>
      <x:c r="V408" s="9"/>
      <x:c r="W408" s="12" t="str">
        <x:f>IF(A408="","",IF(COUNTIF($A$6:$A$505,A408)&gt;1,"记录ID重复",IF(COUNTIF('案件索引'!$A$6:$A$105,B408)=0,"案件ID未登记",IF(OR(C408="",D408="",F408="",G408="",H408="",I408="",J408="",K408="",M408="",N408="",Q408="",R408="",T408=""),"补对象、必要性、结果、依据或标注人",IF(AND(H408="条件必要",L408=""),"条件必要须写条件",IF(AND(R408="条件通过待执行核验",OR(M408="未知",M408="未满足",O408="",O408="未提供")),"条件或权限证据不足，退回核验","格式已填；仍须人工复核"))))))</x:f>
      </x:c>
    </x:row>
    <x:row r="409" ht="44" customHeight="1">
      <x:c r="A409" s="9"/>
      <x:c r="B409" s="9"/>
      <x:c r="C409" s="9"/>
      <x:c r="D409" s="9"/>
      <x:c r="E409" s="9"/>
      <x:c r="F409" s="9"/>
      <x:c r="G409" s="9"/>
      <x:c r="H409" s="9"/>
      <x:c r="I409" s="9"/>
      <x:c r="J409" s="9"/>
      <x:c r="K409" s="9"/>
      <x:c r="L409" s="9"/>
      <x:c r="M409" s="9"/>
      <x:c r="N409" s="9"/>
      <x:c r="O409" s="9"/>
      <x:c r="P409" s="9"/>
      <x:c r="Q409" s="9"/>
      <x:c r="R409" s="9"/>
      <x:c r="S409" s="9"/>
      <x:c r="T409" s="9"/>
      <x:c r="U409" s="9"/>
      <x:c r="V409" s="9"/>
      <x:c r="W409" s="12" t="str">
        <x:f>IF(A409="","",IF(COUNTIF($A$6:$A$505,A409)&gt;1,"记录ID重复",IF(COUNTIF('案件索引'!$A$6:$A$105,B409)=0,"案件ID未登记",IF(OR(C409="",D409="",F409="",G409="",H409="",I409="",J409="",K409="",M409="",N409="",Q409="",R409="",T409=""),"补对象、必要性、结果、依据或标注人",IF(AND(H409="条件必要",L409=""),"条件必要须写条件",IF(AND(R409="条件通过待执行核验",OR(M409="未知",M409="未满足",O409="",O409="未提供")),"条件或权限证据不足，退回核验","格式已填；仍须人工复核"))))))</x:f>
      </x:c>
    </x:row>
    <x:row r="410" ht="44" customHeight="1">
      <x:c r="A410" s="9"/>
      <x:c r="B410" s="9"/>
      <x:c r="C410" s="9"/>
      <x:c r="D410" s="9"/>
      <x:c r="E410" s="9"/>
      <x:c r="F410" s="9"/>
      <x:c r="G410" s="9"/>
      <x:c r="H410" s="9"/>
      <x:c r="I410" s="9"/>
      <x:c r="J410" s="9"/>
      <x:c r="K410" s="9"/>
      <x:c r="L410" s="9"/>
      <x:c r="M410" s="9"/>
      <x:c r="N410" s="9"/>
      <x:c r="O410" s="9"/>
      <x:c r="P410" s="9"/>
      <x:c r="Q410" s="9"/>
      <x:c r="R410" s="9"/>
      <x:c r="S410" s="9"/>
      <x:c r="T410" s="9"/>
      <x:c r="U410" s="9"/>
      <x:c r="V410" s="9"/>
      <x:c r="W410" s="12" t="str">
        <x:f>IF(A410="","",IF(COUNTIF($A$6:$A$505,A410)&gt;1,"记录ID重复",IF(COUNTIF('案件索引'!$A$6:$A$105,B410)=0,"案件ID未登记",IF(OR(C410="",D410="",F410="",G410="",H410="",I410="",J410="",K410="",M410="",N410="",Q410="",R410="",T410=""),"补对象、必要性、结果、依据或标注人",IF(AND(H410="条件必要",L410=""),"条件必要须写条件",IF(AND(R410="条件通过待执行核验",OR(M410="未知",M410="未满足",O410="",O410="未提供")),"条件或权限证据不足，退回核验","格式已填；仍须人工复核"))))))</x:f>
      </x:c>
    </x:row>
    <x:row r="411" ht="44" customHeight="1">
      <x:c r="A411" s="9"/>
      <x:c r="B411" s="9"/>
      <x:c r="C411" s="9"/>
      <x:c r="D411" s="9"/>
      <x:c r="E411" s="9"/>
      <x:c r="F411" s="9"/>
      <x:c r="G411" s="9"/>
      <x:c r="H411" s="9"/>
      <x:c r="I411" s="9"/>
      <x:c r="J411" s="9"/>
      <x:c r="K411" s="9"/>
      <x:c r="L411" s="9"/>
      <x:c r="M411" s="9"/>
      <x:c r="N411" s="9"/>
      <x:c r="O411" s="9"/>
      <x:c r="P411" s="9"/>
      <x:c r="Q411" s="9"/>
      <x:c r="R411" s="9"/>
      <x:c r="S411" s="9"/>
      <x:c r="T411" s="9"/>
      <x:c r="U411" s="9"/>
      <x:c r="V411" s="9"/>
      <x:c r="W411" s="12" t="str">
        <x:f>IF(A411="","",IF(COUNTIF($A$6:$A$505,A411)&gt;1,"记录ID重复",IF(COUNTIF('案件索引'!$A$6:$A$105,B411)=0,"案件ID未登记",IF(OR(C411="",D411="",F411="",G411="",H411="",I411="",J411="",K411="",M411="",N411="",Q411="",R411="",T411=""),"补对象、必要性、结果、依据或标注人",IF(AND(H411="条件必要",L411=""),"条件必要须写条件",IF(AND(R411="条件通过待执行核验",OR(M411="未知",M411="未满足",O411="",O411="未提供")),"条件或权限证据不足，退回核验","格式已填；仍须人工复核"))))))</x:f>
      </x:c>
    </x:row>
    <x:row r="412" ht="44" customHeight="1">
      <x:c r="A412" s="9"/>
      <x:c r="B412" s="9"/>
      <x:c r="C412" s="9"/>
      <x:c r="D412" s="9"/>
      <x:c r="E412" s="9"/>
      <x:c r="F412" s="9"/>
      <x:c r="G412" s="9"/>
      <x:c r="H412" s="9"/>
      <x:c r="I412" s="9"/>
      <x:c r="J412" s="9"/>
      <x:c r="K412" s="9"/>
      <x:c r="L412" s="9"/>
      <x:c r="M412" s="9"/>
      <x:c r="N412" s="9"/>
      <x:c r="O412" s="9"/>
      <x:c r="P412" s="9"/>
      <x:c r="Q412" s="9"/>
      <x:c r="R412" s="9"/>
      <x:c r="S412" s="9"/>
      <x:c r="T412" s="9"/>
      <x:c r="U412" s="9"/>
      <x:c r="V412" s="9"/>
      <x:c r="W412" s="12" t="str">
        <x:f>IF(A412="","",IF(COUNTIF($A$6:$A$505,A412)&gt;1,"记录ID重复",IF(COUNTIF('案件索引'!$A$6:$A$105,B412)=0,"案件ID未登记",IF(OR(C412="",D412="",F412="",G412="",H412="",I412="",J412="",K412="",M412="",N412="",Q412="",R412="",T412=""),"补对象、必要性、结果、依据或标注人",IF(AND(H412="条件必要",L412=""),"条件必要须写条件",IF(AND(R412="条件通过待执行核验",OR(M412="未知",M412="未满足",O412="",O412="未提供")),"条件或权限证据不足，退回核验","格式已填；仍须人工复核"))))))</x:f>
      </x:c>
    </x:row>
    <x:row r="413" ht="44" customHeight="1">
      <x:c r="A413" s="9"/>
      <x:c r="B413" s="9"/>
      <x:c r="C413" s="9"/>
      <x:c r="D413" s="9"/>
      <x:c r="E413" s="9"/>
      <x:c r="F413" s="9"/>
      <x:c r="G413" s="9"/>
      <x:c r="H413" s="9"/>
      <x:c r="I413" s="9"/>
      <x:c r="J413" s="9"/>
      <x:c r="K413" s="9"/>
      <x:c r="L413" s="9"/>
      <x:c r="M413" s="9"/>
      <x:c r="N413" s="9"/>
      <x:c r="O413" s="9"/>
      <x:c r="P413" s="9"/>
      <x:c r="Q413" s="9"/>
      <x:c r="R413" s="9"/>
      <x:c r="S413" s="9"/>
      <x:c r="T413" s="9"/>
      <x:c r="U413" s="9"/>
      <x:c r="V413" s="9"/>
      <x:c r="W413" s="12" t="str">
        <x:f>IF(A413="","",IF(COUNTIF($A$6:$A$505,A413)&gt;1,"记录ID重复",IF(COUNTIF('案件索引'!$A$6:$A$105,B413)=0,"案件ID未登记",IF(OR(C413="",D413="",F413="",G413="",H413="",I413="",J413="",K413="",M413="",N413="",Q413="",R413="",T413=""),"补对象、必要性、结果、依据或标注人",IF(AND(H413="条件必要",L413=""),"条件必要须写条件",IF(AND(R413="条件通过待执行核验",OR(M413="未知",M413="未满足",O413="",O413="未提供")),"条件或权限证据不足，退回核验","格式已填；仍须人工复核"))))))</x:f>
      </x:c>
    </x:row>
    <x:row r="414" ht="44" customHeight="1">
      <x:c r="A414" s="9"/>
      <x:c r="B414" s="9"/>
      <x:c r="C414" s="9"/>
      <x:c r="D414" s="9"/>
      <x:c r="E414" s="9"/>
      <x:c r="F414" s="9"/>
      <x:c r="G414" s="9"/>
      <x:c r="H414" s="9"/>
      <x:c r="I414" s="9"/>
      <x:c r="J414" s="9"/>
      <x:c r="K414" s="9"/>
      <x:c r="L414" s="9"/>
      <x:c r="M414" s="9"/>
      <x:c r="N414" s="9"/>
      <x:c r="O414" s="9"/>
      <x:c r="P414" s="9"/>
      <x:c r="Q414" s="9"/>
      <x:c r="R414" s="9"/>
      <x:c r="S414" s="9"/>
      <x:c r="T414" s="9"/>
      <x:c r="U414" s="9"/>
      <x:c r="V414" s="9"/>
      <x:c r="W414" s="12" t="str">
        <x:f>IF(A414="","",IF(COUNTIF($A$6:$A$505,A414)&gt;1,"记录ID重复",IF(COUNTIF('案件索引'!$A$6:$A$105,B414)=0,"案件ID未登记",IF(OR(C414="",D414="",F414="",G414="",H414="",I414="",J414="",K414="",M414="",N414="",Q414="",R414="",T414=""),"补对象、必要性、结果、依据或标注人",IF(AND(H414="条件必要",L414=""),"条件必要须写条件",IF(AND(R414="条件通过待执行核验",OR(M414="未知",M414="未满足",O414="",O414="未提供")),"条件或权限证据不足，退回核验","格式已填；仍须人工复核"))))))</x:f>
      </x:c>
    </x:row>
    <x:row r="415" ht="44" customHeight="1">
      <x:c r="A415" s="9"/>
      <x:c r="B415" s="9"/>
      <x:c r="C415" s="9"/>
      <x:c r="D415" s="9"/>
      <x:c r="E415" s="9"/>
      <x:c r="F415" s="9"/>
      <x:c r="G415" s="9"/>
      <x:c r="H415" s="9"/>
      <x:c r="I415" s="9"/>
      <x:c r="J415" s="9"/>
      <x:c r="K415" s="9"/>
      <x:c r="L415" s="9"/>
      <x:c r="M415" s="9"/>
      <x:c r="N415" s="9"/>
      <x:c r="O415" s="9"/>
      <x:c r="P415" s="9"/>
      <x:c r="Q415" s="9"/>
      <x:c r="R415" s="9"/>
      <x:c r="S415" s="9"/>
      <x:c r="T415" s="9"/>
      <x:c r="U415" s="9"/>
      <x:c r="V415" s="9"/>
      <x:c r="W415" s="12" t="str">
        <x:f>IF(A415="","",IF(COUNTIF($A$6:$A$505,A415)&gt;1,"记录ID重复",IF(COUNTIF('案件索引'!$A$6:$A$105,B415)=0,"案件ID未登记",IF(OR(C415="",D415="",F415="",G415="",H415="",I415="",J415="",K415="",M415="",N415="",Q415="",R415="",T415=""),"补对象、必要性、结果、依据或标注人",IF(AND(H415="条件必要",L415=""),"条件必要须写条件",IF(AND(R415="条件通过待执行核验",OR(M415="未知",M415="未满足",O415="",O415="未提供")),"条件或权限证据不足，退回核验","格式已填；仍须人工复核"))))))</x:f>
      </x:c>
    </x:row>
    <x:row r="416" ht="44" customHeight="1">
      <x:c r="A416" s="9"/>
      <x:c r="B416" s="9"/>
      <x:c r="C416" s="9"/>
      <x:c r="D416" s="9"/>
      <x:c r="E416" s="9"/>
      <x:c r="F416" s="9"/>
      <x:c r="G416" s="9"/>
      <x:c r="H416" s="9"/>
      <x:c r="I416" s="9"/>
      <x:c r="J416" s="9"/>
      <x:c r="K416" s="9"/>
      <x:c r="L416" s="9"/>
      <x:c r="M416" s="9"/>
      <x:c r="N416" s="9"/>
      <x:c r="O416" s="9"/>
      <x:c r="P416" s="9"/>
      <x:c r="Q416" s="9"/>
      <x:c r="R416" s="9"/>
      <x:c r="S416" s="9"/>
      <x:c r="T416" s="9"/>
      <x:c r="U416" s="9"/>
      <x:c r="V416" s="9"/>
      <x:c r="W416" s="12" t="str">
        <x:f>IF(A416="","",IF(COUNTIF($A$6:$A$505,A416)&gt;1,"记录ID重复",IF(COUNTIF('案件索引'!$A$6:$A$105,B416)=0,"案件ID未登记",IF(OR(C416="",D416="",F416="",G416="",H416="",I416="",J416="",K416="",M416="",N416="",Q416="",R416="",T416=""),"补对象、必要性、结果、依据或标注人",IF(AND(H416="条件必要",L416=""),"条件必要须写条件",IF(AND(R416="条件通过待执行核验",OR(M416="未知",M416="未满足",O416="",O416="未提供")),"条件或权限证据不足，退回核验","格式已填；仍须人工复核"))))))</x:f>
      </x:c>
    </x:row>
    <x:row r="417" ht="44" customHeight="1">
      <x:c r="A417" s="9"/>
      <x:c r="B417" s="9"/>
      <x:c r="C417" s="9"/>
      <x:c r="D417" s="9"/>
      <x:c r="E417" s="9"/>
      <x:c r="F417" s="9"/>
      <x:c r="G417" s="9"/>
      <x:c r="H417" s="9"/>
      <x:c r="I417" s="9"/>
      <x:c r="J417" s="9"/>
      <x:c r="K417" s="9"/>
      <x:c r="L417" s="9"/>
      <x:c r="M417" s="9"/>
      <x:c r="N417" s="9"/>
      <x:c r="O417" s="9"/>
      <x:c r="P417" s="9"/>
      <x:c r="Q417" s="9"/>
      <x:c r="R417" s="9"/>
      <x:c r="S417" s="9"/>
      <x:c r="T417" s="9"/>
      <x:c r="U417" s="9"/>
      <x:c r="V417" s="9"/>
      <x:c r="W417" s="12" t="str">
        <x:f>IF(A417="","",IF(COUNTIF($A$6:$A$505,A417)&gt;1,"记录ID重复",IF(COUNTIF('案件索引'!$A$6:$A$105,B417)=0,"案件ID未登记",IF(OR(C417="",D417="",F417="",G417="",H417="",I417="",J417="",K417="",M417="",N417="",Q417="",R417="",T417=""),"补对象、必要性、结果、依据或标注人",IF(AND(H417="条件必要",L417=""),"条件必要须写条件",IF(AND(R417="条件通过待执行核验",OR(M417="未知",M417="未满足",O417="",O417="未提供")),"条件或权限证据不足，退回核验","格式已填；仍须人工复核"))))))</x:f>
      </x:c>
    </x:row>
    <x:row r="418" ht="44" customHeight="1">
      <x:c r="A418" s="9"/>
      <x:c r="B418" s="9"/>
      <x:c r="C418" s="9"/>
      <x:c r="D418" s="9"/>
      <x:c r="E418" s="9"/>
      <x:c r="F418" s="9"/>
      <x:c r="G418" s="9"/>
      <x:c r="H418" s="9"/>
      <x:c r="I418" s="9"/>
      <x:c r="J418" s="9"/>
      <x:c r="K418" s="9"/>
      <x:c r="L418" s="9"/>
      <x:c r="M418" s="9"/>
      <x:c r="N418" s="9"/>
      <x:c r="O418" s="9"/>
      <x:c r="P418" s="9"/>
      <x:c r="Q418" s="9"/>
      <x:c r="R418" s="9"/>
      <x:c r="S418" s="9"/>
      <x:c r="T418" s="9"/>
      <x:c r="U418" s="9"/>
      <x:c r="V418" s="9"/>
      <x:c r="W418" s="12" t="str">
        <x:f>IF(A418="","",IF(COUNTIF($A$6:$A$505,A418)&gt;1,"记录ID重复",IF(COUNTIF('案件索引'!$A$6:$A$105,B418)=0,"案件ID未登记",IF(OR(C418="",D418="",F418="",G418="",H418="",I418="",J418="",K418="",M418="",N418="",Q418="",R418="",T418=""),"补对象、必要性、结果、依据或标注人",IF(AND(H418="条件必要",L418=""),"条件必要须写条件",IF(AND(R418="条件通过待执行核验",OR(M418="未知",M418="未满足",O418="",O418="未提供")),"条件或权限证据不足，退回核验","格式已填；仍须人工复核"))))))</x:f>
      </x:c>
    </x:row>
    <x:row r="419" ht="44" customHeight="1">
      <x:c r="A419" s="9"/>
      <x:c r="B419" s="9"/>
      <x:c r="C419" s="9"/>
      <x:c r="D419" s="9"/>
      <x:c r="E419" s="9"/>
      <x:c r="F419" s="9"/>
      <x:c r="G419" s="9"/>
      <x:c r="H419" s="9"/>
      <x:c r="I419" s="9"/>
      <x:c r="J419" s="9"/>
      <x:c r="K419" s="9"/>
      <x:c r="L419" s="9"/>
      <x:c r="M419" s="9"/>
      <x:c r="N419" s="9"/>
      <x:c r="O419" s="9"/>
      <x:c r="P419" s="9"/>
      <x:c r="Q419" s="9"/>
      <x:c r="R419" s="9"/>
      <x:c r="S419" s="9"/>
      <x:c r="T419" s="9"/>
      <x:c r="U419" s="9"/>
      <x:c r="V419" s="9"/>
      <x:c r="W419" s="12" t="str">
        <x:f>IF(A419="","",IF(COUNTIF($A$6:$A$505,A419)&gt;1,"记录ID重复",IF(COUNTIF('案件索引'!$A$6:$A$105,B419)=0,"案件ID未登记",IF(OR(C419="",D419="",F419="",G419="",H419="",I419="",J419="",K419="",M419="",N419="",Q419="",R419="",T419=""),"补对象、必要性、结果、依据或标注人",IF(AND(H419="条件必要",L419=""),"条件必要须写条件",IF(AND(R419="条件通过待执行核验",OR(M419="未知",M419="未满足",O419="",O419="未提供")),"条件或权限证据不足，退回核验","格式已填；仍须人工复核"))))))</x:f>
      </x:c>
    </x:row>
    <x:row r="420" ht="44" customHeight="1">
      <x:c r="A420" s="9"/>
      <x:c r="B420" s="9"/>
      <x:c r="C420" s="9"/>
      <x:c r="D420" s="9"/>
      <x:c r="E420" s="9"/>
      <x:c r="F420" s="9"/>
      <x:c r="G420" s="9"/>
      <x:c r="H420" s="9"/>
      <x:c r="I420" s="9"/>
      <x:c r="J420" s="9"/>
      <x:c r="K420" s="9"/>
      <x:c r="L420" s="9"/>
      <x:c r="M420" s="9"/>
      <x:c r="N420" s="9"/>
      <x:c r="O420" s="9"/>
      <x:c r="P420" s="9"/>
      <x:c r="Q420" s="9"/>
      <x:c r="R420" s="9"/>
      <x:c r="S420" s="9"/>
      <x:c r="T420" s="9"/>
      <x:c r="U420" s="9"/>
      <x:c r="V420" s="9"/>
      <x:c r="W420" s="12" t="str">
        <x:f>IF(A420="","",IF(COUNTIF($A$6:$A$505,A420)&gt;1,"记录ID重复",IF(COUNTIF('案件索引'!$A$6:$A$105,B420)=0,"案件ID未登记",IF(OR(C420="",D420="",F420="",G420="",H420="",I420="",J420="",K420="",M420="",N420="",Q420="",R420="",T420=""),"补对象、必要性、结果、依据或标注人",IF(AND(H420="条件必要",L420=""),"条件必要须写条件",IF(AND(R420="条件通过待执行核验",OR(M420="未知",M420="未满足",O420="",O420="未提供")),"条件或权限证据不足，退回核验","格式已填；仍须人工复核"))))))</x:f>
      </x:c>
    </x:row>
    <x:row r="421" ht="44" customHeight="1">
      <x:c r="A421" s="9"/>
      <x:c r="B421" s="9"/>
      <x:c r="C421" s="9"/>
      <x:c r="D421" s="9"/>
      <x:c r="E421" s="9"/>
      <x:c r="F421" s="9"/>
      <x:c r="G421" s="9"/>
      <x:c r="H421" s="9"/>
      <x:c r="I421" s="9"/>
      <x:c r="J421" s="9"/>
      <x:c r="K421" s="9"/>
      <x:c r="L421" s="9"/>
      <x:c r="M421" s="9"/>
      <x:c r="N421" s="9"/>
      <x:c r="O421" s="9"/>
      <x:c r="P421" s="9"/>
      <x:c r="Q421" s="9"/>
      <x:c r="R421" s="9"/>
      <x:c r="S421" s="9"/>
      <x:c r="T421" s="9"/>
      <x:c r="U421" s="9"/>
      <x:c r="V421" s="9"/>
      <x:c r="W421" s="12" t="str">
        <x:f>IF(A421="","",IF(COUNTIF($A$6:$A$505,A421)&gt;1,"记录ID重复",IF(COUNTIF('案件索引'!$A$6:$A$105,B421)=0,"案件ID未登记",IF(OR(C421="",D421="",F421="",G421="",H421="",I421="",J421="",K421="",M421="",N421="",Q421="",R421="",T421=""),"补对象、必要性、结果、依据或标注人",IF(AND(H421="条件必要",L421=""),"条件必要须写条件",IF(AND(R421="条件通过待执行核验",OR(M421="未知",M421="未满足",O421="",O421="未提供")),"条件或权限证据不足，退回核验","格式已填；仍须人工复核"))))))</x:f>
      </x:c>
    </x:row>
    <x:row r="422" ht="44" customHeight="1">
      <x:c r="A422" s="9"/>
      <x:c r="B422" s="9"/>
      <x:c r="C422" s="9"/>
      <x:c r="D422" s="9"/>
      <x:c r="E422" s="9"/>
      <x:c r="F422" s="9"/>
      <x:c r="G422" s="9"/>
      <x:c r="H422" s="9"/>
      <x:c r="I422" s="9"/>
      <x:c r="J422" s="9"/>
      <x:c r="K422" s="9"/>
      <x:c r="L422" s="9"/>
      <x:c r="M422" s="9"/>
      <x:c r="N422" s="9"/>
      <x:c r="O422" s="9"/>
      <x:c r="P422" s="9"/>
      <x:c r="Q422" s="9"/>
      <x:c r="R422" s="9"/>
      <x:c r="S422" s="9"/>
      <x:c r="T422" s="9"/>
      <x:c r="U422" s="9"/>
      <x:c r="V422" s="9"/>
      <x:c r="W422" s="12" t="str">
        <x:f>IF(A422="","",IF(COUNTIF($A$6:$A$505,A422)&gt;1,"记录ID重复",IF(COUNTIF('案件索引'!$A$6:$A$105,B422)=0,"案件ID未登记",IF(OR(C422="",D422="",F422="",G422="",H422="",I422="",J422="",K422="",M422="",N422="",Q422="",R422="",T422=""),"补对象、必要性、结果、依据或标注人",IF(AND(H422="条件必要",L422=""),"条件必要须写条件",IF(AND(R422="条件通过待执行核验",OR(M422="未知",M422="未满足",O422="",O422="未提供")),"条件或权限证据不足，退回核验","格式已填；仍须人工复核"))))))</x:f>
      </x:c>
    </x:row>
    <x:row r="423" ht="44" customHeight="1">
      <x:c r="A423" s="9"/>
      <x:c r="B423" s="9"/>
      <x:c r="C423" s="9"/>
      <x:c r="D423" s="9"/>
      <x:c r="E423" s="9"/>
      <x:c r="F423" s="9"/>
      <x:c r="G423" s="9"/>
      <x:c r="H423" s="9"/>
      <x:c r="I423" s="9"/>
      <x:c r="J423" s="9"/>
      <x:c r="K423" s="9"/>
      <x:c r="L423" s="9"/>
      <x:c r="M423" s="9"/>
      <x:c r="N423" s="9"/>
      <x:c r="O423" s="9"/>
      <x:c r="P423" s="9"/>
      <x:c r="Q423" s="9"/>
      <x:c r="R423" s="9"/>
      <x:c r="S423" s="9"/>
      <x:c r="T423" s="9"/>
      <x:c r="U423" s="9"/>
      <x:c r="V423" s="9"/>
      <x:c r="W423" s="12" t="str">
        <x:f>IF(A423="","",IF(COUNTIF($A$6:$A$505,A423)&gt;1,"记录ID重复",IF(COUNTIF('案件索引'!$A$6:$A$105,B423)=0,"案件ID未登记",IF(OR(C423="",D423="",F423="",G423="",H423="",I423="",J423="",K423="",M423="",N423="",Q423="",R423="",T423=""),"补对象、必要性、结果、依据或标注人",IF(AND(H423="条件必要",L423=""),"条件必要须写条件",IF(AND(R423="条件通过待执行核验",OR(M423="未知",M423="未满足",O423="",O423="未提供")),"条件或权限证据不足，退回核验","格式已填；仍须人工复核"))))))</x:f>
      </x:c>
    </x:row>
    <x:row r="424" ht="44" customHeight="1">
      <x:c r="A424" s="9"/>
      <x:c r="B424" s="9"/>
      <x:c r="C424" s="9"/>
      <x:c r="D424" s="9"/>
      <x:c r="E424" s="9"/>
      <x:c r="F424" s="9"/>
      <x:c r="G424" s="9"/>
      <x:c r="H424" s="9"/>
      <x:c r="I424" s="9"/>
      <x:c r="J424" s="9"/>
      <x:c r="K424" s="9"/>
      <x:c r="L424" s="9"/>
      <x:c r="M424" s="9"/>
      <x:c r="N424" s="9"/>
      <x:c r="O424" s="9"/>
      <x:c r="P424" s="9"/>
      <x:c r="Q424" s="9"/>
      <x:c r="R424" s="9"/>
      <x:c r="S424" s="9"/>
      <x:c r="T424" s="9"/>
      <x:c r="U424" s="9"/>
      <x:c r="V424" s="9"/>
      <x:c r="W424" s="12" t="str">
        <x:f>IF(A424="","",IF(COUNTIF($A$6:$A$505,A424)&gt;1,"记录ID重复",IF(COUNTIF('案件索引'!$A$6:$A$105,B424)=0,"案件ID未登记",IF(OR(C424="",D424="",F424="",G424="",H424="",I424="",J424="",K424="",M424="",N424="",Q424="",R424="",T424=""),"补对象、必要性、结果、依据或标注人",IF(AND(H424="条件必要",L424=""),"条件必要须写条件",IF(AND(R424="条件通过待执行核验",OR(M424="未知",M424="未满足",O424="",O424="未提供")),"条件或权限证据不足，退回核验","格式已填；仍须人工复核"))))))</x:f>
      </x:c>
    </x:row>
    <x:row r="425" ht="44" customHeight="1">
      <x:c r="A425" s="9"/>
      <x:c r="B425" s="9"/>
      <x:c r="C425" s="9"/>
      <x:c r="D425" s="9"/>
      <x:c r="E425" s="9"/>
      <x:c r="F425" s="9"/>
      <x:c r="G425" s="9"/>
      <x:c r="H425" s="9"/>
      <x:c r="I425" s="9"/>
      <x:c r="J425" s="9"/>
      <x:c r="K425" s="9"/>
      <x:c r="L425" s="9"/>
      <x:c r="M425" s="9"/>
      <x:c r="N425" s="9"/>
      <x:c r="O425" s="9"/>
      <x:c r="P425" s="9"/>
      <x:c r="Q425" s="9"/>
      <x:c r="R425" s="9"/>
      <x:c r="S425" s="9"/>
      <x:c r="T425" s="9"/>
      <x:c r="U425" s="9"/>
      <x:c r="V425" s="9"/>
      <x:c r="W425" s="12" t="str">
        <x:f>IF(A425="","",IF(COUNTIF($A$6:$A$505,A425)&gt;1,"记录ID重复",IF(COUNTIF('案件索引'!$A$6:$A$105,B425)=0,"案件ID未登记",IF(OR(C425="",D425="",F425="",G425="",H425="",I425="",J425="",K425="",M425="",N425="",Q425="",R425="",T425=""),"补对象、必要性、结果、依据或标注人",IF(AND(H425="条件必要",L425=""),"条件必要须写条件",IF(AND(R425="条件通过待执行核验",OR(M425="未知",M425="未满足",O425="",O425="未提供")),"条件或权限证据不足，退回核验","格式已填；仍须人工复核"))))))</x:f>
      </x:c>
    </x:row>
    <x:row r="426" ht="44" customHeight="1">
      <x:c r="A426" s="9"/>
      <x:c r="B426" s="9"/>
      <x:c r="C426" s="9"/>
      <x:c r="D426" s="9"/>
      <x:c r="E426" s="9"/>
      <x:c r="F426" s="9"/>
      <x:c r="G426" s="9"/>
      <x:c r="H426" s="9"/>
      <x:c r="I426" s="9"/>
      <x:c r="J426" s="9"/>
      <x:c r="K426" s="9"/>
      <x:c r="L426" s="9"/>
      <x:c r="M426" s="9"/>
      <x:c r="N426" s="9"/>
      <x:c r="O426" s="9"/>
      <x:c r="P426" s="9"/>
      <x:c r="Q426" s="9"/>
      <x:c r="R426" s="9"/>
      <x:c r="S426" s="9"/>
      <x:c r="T426" s="9"/>
      <x:c r="U426" s="9"/>
      <x:c r="V426" s="9"/>
      <x:c r="W426" s="12" t="str">
        <x:f>IF(A426="","",IF(COUNTIF($A$6:$A$505,A426)&gt;1,"记录ID重复",IF(COUNTIF('案件索引'!$A$6:$A$105,B426)=0,"案件ID未登记",IF(OR(C426="",D426="",F426="",G426="",H426="",I426="",J426="",K426="",M426="",N426="",Q426="",R426="",T426=""),"补对象、必要性、结果、依据或标注人",IF(AND(H426="条件必要",L426=""),"条件必要须写条件",IF(AND(R426="条件通过待执行核验",OR(M426="未知",M426="未满足",O426="",O426="未提供")),"条件或权限证据不足，退回核验","格式已填；仍须人工复核"))))))</x:f>
      </x:c>
    </x:row>
    <x:row r="427" ht="44" customHeight="1">
      <x:c r="A427" s="9"/>
      <x:c r="B427" s="9"/>
      <x:c r="C427" s="9"/>
      <x:c r="D427" s="9"/>
      <x:c r="E427" s="9"/>
      <x:c r="F427" s="9"/>
      <x:c r="G427" s="9"/>
      <x:c r="H427" s="9"/>
      <x:c r="I427" s="9"/>
      <x:c r="J427" s="9"/>
      <x:c r="K427" s="9"/>
      <x:c r="L427" s="9"/>
      <x:c r="M427" s="9"/>
      <x:c r="N427" s="9"/>
      <x:c r="O427" s="9"/>
      <x:c r="P427" s="9"/>
      <x:c r="Q427" s="9"/>
      <x:c r="R427" s="9"/>
      <x:c r="S427" s="9"/>
      <x:c r="T427" s="9"/>
      <x:c r="U427" s="9"/>
      <x:c r="V427" s="9"/>
      <x:c r="W427" s="12" t="str">
        <x:f>IF(A427="","",IF(COUNTIF($A$6:$A$505,A427)&gt;1,"记录ID重复",IF(COUNTIF('案件索引'!$A$6:$A$105,B427)=0,"案件ID未登记",IF(OR(C427="",D427="",F427="",G427="",H427="",I427="",J427="",K427="",M427="",N427="",Q427="",R427="",T427=""),"补对象、必要性、结果、依据或标注人",IF(AND(H427="条件必要",L427=""),"条件必要须写条件",IF(AND(R427="条件通过待执行核验",OR(M427="未知",M427="未满足",O427="",O427="未提供")),"条件或权限证据不足，退回核验","格式已填；仍须人工复核"))))))</x:f>
      </x:c>
    </x:row>
    <x:row r="428" ht="44" customHeight="1">
      <x:c r="A428" s="9"/>
      <x:c r="B428" s="9"/>
      <x:c r="C428" s="9"/>
      <x:c r="D428" s="9"/>
      <x:c r="E428" s="9"/>
      <x:c r="F428" s="9"/>
      <x:c r="G428" s="9"/>
      <x:c r="H428" s="9"/>
      <x:c r="I428" s="9"/>
      <x:c r="J428" s="9"/>
      <x:c r="K428" s="9"/>
      <x:c r="L428" s="9"/>
      <x:c r="M428" s="9"/>
      <x:c r="N428" s="9"/>
      <x:c r="O428" s="9"/>
      <x:c r="P428" s="9"/>
      <x:c r="Q428" s="9"/>
      <x:c r="R428" s="9"/>
      <x:c r="S428" s="9"/>
      <x:c r="T428" s="9"/>
      <x:c r="U428" s="9"/>
      <x:c r="V428" s="9"/>
      <x:c r="W428" s="12" t="str">
        <x:f>IF(A428="","",IF(COUNTIF($A$6:$A$505,A428)&gt;1,"记录ID重复",IF(COUNTIF('案件索引'!$A$6:$A$105,B428)=0,"案件ID未登记",IF(OR(C428="",D428="",F428="",G428="",H428="",I428="",J428="",K428="",M428="",N428="",Q428="",R428="",T428=""),"补对象、必要性、结果、依据或标注人",IF(AND(H428="条件必要",L428=""),"条件必要须写条件",IF(AND(R428="条件通过待执行核验",OR(M428="未知",M428="未满足",O428="",O428="未提供")),"条件或权限证据不足，退回核验","格式已填；仍须人工复核"))))))</x:f>
      </x:c>
    </x:row>
    <x:row r="429" ht="44" customHeight="1">
      <x:c r="A429" s="9"/>
      <x:c r="B429" s="9"/>
      <x:c r="C429" s="9"/>
      <x:c r="D429" s="9"/>
      <x:c r="E429" s="9"/>
      <x:c r="F429" s="9"/>
      <x:c r="G429" s="9"/>
      <x:c r="H429" s="9"/>
      <x:c r="I429" s="9"/>
      <x:c r="J429" s="9"/>
      <x:c r="K429" s="9"/>
      <x:c r="L429" s="9"/>
      <x:c r="M429" s="9"/>
      <x:c r="N429" s="9"/>
      <x:c r="O429" s="9"/>
      <x:c r="P429" s="9"/>
      <x:c r="Q429" s="9"/>
      <x:c r="R429" s="9"/>
      <x:c r="S429" s="9"/>
      <x:c r="T429" s="9"/>
      <x:c r="U429" s="9"/>
      <x:c r="V429" s="9"/>
      <x:c r="W429" s="12" t="str">
        <x:f>IF(A429="","",IF(COUNTIF($A$6:$A$505,A429)&gt;1,"记录ID重复",IF(COUNTIF('案件索引'!$A$6:$A$105,B429)=0,"案件ID未登记",IF(OR(C429="",D429="",F429="",G429="",H429="",I429="",J429="",K429="",M429="",N429="",Q429="",R429="",T429=""),"补对象、必要性、结果、依据或标注人",IF(AND(H429="条件必要",L429=""),"条件必要须写条件",IF(AND(R429="条件通过待执行核验",OR(M429="未知",M429="未满足",O429="",O429="未提供")),"条件或权限证据不足，退回核验","格式已填；仍须人工复核"))))))</x:f>
      </x:c>
    </x:row>
    <x:row r="430" ht="44" customHeight="1">
      <x:c r="A430" s="9"/>
      <x:c r="B430" s="9"/>
      <x:c r="C430" s="9"/>
      <x:c r="D430" s="9"/>
      <x:c r="E430" s="9"/>
      <x:c r="F430" s="9"/>
      <x:c r="G430" s="9"/>
      <x:c r="H430" s="9"/>
      <x:c r="I430" s="9"/>
      <x:c r="J430" s="9"/>
      <x:c r="K430" s="9"/>
      <x:c r="L430" s="9"/>
      <x:c r="M430" s="9"/>
      <x:c r="N430" s="9"/>
      <x:c r="O430" s="9"/>
      <x:c r="P430" s="9"/>
      <x:c r="Q430" s="9"/>
      <x:c r="R430" s="9"/>
      <x:c r="S430" s="9"/>
      <x:c r="T430" s="9"/>
      <x:c r="U430" s="9"/>
      <x:c r="V430" s="9"/>
      <x:c r="W430" s="12" t="str">
        <x:f>IF(A430="","",IF(COUNTIF($A$6:$A$505,A430)&gt;1,"记录ID重复",IF(COUNTIF('案件索引'!$A$6:$A$105,B430)=0,"案件ID未登记",IF(OR(C430="",D430="",F430="",G430="",H430="",I430="",J430="",K430="",M430="",N430="",Q430="",R430="",T430=""),"补对象、必要性、结果、依据或标注人",IF(AND(H430="条件必要",L430=""),"条件必要须写条件",IF(AND(R430="条件通过待执行核验",OR(M430="未知",M430="未满足",O430="",O430="未提供")),"条件或权限证据不足，退回核验","格式已填；仍须人工复核"))))))</x:f>
      </x:c>
    </x:row>
    <x:row r="431" ht="44" customHeight="1">
      <x:c r="A431" s="9"/>
      <x:c r="B431" s="9"/>
      <x:c r="C431" s="9"/>
      <x:c r="D431" s="9"/>
      <x:c r="E431" s="9"/>
      <x:c r="F431" s="9"/>
      <x:c r="G431" s="9"/>
      <x:c r="H431" s="9"/>
      <x:c r="I431" s="9"/>
      <x:c r="J431" s="9"/>
      <x:c r="K431" s="9"/>
      <x:c r="L431" s="9"/>
      <x:c r="M431" s="9"/>
      <x:c r="N431" s="9"/>
      <x:c r="O431" s="9"/>
      <x:c r="P431" s="9"/>
      <x:c r="Q431" s="9"/>
      <x:c r="R431" s="9"/>
      <x:c r="S431" s="9"/>
      <x:c r="T431" s="9"/>
      <x:c r="U431" s="9"/>
      <x:c r="V431" s="9"/>
      <x:c r="W431" s="12" t="str">
        <x:f>IF(A431="","",IF(COUNTIF($A$6:$A$505,A431)&gt;1,"记录ID重复",IF(COUNTIF('案件索引'!$A$6:$A$105,B431)=0,"案件ID未登记",IF(OR(C431="",D431="",F431="",G431="",H431="",I431="",J431="",K431="",M431="",N431="",Q431="",R431="",T431=""),"补对象、必要性、结果、依据或标注人",IF(AND(H431="条件必要",L431=""),"条件必要须写条件",IF(AND(R431="条件通过待执行核验",OR(M431="未知",M431="未满足",O431="",O431="未提供")),"条件或权限证据不足，退回核验","格式已填；仍须人工复核"))))))</x:f>
      </x:c>
    </x:row>
    <x:row r="432" ht="44" customHeight="1">
      <x:c r="A432" s="9"/>
      <x:c r="B432" s="9"/>
      <x:c r="C432" s="9"/>
      <x:c r="D432" s="9"/>
      <x:c r="E432" s="9"/>
      <x:c r="F432" s="9"/>
      <x:c r="G432" s="9"/>
      <x:c r="H432" s="9"/>
      <x:c r="I432" s="9"/>
      <x:c r="J432" s="9"/>
      <x:c r="K432" s="9"/>
      <x:c r="L432" s="9"/>
      <x:c r="M432" s="9"/>
      <x:c r="N432" s="9"/>
      <x:c r="O432" s="9"/>
      <x:c r="P432" s="9"/>
      <x:c r="Q432" s="9"/>
      <x:c r="R432" s="9"/>
      <x:c r="S432" s="9"/>
      <x:c r="T432" s="9"/>
      <x:c r="U432" s="9"/>
      <x:c r="V432" s="9"/>
      <x:c r="W432" s="12" t="str">
        <x:f>IF(A432="","",IF(COUNTIF($A$6:$A$505,A432)&gt;1,"记录ID重复",IF(COUNTIF('案件索引'!$A$6:$A$105,B432)=0,"案件ID未登记",IF(OR(C432="",D432="",F432="",G432="",H432="",I432="",J432="",K432="",M432="",N432="",Q432="",R432="",T432=""),"补对象、必要性、结果、依据或标注人",IF(AND(H432="条件必要",L432=""),"条件必要须写条件",IF(AND(R432="条件通过待执行核验",OR(M432="未知",M432="未满足",O432="",O432="未提供")),"条件或权限证据不足，退回核验","格式已填；仍须人工复核"))))))</x:f>
      </x:c>
    </x:row>
    <x:row r="433" ht="44" customHeight="1">
      <x:c r="A433" s="9"/>
      <x:c r="B433" s="9"/>
      <x:c r="C433" s="9"/>
      <x:c r="D433" s="9"/>
      <x:c r="E433" s="9"/>
      <x:c r="F433" s="9"/>
      <x:c r="G433" s="9"/>
      <x:c r="H433" s="9"/>
      <x:c r="I433" s="9"/>
      <x:c r="J433" s="9"/>
      <x:c r="K433" s="9"/>
      <x:c r="L433" s="9"/>
      <x:c r="M433" s="9"/>
      <x:c r="N433" s="9"/>
      <x:c r="O433" s="9"/>
      <x:c r="P433" s="9"/>
      <x:c r="Q433" s="9"/>
      <x:c r="R433" s="9"/>
      <x:c r="S433" s="9"/>
      <x:c r="T433" s="9"/>
      <x:c r="U433" s="9"/>
      <x:c r="V433" s="9"/>
      <x:c r="W433" s="12" t="str">
        <x:f>IF(A433="","",IF(COUNTIF($A$6:$A$505,A433)&gt;1,"记录ID重复",IF(COUNTIF('案件索引'!$A$6:$A$105,B433)=0,"案件ID未登记",IF(OR(C433="",D433="",F433="",G433="",H433="",I433="",J433="",K433="",M433="",N433="",Q433="",R433="",T433=""),"补对象、必要性、结果、依据或标注人",IF(AND(H433="条件必要",L433=""),"条件必要须写条件",IF(AND(R433="条件通过待执行核验",OR(M433="未知",M433="未满足",O433="",O433="未提供")),"条件或权限证据不足，退回核验","格式已填；仍须人工复核"))))))</x:f>
      </x:c>
    </x:row>
    <x:row r="434" ht="44" customHeight="1">
      <x:c r="A434" s="9"/>
      <x:c r="B434" s="9"/>
      <x:c r="C434" s="9"/>
      <x:c r="D434" s="9"/>
      <x:c r="E434" s="9"/>
      <x:c r="F434" s="9"/>
      <x:c r="G434" s="9"/>
      <x:c r="H434" s="9"/>
      <x:c r="I434" s="9"/>
      <x:c r="J434" s="9"/>
      <x:c r="K434" s="9"/>
      <x:c r="L434" s="9"/>
      <x:c r="M434" s="9"/>
      <x:c r="N434" s="9"/>
      <x:c r="O434" s="9"/>
      <x:c r="P434" s="9"/>
      <x:c r="Q434" s="9"/>
      <x:c r="R434" s="9"/>
      <x:c r="S434" s="9"/>
      <x:c r="T434" s="9"/>
      <x:c r="U434" s="9"/>
      <x:c r="V434" s="9"/>
      <x:c r="W434" s="12" t="str">
        <x:f>IF(A434="","",IF(COUNTIF($A$6:$A$505,A434)&gt;1,"记录ID重复",IF(COUNTIF('案件索引'!$A$6:$A$105,B434)=0,"案件ID未登记",IF(OR(C434="",D434="",F434="",G434="",H434="",I434="",J434="",K434="",M434="",N434="",Q434="",R434="",T434=""),"补对象、必要性、结果、依据或标注人",IF(AND(H434="条件必要",L434=""),"条件必要须写条件",IF(AND(R434="条件通过待执行核验",OR(M434="未知",M434="未满足",O434="",O434="未提供")),"条件或权限证据不足，退回核验","格式已填；仍须人工复核"))))))</x:f>
      </x:c>
    </x:row>
    <x:row r="435" ht="44" customHeight="1">
      <x:c r="A435" s="9"/>
      <x:c r="B435" s="9"/>
      <x:c r="C435" s="9"/>
      <x:c r="D435" s="9"/>
      <x:c r="E435" s="9"/>
      <x:c r="F435" s="9"/>
      <x:c r="G435" s="9"/>
      <x:c r="H435" s="9"/>
      <x:c r="I435" s="9"/>
      <x:c r="J435" s="9"/>
      <x:c r="K435" s="9"/>
      <x:c r="L435" s="9"/>
      <x:c r="M435" s="9"/>
      <x:c r="N435" s="9"/>
      <x:c r="O435" s="9"/>
      <x:c r="P435" s="9"/>
      <x:c r="Q435" s="9"/>
      <x:c r="R435" s="9"/>
      <x:c r="S435" s="9"/>
      <x:c r="T435" s="9"/>
      <x:c r="U435" s="9"/>
      <x:c r="V435" s="9"/>
      <x:c r="W435" s="12" t="str">
        <x:f>IF(A435="","",IF(COUNTIF($A$6:$A$505,A435)&gt;1,"记录ID重复",IF(COUNTIF('案件索引'!$A$6:$A$105,B435)=0,"案件ID未登记",IF(OR(C435="",D435="",F435="",G435="",H435="",I435="",J435="",K435="",M435="",N435="",Q435="",R435="",T435=""),"补对象、必要性、结果、依据或标注人",IF(AND(H435="条件必要",L435=""),"条件必要须写条件",IF(AND(R435="条件通过待执行核验",OR(M435="未知",M435="未满足",O435="",O435="未提供")),"条件或权限证据不足，退回核验","格式已填；仍须人工复核"))))))</x:f>
      </x:c>
    </x:row>
    <x:row r="436" ht="44" customHeight="1">
      <x:c r="A436" s="9"/>
      <x:c r="B436" s="9"/>
      <x:c r="C436" s="9"/>
      <x:c r="D436" s="9"/>
      <x:c r="E436" s="9"/>
      <x:c r="F436" s="9"/>
      <x:c r="G436" s="9"/>
      <x:c r="H436" s="9"/>
      <x:c r="I436" s="9"/>
      <x:c r="J436" s="9"/>
      <x:c r="K436" s="9"/>
      <x:c r="L436" s="9"/>
      <x:c r="M436" s="9"/>
      <x:c r="N436" s="9"/>
      <x:c r="O436" s="9"/>
      <x:c r="P436" s="9"/>
      <x:c r="Q436" s="9"/>
      <x:c r="R436" s="9"/>
      <x:c r="S436" s="9"/>
      <x:c r="T436" s="9"/>
      <x:c r="U436" s="9"/>
      <x:c r="V436" s="9"/>
      <x:c r="W436" s="12" t="str">
        <x:f>IF(A436="","",IF(COUNTIF($A$6:$A$505,A436)&gt;1,"记录ID重复",IF(COUNTIF('案件索引'!$A$6:$A$105,B436)=0,"案件ID未登记",IF(OR(C436="",D436="",F436="",G436="",H436="",I436="",J436="",K436="",M436="",N436="",Q436="",R436="",T436=""),"补对象、必要性、结果、依据或标注人",IF(AND(H436="条件必要",L436=""),"条件必要须写条件",IF(AND(R436="条件通过待执行核验",OR(M436="未知",M436="未满足",O436="",O436="未提供")),"条件或权限证据不足，退回核验","格式已填；仍须人工复核"))))))</x:f>
      </x:c>
    </x:row>
    <x:row r="437" ht="44" customHeight="1">
      <x:c r="A437" s="9"/>
      <x:c r="B437" s="9"/>
      <x:c r="C437" s="9"/>
      <x:c r="D437" s="9"/>
      <x:c r="E437" s="9"/>
      <x:c r="F437" s="9"/>
      <x:c r="G437" s="9"/>
      <x:c r="H437" s="9"/>
      <x:c r="I437" s="9"/>
      <x:c r="J437" s="9"/>
      <x:c r="K437" s="9"/>
      <x:c r="L437" s="9"/>
      <x:c r="M437" s="9"/>
      <x:c r="N437" s="9"/>
      <x:c r="O437" s="9"/>
      <x:c r="P437" s="9"/>
      <x:c r="Q437" s="9"/>
      <x:c r="R437" s="9"/>
      <x:c r="S437" s="9"/>
      <x:c r="T437" s="9"/>
      <x:c r="U437" s="9"/>
      <x:c r="V437" s="9"/>
      <x:c r="W437" s="12" t="str">
        <x:f>IF(A437="","",IF(COUNTIF($A$6:$A$505,A437)&gt;1,"记录ID重复",IF(COUNTIF('案件索引'!$A$6:$A$105,B437)=0,"案件ID未登记",IF(OR(C437="",D437="",F437="",G437="",H437="",I437="",J437="",K437="",M437="",N437="",Q437="",R437="",T437=""),"补对象、必要性、结果、依据或标注人",IF(AND(H437="条件必要",L437=""),"条件必要须写条件",IF(AND(R437="条件通过待执行核验",OR(M437="未知",M437="未满足",O437="",O437="未提供")),"条件或权限证据不足，退回核验","格式已填；仍须人工复核"))))))</x:f>
      </x:c>
    </x:row>
    <x:row r="438" ht="44" customHeight="1">
      <x:c r="A438" s="9"/>
      <x:c r="B438" s="9"/>
      <x:c r="C438" s="9"/>
      <x:c r="D438" s="9"/>
      <x:c r="E438" s="9"/>
      <x:c r="F438" s="9"/>
      <x:c r="G438" s="9"/>
      <x:c r="H438" s="9"/>
      <x:c r="I438" s="9"/>
      <x:c r="J438" s="9"/>
      <x:c r="K438" s="9"/>
      <x:c r="L438" s="9"/>
      <x:c r="M438" s="9"/>
      <x:c r="N438" s="9"/>
      <x:c r="O438" s="9"/>
      <x:c r="P438" s="9"/>
      <x:c r="Q438" s="9"/>
      <x:c r="R438" s="9"/>
      <x:c r="S438" s="9"/>
      <x:c r="T438" s="9"/>
      <x:c r="U438" s="9"/>
      <x:c r="V438" s="9"/>
      <x:c r="W438" s="12" t="str">
        <x:f>IF(A438="","",IF(COUNTIF($A$6:$A$505,A438)&gt;1,"记录ID重复",IF(COUNTIF('案件索引'!$A$6:$A$105,B438)=0,"案件ID未登记",IF(OR(C438="",D438="",F438="",G438="",H438="",I438="",J438="",K438="",M438="",N438="",Q438="",R438="",T438=""),"补对象、必要性、结果、依据或标注人",IF(AND(H438="条件必要",L438=""),"条件必要须写条件",IF(AND(R438="条件通过待执行核验",OR(M438="未知",M438="未满足",O438="",O438="未提供")),"条件或权限证据不足，退回核验","格式已填；仍须人工复核"))))))</x:f>
      </x:c>
    </x:row>
    <x:row r="439" ht="44" customHeight="1">
      <x:c r="A439" s="9"/>
      <x:c r="B439" s="9"/>
      <x:c r="C439" s="9"/>
      <x:c r="D439" s="9"/>
      <x:c r="E439" s="9"/>
      <x:c r="F439" s="9"/>
      <x:c r="G439" s="9"/>
      <x:c r="H439" s="9"/>
      <x:c r="I439" s="9"/>
      <x:c r="J439" s="9"/>
      <x:c r="K439" s="9"/>
      <x:c r="L439" s="9"/>
      <x:c r="M439" s="9"/>
      <x:c r="N439" s="9"/>
      <x:c r="O439" s="9"/>
      <x:c r="P439" s="9"/>
      <x:c r="Q439" s="9"/>
      <x:c r="R439" s="9"/>
      <x:c r="S439" s="9"/>
      <x:c r="T439" s="9"/>
      <x:c r="U439" s="9"/>
      <x:c r="V439" s="9"/>
      <x:c r="W439" s="12" t="str">
        <x:f>IF(A439="","",IF(COUNTIF($A$6:$A$505,A439)&gt;1,"记录ID重复",IF(COUNTIF('案件索引'!$A$6:$A$105,B439)=0,"案件ID未登记",IF(OR(C439="",D439="",F439="",G439="",H439="",I439="",J439="",K439="",M439="",N439="",Q439="",R439="",T439=""),"补对象、必要性、结果、依据或标注人",IF(AND(H439="条件必要",L439=""),"条件必要须写条件",IF(AND(R439="条件通过待执行核验",OR(M439="未知",M439="未满足",O439="",O439="未提供")),"条件或权限证据不足，退回核验","格式已填；仍须人工复核"))))))</x:f>
      </x:c>
    </x:row>
    <x:row r="440" ht="44" customHeight="1">
      <x:c r="A440" s="9"/>
      <x:c r="B440" s="9"/>
      <x:c r="C440" s="9"/>
      <x:c r="D440" s="9"/>
      <x:c r="E440" s="9"/>
      <x:c r="F440" s="9"/>
      <x:c r="G440" s="9"/>
      <x:c r="H440" s="9"/>
      <x:c r="I440" s="9"/>
      <x:c r="J440" s="9"/>
      <x:c r="K440" s="9"/>
      <x:c r="L440" s="9"/>
      <x:c r="M440" s="9"/>
      <x:c r="N440" s="9"/>
      <x:c r="O440" s="9"/>
      <x:c r="P440" s="9"/>
      <x:c r="Q440" s="9"/>
      <x:c r="R440" s="9"/>
      <x:c r="S440" s="9"/>
      <x:c r="T440" s="9"/>
      <x:c r="U440" s="9"/>
      <x:c r="V440" s="9"/>
      <x:c r="W440" s="12" t="str">
        <x:f>IF(A440="","",IF(COUNTIF($A$6:$A$505,A440)&gt;1,"记录ID重复",IF(COUNTIF('案件索引'!$A$6:$A$105,B440)=0,"案件ID未登记",IF(OR(C440="",D440="",F440="",G440="",H440="",I440="",J440="",K440="",M440="",N440="",Q440="",R440="",T440=""),"补对象、必要性、结果、依据或标注人",IF(AND(H440="条件必要",L440=""),"条件必要须写条件",IF(AND(R440="条件通过待执行核验",OR(M440="未知",M440="未满足",O440="",O440="未提供")),"条件或权限证据不足，退回核验","格式已填；仍须人工复核"))))))</x:f>
      </x:c>
    </x:row>
    <x:row r="441" ht="44" customHeight="1">
      <x:c r="A441" s="9"/>
      <x:c r="B441" s="9"/>
      <x:c r="C441" s="9"/>
      <x:c r="D441" s="9"/>
      <x:c r="E441" s="9"/>
      <x:c r="F441" s="9"/>
      <x:c r="G441" s="9"/>
      <x:c r="H441" s="9"/>
      <x:c r="I441" s="9"/>
      <x:c r="J441" s="9"/>
      <x:c r="K441" s="9"/>
      <x:c r="L441" s="9"/>
      <x:c r="M441" s="9"/>
      <x:c r="N441" s="9"/>
      <x:c r="O441" s="9"/>
      <x:c r="P441" s="9"/>
      <x:c r="Q441" s="9"/>
      <x:c r="R441" s="9"/>
      <x:c r="S441" s="9"/>
      <x:c r="T441" s="9"/>
      <x:c r="U441" s="9"/>
      <x:c r="V441" s="9"/>
      <x:c r="W441" s="12" t="str">
        <x:f>IF(A441="","",IF(COUNTIF($A$6:$A$505,A441)&gt;1,"记录ID重复",IF(COUNTIF('案件索引'!$A$6:$A$105,B441)=0,"案件ID未登记",IF(OR(C441="",D441="",F441="",G441="",H441="",I441="",J441="",K441="",M441="",N441="",Q441="",R441="",T441=""),"补对象、必要性、结果、依据或标注人",IF(AND(H441="条件必要",L441=""),"条件必要须写条件",IF(AND(R441="条件通过待执行核验",OR(M441="未知",M441="未满足",O441="",O441="未提供")),"条件或权限证据不足，退回核验","格式已填；仍须人工复核"))))))</x:f>
      </x:c>
    </x:row>
    <x:row r="442" ht="44" customHeight="1">
      <x:c r="A442" s="9"/>
      <x:c r="B442" s="9"/>
      <x:c r="C442" s="9"/>
      <x:c r="D442" s="9"/>
      <x:c r="E442" s="9"/>
      <x:c r="F442" s="9"/>
      <x:c r="G442" s="9"/>
      <x:c r="H442" s="9"/>
      <x:c r="I442" s="9"/>
      <x:c r="J442" s="9"/>
      <x:c r="K442" s="9"/>
      <x:c r="L442" s="9"/>
      <x:c r="M442" s="9"/>
      <x:c r="N442" s="9"/>
      <x:c r="O442" s="9"/>
      <x:c r="P442" s="9"/>
      <x:c r="Q442" s="9"/>
      <x:c r="R442" s="9"/>
      <x:c r="S442" s="9"/>
      <x:c r="T442" s="9"/>
      <x:c r="U442" s="9"/>
      <x:c r="V442" s="9"/>
      <x:c r="W442" s="12" t="str">
        <x:f>IF(A442="","",IF(COUNTIF($A$6:$A$505,A442)&gt;1,"记录ID重复",IF(COUNTIF('案件索引'!$A$6:$A$105,B442)=0,"案件ID未登记",IF(OR(C442="",D442="",F442="",G442="",H442="",I442="",J442="",K442="",M442="",N442="",Q442="",R442="",T442=""),"补对象、必要性、结果、依据或标注人",IF(AND(H442="条件必要",L442=""),"条件必要须写条件",IF(AND(R442="条件通过待执行核验",OR(M442="未知",M442="未满足",O442="",O442="未提供")),"条件或权限证据不足，退回核验","格式已填；仍须人工复核"))))))</x:f>
      </x:c>
    </x:row>
    <x:row r="443" ht="44" customHeight="1">
      <x:c r="A443" s="9"/>
      <x:c r="B443" s="9"/>
      <x:c r="C443" s="9"/>
      <x:c r="D443" s="9"/>
      <x:c r="E443" s="9"/>
      <x:c r="F443" s="9"/>
      <x:c r="G443" s="9"/>
      <x:c r="H443" s="9"/>
      <x:c r="I443" s="9"/>
      <x:c r="J443" s="9"/>
      <x:c r="K443" s="9"/>
      <x:c r="L443" s="9"/>
      <x:c r="M443" s="9"/>
      <x:c r="N443" s="9"/>
      <x:c r="O443" s="9"/>
      <x:c r="P443" s="9"/>
      <x:c r="Q443" s="9"/>
      <x:c r="R443" s="9"/>
      <x:c r="S443" s="9"/>
      <x:c r="T443" s="9"/>
      <x:c r="U443" s="9"/>
      <x:c r="V443" s="9"/>
      <x:c r="W443" s="12" t="str">
        <x:f>IF(A443="","",IF(COUNTIF($A$6:$A$505,A443)&gt;1,"记录ID重复",IF(COUNTIF('案件索引'!$A$6:$A$105,B443)=0,"案件ID未登记",IF(OR(C443="",D443="",F443="",G443="",H443="",I443="",J443="",K443="",M443="",N443="",Q443="",R443="",T443=""),"补对象、必要性、结果、依据或标注人",IF(AND(H443="条件必要",L443=""),"条件必要须写条件",IF(AND(R443="条件通过待执行核验",OR(M443="未知",M443="未满足",O443="",O443="未提供")),"条件或权限证据不足，退回核验","格式已填；仍须人工复核"))))))</x:f>
      </x:c>
    </x:row>
    <x:row r="444" ht="44" customHeight="1">
      <x:c r="A444" s="9"/>
      <x:c r="B444" s="9"/>
      <x:c r="C444" s="9"/>
      <x:c r="D444" s="9"/>
      <x:c r="E444" s="9"/>
      <x:c r="F444" s="9"/>
      <x:c r="G444" s="9"/>
      <x:c r="H444" s="9"/>
      <x:c r="I444" s="9"/>
      <x:c r="J444" s="9"/>
      <x:c r="K444" s="9"/>
      <x:c r="L444" s="9"/>
      <x:c r="M444" s="9"/>
      <x:c r="N444" s="9"/>
      <x:c r="O444" s="9"/>
      <x:c r="P444" s="9"/>
      <x:c r="Q444" s="9"/>
      <x:c r="R444" s="9"/>
      <x:c r="S444" s="9"/>
      <x:c r="T444" s="9"/>
      <x:c r="U444" s="9"/>
      <x:c r="V444" s="9"/>
      <x:c r="W444" s="12" t="str">
        <x:f>IF(A444="","",IF(COUNTIF($A$6:$A$505,A444)&gt;1,"记录ID重复",IF(COUNTIF('案件索引'!$A$6:$A$105,B444)=0,"案件ID未登记",IF(OR(C444="",D444="",F444="",G444="",H444="",I444="",J444="",K444="",M444="",N444="",Q444="",R444="",T444=""),"补对象、必要性、结果、依据或标注人",IF(AND(H444="条件必要",L444=""),"条件必要须写条件",IF(AND(R444="条件通过待执行核验",OR(M444="未知",M444="未满足",O444="",O444="未提供")),"条件或权限证据不足，退回核验","格式已填；仍须人工复核"))))))</x:f>
      </x:c>
    </x:row>
    <x:row r="445" ht="44" customHeight="1">
      <x:c r="A445" s="9"/>
      <x:c r="B445" s="9"/>
      <x:c r="C445" s="9"/>
      <x:c r="D445" s="9"/>
      <x:c r="E445" s="9"/>
      <x:c r="F445" s="9"/>
      <x:c r="G445" s="9"/>
      <x:c r="H445" s="9"/>
      <x:c r="I445" s="9"/>
      <x:c r="J445" s="9"/>
      <x:c r="K445" s="9"/>
      <x:c r="L445" s="9"/>
      <x:c r="M445" s="9"/>
      <x:c r="N445" s="9"/>
      <x:c r="O445" s="9"/>
      <x:c r="P445" s="9"/>
      <x:c r="Q445" s="9"/>
      <x:c r="R445" s="9"/>
      <x:c r="S445" s="9"/>
      <x:c r="T445" s="9"/>
      <x:c r="U445" s="9"/>
      <x:c r="V445" s="9"/>
      <x:c r="W445" s="12" t="str">
        <x:f>IF(A445="","",IF(COUNTIF($A$6:$A$505,A445)&gt;1,"记录ID重复",IF(COUNTIF('案件索引'!$A$6:$A$105,B445)=0,"案件ID未登记",IF(OR(C445="",D445="",F445="",G445="",H445="",I445="",J445="",K445="",M445="",N445="",Q445="",R445="",T445=""),"补对象、必要性、结果、依据或标注人",IF(AND(H445="条件必要",L445=""),"条件必要须写条件",IF(AND(R445="条件通过待执行核验",OR(M445="未知",M445="未满足",O445="",O445="未提供")),"条件或权限证据不足，退回核验","格式已填；仍须人工复核"))))))</x:f>
      </x:c>
    </x:row>
    <x:row r="446" ht="44" customHeight="1">
      <x:c r="A446" s="9"/>
      <x:c r="B446" s="9"/>
      <x:c r="C446" s="9"/>
      <x:c r="D446" s="9"/>
      <x:c r="E446" s="9"/>
      <x:c r="F446" s="9"/>
      <x:c r="G446" s="9"/>
      <x:c r="H446" s="9"/>
      <x:c r="I446" s="9"/>
      <x:c r="J446" s="9"/>
      <x:c r="K446" s="9"/>
      <x:c r="L446" s="9"/>
      <x:c r="M446" s="9"/>
      <x:c r="N446" s="9"/>
      <x:c r="O446" s="9"/>
      <x:c r="P446" s="9"/>
      <x:c r="Q446" s="9"/>
      <x:c r="R446" s="9"/>
      <x:c r="S446" s="9"/>
      <x:c r="T446" s="9"/>
      <x:c r="U446" s="9"/>
      <x:c r="V446" s="9"/>
      <x:c r="W446" s="12" t="str">
        <x:f>IF(A446="","",IF(COUNTIF($A$6:$A$505,A446)&gt;1,"记录ID重复",IF(COUNTIF('案件索引'!$A$6:$A$105,B446)=0,"案件ID未登记",IF(OR(C446="",D446="",F446="",G446="",H446="",I446="",J446="",K446="",M446="",N446="",Q446="",R446="",T446=""),"补对象、必要性、结果、依据或标注人",IF(AND(H446="条件必要",L446=""),"条件必要须写条件",IF(AND(R446="条件通过待执行核验",OR(M446="未知",M446="未满足",O446="",O446="未提供")),"条件或权限证据不足，退回核验","格式已填；仍须人工复核"))))))</x:f>
      </x:c>
    </x:row>
    <x:row r="447" ht="44" customHeight="1">
      <x:c r="A447" s="9"/>
      <x:c r="B447" s="9"/>
      <x:c r="C447" s="9"/>
      <x:c r="D447" s="9"/>
      <x:c r="E447" s="9"/>
      <x:c r="F447" s="9"/>
      <x:c r="G447" s="9"/>
      <x:c r="H447" s="9"/>
      <x:c r="I447" s="9"/>
      <x:c r="J447" s="9"/>
      <x:c r="K447" s="9"/>
      <x:c r="L447" s="9"/>
      <x:c r="M447" s="9"/>
      <x:c r="N447" s="9"/>
      <x:c r="O447" s="9"/>
      <x:c r="P447" s="9"/>
      <x:c r="Q447" s="9"/>
      <x:c r="R447" s="9"/>
      <x:c r="S447" s="9"/>
      <x:c r="T447" s="9"/>
      <x:c r="U447" s="9"/>
      <x:c r="V447" s="9"/>
      <x:c r="W447" s="12" t="str">
        <x:f>IF(A447="","",IF(COUNTIF($A$6:$A$505,A447)&gt;1,"记录ID重复",IF(COUNTIF('案件索引'!$A$6:$A$105,B447)=0,"案件ID未登记",IF(OR(C447="",D447="",F447="",G447="",H447="",I447="",J447="",K447="",M447="",N447="",Q447="",R447="",T447=""),"补对象、必要性、结果、依据或标注人",IF(AND(H447="条件必要",L447=""),"条件必要须写条件",IF(AND(R447="条件通过待执行核验",OR(M447="未知",M447="未满足",O447="",O447="未提供")),"条件或权限证据不足，退回核验","格式已填；仍须人工复核"))))))</x:f>
      </x:c>
    </x:row>
    <x:row r="448" ht="44" customHeight="1">
      <x:c r="A448" s="9"/>
      <x:c r="B448" s="9"/>
      <x:c r="C448" s="9"/>
      <x:c r="D448" s="9"/>
      <x:c r="E448" s="9"/>
      <x:c r="F448" s="9"/>
      <x:c r="G448" s="9"/>
      <x:c r="H448" s="9"/>
      <x:c r="I448" s="9"/>
      <x:c r="J448" s="9"/>
      <x:c r="K448" s="9"/>
      <x:c r="L448" s="9"/>
      <x:c r="M448" s="9"/>
      <x:c r="N448" s="9"/>
      <x:c r="O448" s="9"/>
      <x:c r="P448" s="9"/>
      <x:c r="Q448" s="9"/>
      <x:c r="R448" s="9"/>
      <x:c r="S448" s="9"/>
      <x:c r="T448" s="9"/>
      <x:c r="U448" s="9"/>
      <x:c r="V448" s="9"/>
      <x:c r="W448" s="12" t="str">
        <x:f>IF(A448="","",IF(COUNTIF($A$6:$A$505,A448)&gt;1,"记录ID重复",IF(COUNTIF('案件索引'!$A$6:$A$105,B448)=0,"案件ID未登记",IF(OR(C448="",D448="",F448="",G448="",H448="",I448="",J448="",K448="",M448="",N448="",Q448="",R448="",T448=""),"补对象、必要性、结果、依据或标注人",IF(AND(H448="条件必要",L448=""),"条件必要须写条件",IF(AND(R448="条件通过待执行核验",OR(M448="未知",M448="未满足",O448="",O448="未提供")),"条件或权限证据不足，退回核验","格式已填；仍须人工复核"))))))</x:f>
      </x:c>
    </x:row>
    <x:row r="449" ht="44" customHeight="1">
      <x:c r="A449" s="9"/>
      <x:c r="B449" s="9"/>
      <x:c r="C449" s="9"/>
      <x:c r="D449" s="9"/>
      <x:c r="E449" s="9"/>
      <x:c r="F449" s="9"/>
      <x:c r="G449" s="9"/>
      <x:c r="H449" s="9"/>
      <x:c r="I449" s="9"/>
      <x:c r="J449" s="9"/>
      <x:c r="K449" s="9"/>
      <x:c r="L449" s="9"/>
      <x:c r="M449" s="9"/>
      <x:c r="N449" s="9"/>
      <x:c r="O449" s="9"/>
      <x:c r="P449" s="9"/>
      <x:c r="Q449" s="9"/>
      <x:c r="R449" s="9"/>
      <x:c r="S449" s="9"/>
      <x:c r="T449" s="9"/>
      <x:c r="U449" s="9"/>
      <x:c r="V449" s="9"/>
      <x:c r="W449" s="12" t="str">
        <x:f>IF(A449="","",IF(COUNTIF($A$6:$A$505,A449)&gt;1,"记录ID重复",IF(COUNTIF('案件索引'!$A$6:$A$105,B449)=0,"案件ID未登记",IF(OR(C449="",D449="",F449="",G449="",H449="",I449="",J449="",K449="",M449="",N449="",Q449="",R449="",T449=""),"补对象、必要性、结果、依据或标注人",IF(AND(H449="条件必要",L449=""),"条件必要须写条件",IF(AND(R449="条件通过待执行核验",OR(M449="未知",M449="未满足",O449="",O449="未提供")),"条件或权限证据不足，退回核验","格式已填；仍须人工复核"))))))</x:f>
      </x:c>
    </x:row>
    <x:row r="450" ht="44" customHeight="1">
      <x:c r="A450" s="9"/>
      <x:c r="B450" s="9"/>
      <x:c r="C450" s="9"/>
      <x:c r="D450" s="9"/>
      <x:c r="E450" s="9"/>
      <x:c r="F450" s="9"/>
      <x:c r="G450" s="9"/>
      <x:c r="H450" s="9"/>
      <x:c r="I450" s="9"/>
      <x:c r="J450" s="9"/>
      <x:c r="K450" s="9"/>
      <x:c r="L450" s="9"/>
      <x:c r="M450" s="9"/>
      <x:c r="N450" s="9"/>
      <x:c r="O450" s="9"/>
      <x:c r="P450" s="9"/>
      <x:c r="Q450" s="9"/>
      <x:c r="R450" s="9"/>
      <x:c r="S450" s="9"/>
      <x:c r="T450" s="9"/>
      <x:c r="U450" s="9"/>
      <x:c r="V450" s="9"/>
      <x:c r="W450" s="12" t="str">
        <x:f>IF(A450="","",IF(COUNTIF($A$6:$A$505,A450)&gt;1,"记录ID重复",IF(COUNTIF('案件索引'!$A$6:$A$105,B450)=0,"案件ID未登记",IF(OR(C450="",D450="",F450="",G450="",H450="",I450="",J450="",K450="",M450="",N450="",Q450="",R450="",T450=""),"补对象、必要性、结果、依据或标注人",IF(AND(H450="条件必要",L450=""),"条件必要须写条件",IF(AND(R450="条件通过待执行核验",OR(M450="未知",M450="未满足",O450="",O450="未提供")),"条件或权限证据不足，退回核验","格式已填；仍须人工复核"))))))</x:f>
      </x:c>
    </x:row>
    <x:row r="451" ht="44" customHeight="1">
      <x:c r="A451" s="9"/>
      <x:c r="B451" s="9"/>
      <x:c r="C451" s="9"/>
      <x:c r="D451" s="9"/>
      <x:c r="E451" s="9"/>
      <x:c r="F451" s="9"/>
      <x:c r="G451" s="9"/>
      <x:c r="H451" s="9"/>
      <x:c r="I451" s="9"/>
      <x:c r="J451" s="9"/>
      <x:c r="K451" s="9"/>
      <x:c r="L451" s="9"/>
      <x:c r="M451" s="9"/>
      <x:c r="N451" s="9"/>
      <x:c r="O451" s="9"/>
      <x:c r="P451" s="9"/>
      <x:c r="Q451" s="9"/>
      <x:c r="R451" s="9"/>
      <x:c r="S451" s="9"/>
      <x:c r="T451" s="9"/>
      <x:c r="U451" s="9"/>
      <x:c r="V451" s="9"/>
      <x:c r="W451" s="12" t="str">
        <x:f>IF(A451="","",IF(COUNTIF($A$6:$A$505,A451)&gt;1,"记录ID重复",IF(COUNTIF('案件索引'!$A$6:$A$105,B451)=0,"案件ID未登记",IF(OR(C451="",D451="",F451="",G451="",H451="",I451="",J451="",K451="",M451="",N451="",Q451="",R451="",T451=""),"补对象、必要性、结果、依据或标注人",IF(AND(H451="条件必要",L451=""),"条件必要须写条件",IF(AND(R451="条件通过待执行核验",OR(M451="未知",M451="未满足",O451="",O451="未提供")),"条件或权限证据不足，退回核验","格式已填；仍须人工复核"))))))</x:f>
      </x:c>
    </x:row>
    <x:row r="452" ht="44" customHeight="1">
      <x:c r="A452" s="9"/>
      <x:c r="B452" s="9"/>
      <x:c r="C452" s="9"/>
      <x:c r="D452" s="9"/>
      <x:c r="E452" s="9"/>
      <x:c r="F452" s="9"/>
      <x:c r="G452" s="9"/>
      <x:c r="H452" s="9"/>
      <x:c r="I452" s="9"/>
      <x:c r="J452" s="9"/>
      <x:c r="K452" s="9"/>
      <x:c r="L452" s="9"/>
      <x:c r="M452" s="9"/>
      <x:c r="N452" s="9"/>
      <x:c r="O452" s="9"/>
      <x:c r="P452" s="9"/>
      <x:c r="Q452" s="9"/>
      <x:c r="R452" s="9"/>
      <x:c r="S452" s="9"/>
      <x:c r="T452" s="9"/>
      <x:c r="U452" s="9"/>
      <x:c r="V452" s="9"/>
      <x:c r="W452" s="12" t="str">
        <x:f>IF(A452="","",IF(COUNTIF($A$6:$A$505,A452)&gt;1,"记录ID重复",IF(COUNTIF('案件索引'!$A$6:$A$105,B452)=0,"案件ID未登记",IF(OR(C452="",D452="",F452="",G452="",H452="",I452="",J452="",K452="",M452="",N452="",Q452="",R452="",T452=""),"补对象、必要性、结果、依据或标注人",IF(AND(H452="条件必要",L452=""),"条件必要须写条件",IF(AND(R452="条件通过待执行核验",OR(M452="未知",M452="未满足",O452="",O452="未提供")),"条件或权限证据不足，退回核验","格式已填；仍须人工复核"))))))</x:f>
      </x:c>
    </x:row>
    <x:row r="453" ht="44" customHeight="1">
      <x:c r="A453" s="9"/>
      <x:c r="B453" s="9"/>
      <x:c r="C453" s="9"/>
      <x:c r="D453" s="9"/>
      <x:c r="E453" s="9"/>
      <x:c r="F453" s="9"/>
      <x:c r="G453" s="9"/>
      <x:c r="H453" s="9"/>
      <x:c r="I453" s="9"/>
      <x:c r="J453" s="9"/>
      <x:c r="K453" s="9"/>
      <x:c r="L453" s="9"/>
      <x:c r="M453" s="9"/>
      <x:c r="N453" s="9"/>
      <x:c r="O453" s="9"/>
      <x:c r="P453" s="9"/>
      <x:c r="Q453" s="9"/>
      <x:c r="R453" s="9"/>
      <x:c r="S453" s="9"/>
      <x:c r="T453" s="9"/>
      <x:c r="U453" s="9"/>
      <x:c r="V453" s="9"/>
      <x:c r="W453" s="12" t="str">
        <x:f>IF(A453="","",IF(COUNTIF($A$6:$A$505,A453)&gt;1,"记录ID重复",IF(COUNTIF('案件索引'!$A$6:$A$105,B453)=0,"案件ID未登记",IF(OR(C453="",D453="",F453="",G453="",H453="",I453="",J453="",K453="",M453="",N453="",Q453="",R453="",T453=""),"补对象、必要性、结果、依据或标注人",IF(AND(H453="条件必要",L453=""),"条件必要须写条件",IF(AND(R453="条件通过待执行核验",OR(M453="未知",M453="未满足",O453="",O453="未提供")),"条件或权限证据不足，退回核验","格式已填；仍须人工复核"))))))</x:f>
      </x:c>
    </x:row>
    <x:row r="454" ht="44" customHeight="1">
      <x:c r="A454" s="9"/>
      <x:c r="B454" s="9"/>
      <x:c r="C454" s="9"/>
      <x:c r="D454" s="9"/>
      <x:c r="E454" s="9"/>
      <x:c r="F454" s="9"/>
      <x:c r="G454" s="9"/>
      <x:c r="H454" s="9"/>
      <x:c r="I454" s="9"/>
      <x:c r="J454" s="9"/>
      <x:c r="K454" s="9"/>
      <x:c r="L454" s="9"/>
      <x:c r="M454" s="9"/>
      <x:c r="N454" s="9"/>
      <x:c r="O454" s="9"/>
      <x:c r="P454" s="9"/>
      <x:c r="Q454" s="9"/>
      <x:c r="R454" s="9"/>
      <x:c r="S454" s="9"/>
      <x:c r="T454" s="9"/>
      <x:c r="U454" s="9"/>
      <x:c r="V454" s="9"/>
      <x:c r="W454" s="12" t="str">
        <x:f>IF(A454="","",IF(COUNTIF($A$6:$A$505,A454)&gt;1,"记录ID重复",IF(COUNTIF('案件索引'!$A$6:$A$105,B454)=0,"案件ID未登记",IF(OR(C454="",D454="",F454="",G454="",H454="",I454="",J454="",K454="",M454="",N454="",Q454="",R454="",T454=""),"补对象、必要性、结果、依据或标注人",IF(AND(H454="条件必要",L454=""),"条件必要须写条件",IF(AND(R454="条件通过待执行核验",OR(M454="未知",M454="未满足",O454="",O454="未提供")),"条件或权限证据不足，退回核验","格式已填；仍须人工复核"))))))</x:f>
      </x:c>
    </x:row>
    <x:row r="455" ht="44" customHeight="1">
      <x:c r="A455" s="9"/>
      <x:c r="B455" s="9"/>
      <x:c r="C455" s="9"/>
      <x:c r="D455" s="9"/>
      <x:c r="E455" s="9"/>
      <x:c r="F455" s="9"/>
      <x:c r="G455" s="9"/>
      <x:c r="H455" s="9"/>
      <x:c r="I455" s="9"/>
      <x:c r="J455" s="9"/>
      <x:c r="K455" s="9"/>
      <x:c r="L455" s="9"/>
      <x:c r="M455" s="9"/>
      <x:c r="N455" s="9"/>
      <x:c r="O455" s="9"/>
      <x:c r="P455" s="9"/>
      <x:c r="Q455" s="9"/>
      <x:c r="R455" s="9"/>
      <x:c r="S455" s="9"/>
      <x:c r="T455" s="9"/>
      <x:c r="U455" s="9"/>
      <x:c r="V455" s="9"/>
      <x:c r="W455" s="12" t="str">
        <x:f>IF(A455="","",IF(COUNTIF($A$6:$A$505,A455)&gt;1,"记录ID重复",IF(COUNTIF('案件索引'!$A$6:$A$105,B455)=0,"案件ID未登记",IF(OR(C455="",D455="",F455="",G455="",H455="",I455="",J455="",K455="",M455="",N455="",Q455="",R455="",T455=""),"补对象、必要性、结果、依据或标注人",IF(AND(H455="条件必要",L455=""),"条件必要须写条件",IF(AND(R455="条件通过待执行核验",OR(M455="未知",M455="未满足",O455="",O455="未提供")),"条件或权限证据不足，退回核验","格式已填；仍须人工复核"))))))</x:f>
      </x:c>
    </x:row>
    <x:row r="456" ht="44" customHeight="1">
      <x:c r="A456" s="9"/>
      <x:c r="B456" s="9"/>
      <x:c r="C456" s="9"/>
      <x:c r="D456" s="9"/>
      <x:c r="E456" s="9"/>
      <x:c r="F456" s="9"/>
      <x:c r="G456" s="9"/>
      <x:c r="H456" s="9"/>
      <x:c r="I456" s="9"/>
      <x:c r="J456" s="9"/>
      <x:c r="K456" s="9"/>
      <x:c r="L456" s="9"/>
      <x:c r="M456" s="9"/>
      <x:c r="N456" s="9"/>
      <x:c r="O456" s="9"/>
      <x:c r="P456" s="9"/>
      <x:c r="Q456" s="9"/>
      <x:c r="R456" s="9"/>
      <x:c r="S456" s="9"/>
      <x:c r="T456" s="9"/>
      <x:c r="U456" s="9"/>
      <x:c r="V456" s="9"/>
      <x:c r="W456" s="12" t="str">
        <x:f>IF(A456="","",IF(COUNTIF($A$6:$A$505,A456)&gt;1,"记录ID重复",IF(COUNTIF('案件索引'!$A$6:$A$105,B456)=0,"案件ID未登记",IF(OR(C456="",D456="",F456="",G456="",H456="",I456="",J456="",K456="",M456="",N456="",Q456="",R456="",T456=""),"补对象、必要性、结果、依据或标注人",IF(AND(H456="条件必要",L456=""),"条件必要须写条件",IF(AND(R456="条件通过待执行核验",OR(M456="未知",M456="未满足",O456="",O456="未提供")),"条件或权限证据不足，退回核验","格式已填；仍须人工复核"))))))</x:f>
      </x:c>
    </x:row>
    <x:row r="457" ht="44" customHeight="1">
      <x:c r="A457" s="9"/>
      <x:c r="B457" s="9"/>
      <x:c r="C457" s="9"/>
      <x:c r="D457" s="9"/>
      <x:c r="E457" s="9"/>
      <x:c r="F457" s="9"/>
      <x:c r="G457" s="9"/>
      <x:c r="H457" s="9"/>
      <x:c r="I457" s="9"/>
      <x:c r="J457" s="9"/>
      <x:c r="K457" s="9"/>
      <x:c r="L457" s="9"/>
      <x:c r="M457" s="9"/>
      <x:c r="N457" s="9"/>
      <x:c r="O457" s="9"/>
      <x:c r="P457" s="9"/>
      <x:c r="Q457" s="9"/>
      <x:c r="R457" s="9"/>
      <x:c r="S457" s="9"/>
      <x:c r="T457" s="9"/>
      <x:c r="U457" s="9"/>
      <x:c r="V457" s="9"/>
      <x:c r="W457" s="12" t="str">
        <x:f>IF(A457="","",IF(COUNTIF($A$6:$A$505,A457)&gt;1,"记录ID重复",IF(COUNTIF('案件索引'!$A$6:$A$105,B457)=0,"案件ID未登记",IF(OR(C457="",D457="",F457="",G457="",H457="",I457="",J457="",K457="",M457="",N457="",Q457="",R457="",T457=""),"补对象、必要性、结果、依据或标注人",IF(AND(H457="条件必要",L457=""),"条件必要须写条件",IF(AND(R457="条件通过待执行核验",OR(M457="未知",M457="未满足",O457="",O457="未提供")),"条件或权限证据不足，退回核验","格式已填；仍须人工复核"))))))</x:f>
      </x:c>
    </x:row>
    <x:row r="458" ht="44" customHeight="1">
      <x:c r="A458" s="9"/>
      <x:c r="B458" s="9"/>
      <x:c r="C458" s="9"/>
      <x:c r="D458" s="9"/>
      <x:c r="E458" s="9"/>
      <x:c r="F458" s="9"/>
      <x:c r="G458" s="9"/>
      <x:c r="H458" s="9"/>
      <x:c r="I458" s="9"/>
      <x:c r="J458" s="9"/>
      <x:c r="K458" s="9"/>
      <x:c r="L458" s="9"/>
      <x:c r="M458" s="9"/>
      <x:c r="N458" s="9"/>
      <x:c r="O458" s="9"/>
      <x:c r="P458" s="9"/>
      <x:c r="Q458" s="9"/>
      <x:c r="R458" s="9"/>
      <x:c r="S458" s="9"/>
      <x:c r="T458" s="9"/>
      <x:c r="U458" s="9"/>
      <x:c r="V458" s="9"/>
      <x:c r="W458" s="12" t="str">
        <x:f>IF(A458="","",IF(COUNTIF($A$6:$A$505,A458)&gt;1,"记录ID重复",IF(COUNTIF('案件索引'!$A$6:$A$105,B458)=0,"案件ID未登记",IF(OR(C458="",D458="",F458="",G458="",H458="",I458="",J458="",K458="",M458="",N458="",Q458="",R458="",T458=""),"补对象、必要性、结果、依据或标注人",IF(AND(H458="条件必要",L458=""),"条件必要须写条件",IF(AND(R458="条件通过待执行核验",OR(M458="未知",M458="未满足",O458="",O458="未提供")),"条件或权限证据不足，退回核验","格式已填；仍须人工复核"))))))</x:f>
      </x:c>
    </x:row>
    <x:row r="459" ht="44" customHeight="1">
      <x:c r="A459" s="9"/>
      <x:c r="B459" s="9"/>
      <x:c r="C459" s="9"/>
      <x:c r="D459" s="9"/>
      <x:c r="E459" s="9"/>
      <x:c r="F459" s="9"/>
      <x:c r="G459" s="9"/>
      <x:c r="H459" s="9"/>
      <x:c r="I459" s="9"/>
      <x:c r="J459" s="9"/>
      <x:c r="K459" s="9"/>
      <x:c r="L459" s="9"/>
      <x:c r="M459" s="9"/>
      <x:c r="N459" s="9"/>
      <x:c r="O459" s="9"/>
      <x:c r="P459" s="9"/>
      <x:c r="Q459" s="9"/>
      <x:c r="R459" s="9"/>
      <x:c r="S459" s="9"/>
      <x:c r="T459" s="9"/>
      <x:c r="U459" s="9"/>
      <x:c r="V459" s="9"/>
      <x:c r="W459" s="12" t="str">
        <x:f>IF(A459="","",IF(COUNTIF($A$6:$A$505,A459)&gt;1,"记录ID重复",IF(COUNTIF('案件索引'!$A$6:$A$105,B459)=0,"案件ID未登记",IF(OR(C459="",D459="",F459="",G459="",H459="",I459="",J459="",K459="",M459="",N459="",Q459="",R459="",T459=""),"补对象、必要性、结果、依据或标注人",IF(AND(H459="条件必要",L459=""),"条件必要须写条件",IF(AND(R459="条件通过待执行核验",OR(M459="未知",M459="未满足",O459="",O459="未提供")),"条件或权限证据不足，退回核验","格式已填；仍须人工复核"))))))</x:f>
      </x:c>
    </x:row>
    <x:row r="460" ht="44" customHeight="1">
      <x:c r="A460" s="9"/>
      <x:c r="B460" s="9"/>
      <x:c r="C460" s="9"/>
      <x:c r="D460" s="9"/>
      <x:c r="E460" s="9"/>
      <x:c r="F460" s="9"/>
      <x:c r="G460" s="9"/>
      <x:c r="H460" s="9"/>
      <x:c r="I460" s="9"/>
      <x:c r="J460" s="9"/>
      <x:c r="K460" s="9"/>
      <x:c r="L460" s="9"/>
      <x:c r="M460" s="9"/>
      <x:c r="N460" s="9"/>
      <x:c r="O460" s="9"/>
      <x:c r="P460" s="9"/>
      <x:c r="Q460" s="9"/>
      <x:c r="R460" s="9"/>
      <x:c r="S460" s="9"/>
      <x:c r="T460" s="9"/>
      <x:c r="U460" s="9"/>
      <x:c r="V460" s="9"/>
      <x:c r="W460" s="12" t="str">
        <x:f>IF(A460="","",IF(COUNTIF($A$6:$A$505,A460)&gt;1,"记录ID重复",IF(COUNTIF('案件索引'!$A$6:$A$105,B460)=0,"案件ID未登记",IF(OR(C460="",D460="",F460="",G460="",H460="",I460="",J460="",K460="",M460="",N460="",Q460="",R460="",T460=""),"补对象、必要性、结果、依据或标注人",IF(AND(H460="条件必要",L460=""),"条件必要须写条件",IF(AND(R460="条件通过待执行核验",OR(M460="未知",M460="未满足",O460="",O460="未提供")),"条件或权限证据不足，退回核验","格式已填；仍须人工复核"))))))</x:f>
      </x:c>
    </x:row>
    <x:row r="461" ht="44" customHeight="1">
      <x:c r="A461" s="9"/>
      <x:c r="B461" s="9"/>
      <x:c r="C461" s="9"/>
      <x:c r="D461" s="9"/>
      <x:c r="E461" s="9"/>
      <x:c r="F461" s="9"/>
      <x:c r="G461" s="9"/>
      <x:c r="H461" s="9"/>
      <x:c r="I461" s="9"/>
      <x:c r="J461" s="9"/>
      <x:c r="K461" s="9"/>
      <x:c r="L461" s="9"/>
      <x:c r="M461" s="9"/>
      <x:c r="N461" s="9"/>
      <x:c r="O461" s="9"/>
      <x:c r="P461" s="9"/>
      <x:c r="Q461" s="9"/>
      <x:c r="R461" s="9"/>
      <x:c r="S461" s="9"/>
      <x:c r="T461" s="9"/>
      <x:c r="U461" s="9"/>
      <x:c r="V461" s="9"/>
      <x:c r="W461" s="12" t="str">
        <x:f>IF(A461="","",IF(COUNTIF($A$6:$A$505,A461)&gt;1,"记录ID重复",IF(COUNTIF('案件索引'!$A$6:$A$105,B461)=0,"案件ID未登记",IF(OR(C461="",D461="",F461="",G461="",H461="",I461="",J461="",K461="",M461="",N461="",Q461="",R461="",T461=""),"补对象、必要性、结果、依据或标注人",IF(AND(H461="条件必要",L461=""),"条件必要须写条件",IF(AND(R461="条件通过待执行核验",OR(M461="未知",M461="未满足",O461="",O461="未提供")),"条件或权限证据不足，退回核验","格式已填；仍须人工复核"))))))</x:f>
      </x:c>
    </x:row>
    <x:row r="462" ht="44" customHeight="1">
      <x:c r="A462" s="9"/>
      <x:c r="B462" s="9"/>
      <x:c r="C462" s="9"/>
      <x:c r="D462" s="9"/>
      <x:c r="E462" s="9"/>
      <x:c r="F462" s="9"/>
      <x:c r="G462" s="9"/>
      <x:c r="H462" s="9"/>
      <x:c r="I462" s="9"/>
      <x:c r="J462" s="9"/>
      <x:c r="K462" s="9"/>
      <x:c r="L462" s="9"/>
      <x:c r="M462" s="9"/>
      <x:c r="N462" s="9"/>
      <x:c r="O462" s="9"/>
      <x:c r="P462" s="9"/>
      <x:c r="Q462" s="9"/>
      <x:c r="R462" s="9"/>
      <x:c r="S462" s="9"/>
      <x:c r="T462" s="9"/>
      <x:c r="U462" s="9"/>
      <x:c r="V462" s="9"/>
      <x:c r="W462" s="12" t="str">
        <x:f>IF(A462="","",IF(COUNTIF($A$6:$A$505,A462)&gt;1,"记录ID重复",IF(COUNTIF('案件索引'!$A$6:$A$105,B462)=0,"案件ID未登记",IF(OR(C462="",D462="",F462="",G462="",H462="",I462="",J462="",K462="",M462="",N462="",Q462="",R462="",T462=""),"补对象、必要性、结果、依据或标注人",IF(AND(H462="条件必要",L462=""),"条件必要须写条件",IF(AND(R462="条件通过待执行核验",OR(M462="未知",M462="未满足",O462="",O462="未提供")),"条件或权限证据不足，退回核验","格式已填；仍须人工复核"))))))</x:f>
      </x:c>
    </x:row>
    <x:row r="463" ht="44" customHeight="1">
      <x:c r="A463" s="9"/>
      <x:c r="B463" s="9"/>
      <x:c r="C463" s="9"/>
      <x:c r="D463" s="9"/>
      <x:c r="E463" s="9"/>
      <x:c r="F463" s="9"/>
      <x:c r="G463" s="9"/>
      <x:c r="H463" s="9"/>
      <x:c r="I463" s="9"/>
      <x:c r="J463" s="9"/>
      <x:c r="K463" s="9"/>
      <x:c r="L463" s="9"/>
      <x:c r="M463" s="9"/>
      <x:c r="N463" s="9"/>
      <x:c r="O463" s="9"/>
      <x:c r="P463" s="9"/>
      <x:c r="Q463" s="9"/>
      <x:c r="R463" s="9"/>
      <x:c r="S463" s="9"/>
      <x:c r="T463" s="9"/>
      <x:c r="U463" s="9"/>
      <x:c r="V463" s="9"/>
      <x:c r="W463" s="12" t="str">
        <x:f>IF(A463="","",IF(COUNTIF($A$6:$A$505,A463)&gt;1,"记录ID重复",IF(COUNTIF('案件索引'!$A$6:$A$105,B463)=0,"案件ID未登记",IF(OR(C463="",D463="",F463="",G463="",H463="",I463="",J463="",K463="",M463="",N463="",Q463="",R463="",T463=""),"补对象、必要性、结果、依据或标注人",IF(AND(H463="条件必要",L463=""),"条件必要须写条件",IF(AND(R463="条件通过待执行核验",OR(M463="未知",M463="未满足",O463="",O463="未提供")),"条件或权限证据不足，退回核验","格式已填；仍须人工复核"))))))</x:f>
      </x:c>
    </x:row>
    <x:row r="464" ht="44" customHeight="1">
      <x:c r="A464" s="9"/>
      <x:c r="B464" s="9"/>
      <x:c r="C464" s="9"/>
      <x:c r="D464" s="9"/>
      <x:c r="E464" s="9"/>
      <x:c r="F464" s="9"/>
      <x:c r="G464" s="9"/>
      <x:c r="H464" s="9"/>
      <x:c r="I464" s="9"/>
      <x:c r="J464" s="9"/>
      <x:c r="K464" s="9"/>
      <x:c r="L464" s="9"/>
      <x:c r="M464" s="9"/>
      <x:c r="N464" s="9"/>
      <x:c r="O464" s="9"/>
      <x:c r="P464" s="9"/>
      <x:c r="Q464" s="9"/>
      <x:c r="R464" s="9"/>
      <x:c r="S464" s="9"/>
      <x:c r="T464" s="9"/>
      <x:c r="U464" s="9"/>
      <x:c r="V464" s="9"/>
      <x:c r="W464" s="12" t="str">
        <x:f>IF(A464="","",IF(COUNTIF($A$6:$A$505,A464)&gt;1,"记录ID重复",IF(COUNTIF('案件索引'!$A$6:$A$105,B464)=0,"案件ID未登记",IF(OR(C464="",D464="",F464="",G464="",H464="",I464="",J464="",K464="",M464="",N464="",Q464="",R464="",T464=""),"补对象、必要性、结果、依据或标注人",IF(AND(H464="条件必要",L464=""),"条件必要须写条件",IF(AND(R464="条件通过待执行核验",OR(M464="未知",M464="未满足",O464="",O464="未提供")),"条件或权限证据不足，退回核验","格式已填；仍须人工复核"))))))</x:f>
      </x:c>
    </x:row>
    <x:row r="465" ht="44" customHeight="1">
      <x:c r="A465" s="9"/>
      <x:c r="B465" s="9"/>
      <x:c r="C465" s="9"/>
      <x:c r="D465" s="9"/>
      <x:c r="E465" s="9"/>
      <x:c r="F465" s="9"/>
      <x:c r="G465" s="9"/>
      <x:c r="H465" s="9"/>
      <x:c r="I465" s="9"/>
      <x:c r="J465" s="9"/>
      <x:c r="K465" s="9"/>
      <x:c r="L465" s="9"/>
      <x:c r="M465" s="9"/>
      <x:c r="N465" s="9"/>
      <x:c r="O465" s="9"/>
      <x:c r="P465" s="9"/>
      <x:c r="Q465" s="9"/>
      <x:c r="R465" s="9"/>
      <x:c r="S465" s="9"/>
      <x:c r="T465" s="9"/>
      <x:c r="U465" s="9"/>
      <x:c r="V465" s="9"/>
      <x:c r="W465" s="12" t="str">
        <x:f>IF(A465="","",IF(COUNTIF($A$6:$A$505,A465)&gt;1,"记录ID重复",IF(COUNTIF('案件索引'!$A$6:$A$105,B465)=0,"案件ID未登记",IF(OR(C465="",D465="",F465="",G465="",H465="",I465="",J465="",K465="",M465="",N465="",Q465="",R465="",T465=""),"补对象、必要性、结果、依据或标注人",IF(AND(H465="条件必要",L465=""),"条件必要须写条件",IF(AND(R465="条件通过待执行核验",OR(M465="未知",M465="未满足",O465="",O465="未提供")),"条件或权限证据不足，退回核验","格式已填；仍须人工复核"))))))</x:f>
      </x:c>
    </x:row>
    <x:row r="466" ht="44" customHeight="1">
      <x:c r="A466" s="9"/>
      <x:c r="B466" s="9"/>
      <x:c r="C466" s="9"/>
      <x:c r="D466" s="9"/>
      <x:c r="E466" s="9"/>
      <x:c r="F466" s="9"/>
      <x:c r="G466" s="9"/>
      <x:c r="H466" s="9"/>
      <x:c r="I466" s="9"/>
      <x:c r="J466" s="9"/>
      <x:c r="K466" s="9"/>
      <x:c r="L466" s="9"/>
      <x:c r="M466" s="9"/>
      <x:c r="N466" s="9"/>
      <x:c r="O466" s="9"/>
      <x:c r="P466" s="9"/>
      <x:c r="Q466" s="9"/>
      <x:c r="R466" s="9"/>
      <x:c r="S466" s="9"/>
      <x:c r="T466" s="9"/>
      <x:c r="U466" s="9"/>
      <x:c r="V466" s="9"/>
      <x:c r="W466" s="12" t="str">
        <x:f>IF(A466="","",IF(COUNTIF($A$6:$A$505,A466)&gt;1,"记录ID重复",IF(COUNTIF('案件索引'!$A$6:$A$105,B466)=0,"案件ID未登记",IF(OR(C466="",D466="",F466="",G466="",H466="",I466="",J466="",K466="",M466="",N466="",Q466="",R466="",T466=""),"补对象、必要性、结果、依据或标注人",IF(AND(H466="条件必要",L466=""),"条件必要须写条件",IF(AND(R466="条件通过待执行核验",OR(M466="未知",M466="未满足",O466="",O466="未提供")),"条件或权限证据不足，退回核验","格式已填；仍须人工复核"))))))</x:f>
      </x:c>
    </x:row>
    <x:row r="467" ht="44" customHeight="1">
      <x:c r="A467" s="9"/>
      <x:c r="B467" s="9"/>
      <x:c r="C467" s="9"/>
      <x:c r="D467" s="9"/>
      <x:c r="E467" s="9"/>
      <x:c r="F467" s="9"/>
      <x:c r="G467" s="9"/>
      <x:c r="H467" s="9"/>
      <x:c r="I467" s="9"/>
      <x:c r="J467" s="9"/>
      <x:c r="K467" s="9"/>
      <x:c r="L467" s="9"/>
      <x:c r="M467" s="9"/>
      <x:c r="N467" s="9"/>
      <x:c r="O467" s="9"/>
      <x:c r="P467" s="9"/>
      <x:c r="Q467" s="9"/>
      <x:c r="R467" s="9"/>
      <x:c r="S467" s="9"/>
      <x:c r="T467" s="9"/>
      <x:c r="U467" s="9"/>
      <x:c r="V467" s="9"/>
      <x:c r="W467" s="12" t="str">
        <x:f>IF(A467="","",IF(COUNTIF($A$6:$A$505,A467)&gt;1,"记录ID重复",IF(COUNTIF('案件索引'!$A$6:$A$105,B467)=0,"案件ID未登记",IF(OR(C467="",D467="",F467="",G467="",H467="",I467="",J467="",K467="",M467="",N467="",Q467="",R467="",T467=""),"补对象、必要性、结果、依据或标注人",IF(AND(H467="条件必要",L467=""),"条件必要须写条件",IF(AND(R467="条件通过待执行核验",OR(M467="未知",M467="未满足",O467="",O467="未提供")),"条件或权限证据不足，退回核验","格式已填；仍须人工复核"))))))</x:f>
      </x:c>
    </x:row>
    <x:row r="468" ht="44" customHeight="1">
      <x:c r="A468" s="9"/>
      <x:c r="B468" s="9"/>
      <x:c r="C468" s="9"/>
      <x:c r="D468" s="9"/>
      <x:c r="E468" s="9"/>
      <x:c r="F468" s="9"/>
      <x:c r="G468" s="9"/>
      <x:c r="H468" s="9"/>
      <x:c r="I468" s="9"/>
      <x:c r="J468" s="9"/>
      <x:c r="K468" s="9"/>
      <x:c r="L468" s="9"/>
      <x:c r="M468" s="9"/>
      <x:c r="N468" s="9"/>
      <x:c r="O468" s="9"/>
      <x:c r="P468" s="9"/>
      <x:c r="Q468" s="9"/>
      <x:c r="R468" s="9"/>
      <x:c r="S468" s="9"/>
      <x:c r="T468" s="9"/>
      <x:c r="U468" s="9"/>
      <x:c r="V468" s="9"/>
      <x:c r="W468" s="12" t="str">
        <x:f>IF(A468="","",IF(COUNTIF($A$6:$A$505,A468)&gt;1,"记录ID重复",IF(COUNTIF('案件索引'!$A$6:$A$105,B468)=0,"案件ID未登记",IF(OR(C468="",D468="",F468="",G468="",H468="",I468="",J468="",K468="",M468="",N468="",Q468="",R468="",T468=""),"补对象、必要性、结果、依据或标注人",IF(AND(H468="条件必要",L468=""),"条件必要须写条件",IF(AND(R468="条件通过待执行核验",OR(M468="未知",M468="未满足",O468="",O468="未提供")),"条件或权限证据不足，退回核验","格式已填；仍须人工复核"))))))</x:f>
      </x:c>
    </x:row>
    <x:row r="469" ht="44" customHeight="1">
      <x:c r="A469" s="9"/>
      <x:c r="B469" s="9"/>
      <x:c r="C469" s="9"/>
      <x:c r="D469" s="9"/>
      <x:c r="E469" s="9"/>
      <x:c r="F469" s="9"/>
      <x:c r="G469" s="9"/>
      <x:c r="H469" s="9"/>
      <x:c r="I469" s="9"/>
      <x:c r="J469" s="9"/>
      <x:c r="K469" s="9"/>
      <x:c r="L469" s="9"/>
      <x:c r="M469" s="9"/>
      <x:c r="N469" s="9"/>
      <x:c r="O469" s="9"/>
      <x:c r="P469" s="9"/>
      <x:c r="Q469" s="9"/>
      <x:c r="R469" s="9"/>
      <x:c r="S469" s="9"/>
      <x:c r="T469" s="9"/>
      <x:c r="U469" s="9"/>
      <x:c r="V469" s="9"/>
      <x:c r="W469" s="12" t="str">
        <x:f>IF(A469="","",IF(COUNTIF($A$6:$A$505,A469)&gt;1,"记录ID重复",IF(COUNTIF('案件索引'!$A$6:$A$105,B469)=0,"案件ID未登记",IF(OR(C469="",D469="",F469="",G469="",H469="",I469="",J469="",K469="",M469="",N469="",Q469="",R469="",T469=""),"补对象、必要性、结果、依据或标注人",IF(AND(H469="条件必要",L469=""),"条件必要须写条件",IF(AND(R469="条件通过待执行核验",OR(M469="未知",M469="未满足",O469="",O469="未提供")),"条件或权限证据不足，退回核验","格式已填；仍须人工复核"))))))</x:f>
      </x:c>
    </x:row>
    <x:row r="470" ht="44" customHeight="1">
      <x:c r="A470" s="9"/>
      <x:c r="B470" s="9"/>
      <x:c r="C470" s="9"/>
      <x:c r="D470" s="9"/>
      <x:c r="E470" s="9"/>
      <x:c r="F470" s="9"/>
      <x:c r="G470" s="9"/>
      <x:c r="H470" s="9"/>
      <x:c r="I470" s="9"/>
      <x:c r="J470" s="9"/>
      <x:c r="K470" s="9"/>
      <x:c r="L470" s="9"/>
      <x:c r="M470" s="9"/>
      <x:c r="N470" s="9"/>
      <x:c r="O470" s="9"/>
      <x:c r="P470" s="9"/>
      <x:c r="Q470" s="9"/>
      <x:c r="R470" s="9"/>
      <x:c r="S470" s="9"/>
      <x:c r="T470" s="9"/>
      <x:c r="U470" s="9"/>
      <x:c r="V470" s="9"/>
      <x:c r="W470" s="12" t="str">
        <x:f>IF(A470="","",IF(COUNTIF($A$6:$A$505,A470)&gt;1,"记录ID重复",IF(COUNTIF('案件索引'!$A$6:$A$105,B470)=0,"案件ID未登记",IF(OR(C470="",D470="",F470="",G470="",H470="",I470="",J470="",K470="",M470="",N470="",Q470="",R470="",T470=""),"补对象、必要性、结果、依据或标注人",IF(AND(H470="条件必要",L470=""),"条件必要须写条件",IF(AND(R470="条件通过待执行核验",OR(M470="未知",M470="未满足",O470="",O470="未提供")),"条件或权限证据不足，退回核验","格式已填；仍须人工复核"))))))</x:f>
      </x:c>
    </x:row>
    <x:row r="471" ht="44" customHeight="1">
      <x:c r="A471" s="9"/>
      <x:c r="B471" s="9"/>
      <x:c r="C471" s="9"/>
      <x:c r="D471" s="9"/>
      <x:c r="E471" s="9"/>
      <x:c r="F471" s="9"/>
      <x:c r="G471" s="9"/>
      <x:c r="H471" s="9"/>
      <x:c r="I471" s="9"/>
      <x:c r="J471" s="9"/>
      <x:c r="K471" s="9"/>
      <x:c r="L471" s="9"/>
      <x:c r="M471" s="9"/>
      <x:c r="N471" s="9"/>
      <x:c r="O471" s="9"/>
      <x:c r="P471" s="9"/>
      <x:c r="Q471" s="9"/>
      <x:c r="R471" s="9"/>
      <x:c r="S471" s="9"/>
      <x:c r="T471" s="9"/>
      <x:c r="U471" s="9"/>
      <x:c r="V471" s="9"/>
      <x:c r="W471" s="12" t="str">
        <x:f>IF(A471="","",IF(COUNTIF($A$6:$A$505,A471)&gt;1,"记录ID重复",IF(COUNTIF('案件索引'!$A$6:$A$105,B471)=0,"案件ID未登记",IF(OR(C471="",D471="",F471="",G471="",H471="",I471="",J471="",K471="",M471="",N471="",Q471="",R471="",T471=""),"补对象、必要性、结果、依据或标注人",IF(AND(H471="条件必要",L471=""),"条件必要须写条件",IF(AND(R471="条件通过待执行核验",OR(M471="未知",M471="未满足",O471="",O471="未提供")),"条件或权限证据不足，退回核验","格式已填；仍须人工复核"))))))</x:f>
      </x:c>
    </x:row>
    <x:row r="472" ht="44" customHeight="1">
      <x:c r="A472" s="9"/>
      <x:c r="B472" s="9"/>
      <x:c r="C472" s="9"/>
      <x:c r="D472" s="9"/>
      <x:c r="E472" s="9"/>
      <x:c r="F472" s="9"/>
      <x:c r="G472" s="9"/>
      <x:c r="H472" s="9"/>
      <x:c r="I472" s="9"/>
      <x:c r="J472" s="9"/>
      <x:c r="K472" s="9"/>
      <x:c r="L472" s="9"/>
      <x:c r="M472" s="9"/>
      <x:c r="N472" s="9"/>
      <x:c r="O472" s="9"/>
      <x:c r="P472" s="9"/>
      <x:c r="Q472" s="9"/>
      <x:c r="R472" s="9"/>
      <x:c r="S472" s="9"/>
      <x:c r="T472" s="9"/>
      <x:c r="U472" s="9"/>
      <x:c r="V472" s="9"/>
      <x:c r="W472" s="12" t="str">
        <x:f>IF(A472="","",IF(COUNTIF($A$6:$A$505,A472)&gt;1,"记录ID重复",IF(COUNTIF('案件索引'!$A$6:$A$105,B472)=0,"案件ID未登记",IF(OR(C472="",D472="",F472="",G472="",H472="",I472="",J472="",K472="",M472="",N472="",Q472="",R472="",T472=""),"补对象、必要性、结果、依据或标注人",IF(AND(H472="条件必要",L472=""),"条件必要须写条件",IF(AND(R472="条件通过待执行核验",OR(M472="未知",M472="未满足",O472="",O472="未提供")),"条件或权限证据不足，退回核验","格式已填；仍须人工复核"))))))</x:f>
      </x:c>
    </x:row>
    <x:row r="473" ht="44" customHeight="1">
      <x:c r="A473" s="9"/>
      <x:c r="B473" s="9"/>
      <x:c r="C473" s="9"/>
      <x:c r="D473" s="9"/>
      <x:c r="E473" s="9"/>
      <x:c r="F473" s="9"/>
      <x:c r="G473" s="9"/>
      <x:c r="H473" s="9"/>
      <x:c r="I473" s="9"/>
      <x:c r="J473" s="9"/>
      <x:c r="K473" s="9"/>
      <x:c r="L473" s="9"/>
      <x:c r="M473" s="9"/>
      <x:c r="N473" s="9"/>
      <x:c r="O473" s="9"/>
      <x:c r="P473" s="9"/>
      <x:c r="Q473" s="9"/>
      <x:c r="R473" s="9"/>
      <x:c r="S473" s="9"/>
      <x:c r="T473" s="9"/>
      <x:c r="U473" s="9"/>
      <x:c r="V473" s="9"/>
      <x:c r="W473" s="12" t="str">
        <x:f>IF(A473="","",IF(COUNTIF($A$6:$A$505,A473)&gt;1,"记录ID重复",IF(COUNTIF('案件索引'!$A$6:$A$105,B473)=0,"案件ID未登记",IF(OR(C473="",D473="",F473="",G473="",H473="",I473="",J473="",K473="",M473="",N473="",Q473="",R473="",T473=""),"补对象、必要性、结果、依据或标注人",IF(AND(H473="条件必要",L473=""),"条件必要须写条件",IF(AND(R473="条件通过待执行核验",OR(M473="未知",M473="未满足",O473="",O473="未提供")),"条件或权限证据不足，退回核验","格式已填；仍须人工复核"))))))</x:f>
      </x:c>
    </x:row>
    <x:row r="474" ht="44" customHeight="1">
      <x:c r="A474" s="9"/>
      <x:c r="B474" s="9"/>
      <x:c r="C474" s="9"/>
      <x:c r="D474" s="9"/>
      <x:c r="E474" s="9"/>
      <x:c r="F474" s="9"/>
      <x:c r="G474" s="9"/>
      <x:c r="H474" s="9"/>
      <x:c r="I474" s="9"/>
      <x:c r="J474" s="9"/>
      <x:c r="K474" s="9"/>
      <x:c r="L474" s="9"/>
      <x:c r="M474" s="9"/>
      <x:c r="N474" s="9"/>
      <x:c r="O474" s="9"/>
      <x:c r="P474" s="9"/>
      <x:c r="Q474" s="9"/>
      <x:c r="R474" s="9"/>
      <x:c r="S474" s="9"/>
      <x:c r="T474" s="9"/>
      <x:c r="U474" s="9"/>
      <x:c r="V474" s="9"/>
      <x:c r="W474" s="12" t="str">
        <x:f>IF(A474="","",IF(COUNTIF($A$6:$A$505,A474)&gt;1,"记录ID重复",IF(COUNTIF('案件索引'!$A$6:$A$105,B474)=0,"案件ID未登记",IF(OR(C474="",D474="",F474="",G474="",H474="",I474="",J474="",K474="",M474="",N474="",Q474="",R474="",T474=""),"补对象、必要性、结果、依据或标注人",IF(AND(H474="条件必要",L474=""),"条件必要须写条件",IF(AND(R474="条件通过待执行核验",OR(M474="未知",M474="未满足",O474="",O474="未提供")),"条件或权限证据不足，退回核验","格式已填；仍须人工复核"))))))</x:f>
      </x:c>
    </x:row>
    <x:row r="475" ht="44" customHeight="1">
      <x:c r="A475" s="9"/>
      <x:c r="B475" s="9"/>
      <x:c r="C475" s="9"/>
      <x:c r="D475" s="9"/>
      <x:c r="E475" s="9"/>
      <x:c r="F475" s="9"/>
      <x:c r="G475" s="9"/>
      <x:c r="H475" s="9"/>
      <x:c r="I475" s="9"/>
      <x:c r="J475" s="9"/>
      <x:c r="K475" s="9"/>
      <x:c r="L475" s="9"/>
      <x:c r="M475" s="9"/>
      <x:c r="N475" s="9"/>
      <x:c r="O475" s="9"/>
      <x:c r="P475" s="9"/>
      <x:c r="Q475" s="9"/>
      <x:c r="R475" s="9"/>
      <x:c r="S475" s="9"/>
      <x:c r="T475" s="9"/>
      <x:c r="U475" s="9"/>
      <x:c r="V475" s="9"/>
      <x:c r="W475" s="12" t="str">
        <x:f>IF(A475="","",IF(COUNTIF($A$6:$A$505,A475)&gt;1,"记录ID重复",IF(COUNTIF('案件索引'!$A$6:$A$105,B475)=0,"案件ID未登记",IF(OR(C475="",D475="",F475="",G475="",H475="",I475="",J475="",K475="",M475="",N475="",Q475="",R475="",T475=""),"补对象、必要性、结果、依据或标注人",IF(AND(H475="条件必要",L475=""),"条件必要须写条件",IF(AND(R475="条件通过待执行核验",OR(M475="未知",M475="未满足",O475="",O475="未提供")),"条件或权限证据不足，退回核验","格式已填；仍须人工复核"))))))</x:f>
      </x:c>
    </x:row>
    <x:row r="476" ht="44" customHeight="1">
      <x:c r="A476" s="9"/>
      <x:c r="B476" s="9"/>
      <x:c r="C476" s="9"/>
      <x:c r="D476" s="9"/>
      <x:c r="E476" s="9"/>
      <x:c r="F476" s="9"/>
      <x:c r="G476" s="9"/>
      <x:c r="H476" s="9"/>
      <x:c r="I476" s="9"/>
      <x:c r="J476" s="9"/>
      <x:c r="K476" s="9"/>
      <x:c r="L476" s="9"/>
      <x:c r="M476" s="9"/>
      <x:c r="N476" s="9"/>
      <x:c r="O476" s="9"/>
      <x:c r="P476" s="9"/>
      <x:c r="Q476" s="9"/>
      <x:c r="R476" s="9"/>
      <x:c r="S476" s="9"/>
      <x:c r="T476" s="9"/>
      <x:c r="U476" s="9"/>
      <x:c r="V476" s="9"/>
      <x:c r="W476" s="12" t="str">
        <x:f>IF(A476="","",IF(COUNTIF($A$6:$A$505,A476)&gt;1,"记录ID重复",IF(COUNTIF('案件索引'!$A$6:$A$105,B476)=0,"案件ID未登记",IF(OR(C476="",D476="",F476="",G476="",H476="",I476="",J476="",K476="",M476="",N476="",Q476="",R476="",T476=""),"补对象、必要性、结果、依据或标注人",IF(AND(H476="条件必要",L476=""),"条件必要须写条件",IF(AND(R476="条件通过待执行核验",OR(M476="未知",M476="未满足",O476="",O476="未提供")),"条件或权限证据不足，退回核验","格式已填；仍须人工复核"))))))</x:f>
      </x:c>
    </x:row>
    <x:row r="477" ht="44" customHeight="1">
      <x:c r="A477" s="9"/>
      <x:c r="B477" s="9"/>
      <x:c r="C477" s="9"/>
      <x:c r="D477" s="9"/>
      <x:c r="E477" s="9"/>
      <x:c r="F477" s="9"/>
      <x:c r="G477" s="9"/>
      <x:c r="H477" s="9"/>
      <x:c r="I477" s="9"/>
      <x:c r="J477" s="9"/>
      <x:c r="K477" s="9"/>
      <x:c r="L477" s="9"/>
      <x:c r="M477" s="9"/>
      <x:c r="N477" s="9"/>
      <x:c r="O477" s="9"/>
      <x:c r="P477" s="9"/>
      <x:c r="Q477" s="9"/>
      <x:c r="R477" s="9"/>
      <x:c r="S477" s="9"/>
      <x:c r="T477" s="9"/>
      <x:c r="U477" s="9"/>
      <x:c r="V477" s="9"/>
      <x:c r="W477" s="12" t="str">
        <x:f>IF(A477="","",IF(COUNTIF($A$6:$A$505,A477)&gt;1,"记录ID重复",IF(COUNTIF('案件索引'!$A$6:$A$105,B477)=0,"案件ID未登记",IF(OR(C477="",D477="",F477="",G477="",H477="",I477="",J477="",K477="",M477="",N477="",Q477="",R477="",T477=""),"补对象、必要性、结果、依据或标注人",IF(AND(H477="条件必要",L477=""),"条件必要须写条件",IF(AND(R477="条件通过待执行核验",OR(M477="未知",M477="未满足",O477="",O477="未提供")),"条件或权限证据不足，退回核验","格式已填；仍须人工复核"))))))</x:f>
      </x:c>
    </x:row>
    <x:row r="478" ht="44" customHeight="1">
      <x:c r="A478" s="9"/>
      <x:c r="B478" s="9"/>
      <x:c r="C478" s="9"/>
      <x:c r="D478" s="9"/>
      <x:c r="E478" s="9"/>
      <x:c r="F478" s="9"/>
      <x:c r="G478" s="9"/>
      <x:c r="H478" s="9"/>
      <x:c r="I478" s="9"/>
      <x:c r="J478" s="9"/>
      <x:c r="K478" s="9"/>
      <x:c r="L478" s="9"/>
      <x:c r="M478" s="9"/>
      <x:c r="N478" s="9"/>
      <x:c r="O478" s="9"/>
      <x:c r="P478" s="9"/>
      <x:c r="Q478" s="9"/>
      <x:c r="R478" s="9"/>
      <x:c r="S478" s="9"/>
      <x:c r="T478" s="9"/>
      <x:c r="U478" s="9"/>
      <x:c r="V478" s="9"/>
      <x:c r="W478" s="12" t="str">
        <x:f>IF(A478="","",IF(COUNTIF($A$6:$A$505,A478)&gt;1,"记录ID重复",IF(COUNTIF('案件索引'!$A$6:$A$105,B478)=0,"案件ID未登记",IF(OR(C478="",D478="",F478="",G478="",H478="",I478="",J478="",K478="",M478="",N478="",Q478="",R478="",T478=""),"补对象、必要性、结果、依据或标注人",IF(AND(H478="条件必要",L478=""),"条件必要须写条件",IF(AND(R478="条件通过待执行核验",OR(M478="未知",M478="未满足",O478="",O478="未提供")),"条件或权限证据不足，退回核验","格式已填；仍须人工复核"))))))</x:f>
      </x:c>
    </x:row>
    <x:row r="479" ht="44" customHeight="1">
      <x:c r="A479" s="9"/>
      <x:c r="B479" s="9"/>
      <x:c r="C479" s="9"/>
      <x:c r="D479" s="9"/>
      <x:c r="E479" s="9"/>
      <x:c r="F479" s="9"/>
      <x:c r="G479" s="9"/>
      <x:c r="H479" s="9"/>
      <x:c r="I479" s="9"/>
      <x:c r="J479" s="9"/>
      <x:c r="K479" s="9"/>
      <x:c r="L479" s="9"/>
      <x:c r="M479" s="9"/>
      <x:c r="N479" s="9"/>
      <x:c r="O479" s="9"/>
      <x:c r="P479" s="9"/>
      <x:c r="Q479" s="9"/>
      <x:c r="R479" s="9"/>
      <x:c r="S479" s="9"/>
      <x:c r="T479" s="9"/>
      <x:c r="U479" s="9"/>
      <x:c r="V479" s="9"/>
      <x:c r="W479" s="12" t="str">
        <x:f>IF(A479="","",IF(COUNTIF($A$6:$A$505,A479)&gt;1,"记录ID重复",IF(COUNTIF('案件索引'!$A$6:$A$105,B479)=0,"案件ID未登记",IF(OR(C479="",D479="",F479="",G479="",H479="",I479="",J479="",K479="",M479="",N479="",Q479="",R479="",T479=""),"补对象、必要性、结果、依据或标注人",IF(AND(H479="条件必要",L479=""),"条件必要须写条件",IF(AND(R479="条件通过待执行核验",OR(M479="未知",M479="未满足",O479="",O479="未提供")),"条件或权限证据不足，退回核验","格式已填；仍须人工复核"))))))</x:f>
      </x:c>
    </x:row>
    <x:row r="480" ht="44" customHeight="1">
      <x:c r="A480" s="9"/>
      <x:c r="B480" s="9"/>
      <x:c r="C480" s="9"/>
      <x:c r="D480" s="9"/>
      <x:c r="E480" s="9"/>
      <x:c r="F480" s="9"/>
      <x:c r="G480" s="9"/>
      <x:c r="H480" s="9"/>
      <x:c r="I480" s="9"/>
      <x:c r="J480" s="9"/>
      <x:c r="K480" s="9"/>
      <x:c r="L480" s="9"/>
      <x:c r="M480" s="9"/>
      <x:c r="N480" s="9"/>
      <x:c r="O480" s="9"/>
      <x:c r="P480" s="9"/>
      <x:c r="Q480" s="9"/>
      <x:c r="R480" s="9"/>
      <x:c r="S480" s="9"/>
      <x:c r="T480" s="9"/>
      <x:c r="U480" s="9"/>
      <x:c r="V480" s="9"/>
      <x:c r="W480" s="12" t="str">
        <x:f>IF(A480="","",IF(COUNTIF($A$6:$A$505,A480)&gt;1,"记录ID重复",IF(COUNTIF('案件索引'!$A$6:$A$105,B480)=0,"案件ID未登记",IF(OR(C480="",D480="",F480="",G480="",H480="",I480="",J480="",K480="",M480="",N480="",Q480="",R480="",T480=""),"补对象、必要性、结果、依据或标注人",IF(AND(H480="条件必要",L480=""),"条件必要须写条件",IF(AND(R480="条件通过待执行核验",OR(M480="未知",M480="未满足",O480="",O480="未提供")),"条件或权限证据不足，退回核验","格式已填；仍须人工复核"))))))</x:f>
      </x:c>
    </x:row>
    <x:row r="481" ht="44" customHeight="1">
      <x:c r="A481" s="9"/>
      <x:c r="B481" s="9"/>
      <x:c r="C481" s="9"/>
      <x:c r="D481" s="9"/>
      <x:c r="E481" s="9"/>
      <x:c r="F481" s="9"/>
      <x:c r="G481" s="9"/>
      <x:c r="H481" s="9"/>
      <x:c r="I481" s="9"/>
      <x:c r="J481" s="9"/>
      <x:c r="K481" s="9"/>
      <x:c r="L481" s="9"/>
      <x:c r="M481" s="9"/>
      <x:c r="N481" s="9"/>
      <x:c r="O481" s="9"/>
      <x:c r="P481" s="9"/>
      <x:c r="Q481" s="9"/>
      <x:c r="R481" s="9"/>
      <x:c r="S481" s="9"/>
      <x:c r="T481" s="9"/>
      <x:c r="U481" s="9"/>
      <x:c r="V481" s="9"/>
      <x:c r="W481" s="12" t="str">
        <x:f>IF(A481="","",IF(COUNTIF($A$6:$A$505,A481)&gt;1,"记录ID重复",IF(COUNTIF('案件索引'!$A$6:$A$105,B481)=0,"案件ID未登记",IF(OR(C481="",D481="",F481="",G481="",H481="",I481="",J481="",K481="",M481="",N481="",Q481="",R481="",T481=""),"补对象、必要性、结果、依据或标注人",IF(AND(H481="条件必要",L481=""),"条件必要须写条件",IF(AND(R481="条件通过待执行核验",OR(M481="未知",M481="未满足",O481="",O481="未提供")),"条件或权限证据不足，退回核验","格式已填；仍须人工复核"))))))</x:f>
      </x:c>
    </x:row>
    <x:row r="482" ht="44" customHeight="1">
      <x:c r="A482" s="9"/>
      <x:c r="B482" s="9"/>
      <x:c r="C482" s="9"/>
      <x:c r="D482" s="9"/>
      <x:c r="E482" s="9"/>
      <x:c r="F482" s="9"/>
      <x:c r="G482" s="9"/>
      <x:c r="H482" s="9"/>
      <x:c r="I482" s="9"/>
      <x:c r="J482" s="9"/>
      <x:c r="K482" s="9"/>
      <x:c r="L482" s="9"/>
      <x:c r="M482" s="9"/>
      <x:c r="N482" s="9"/>
      <x:c r="O482" s="9"/>
      <x:c r="P482" s="9"/>
      <x:c r="Q482" s="9"/>
      <x:c r="R482" s="9"/>
      <x:c r="S482" s="9"/>
      <x:c r="T482" s="9"/>
      <x:c r="U482" s="9"/>
      <x:c r="V482" s="9"/>
      <x:c r="W482" s="12" t="str">
        <x:f>IF(A482="","",IF(COUNTIF($A$6:$A$505,A482)&gt;1,"记录ID重复",IF(COUNTIF('案件索引'!$A$6:$A$105,B482)=0,"案件ID未登记",IF(OR(C482="",D482="",F482="",G482="",H482="",I482="",J482="",K482="",M482="",N482="",Q482="",R482="",T482=""),"补对象、必要性、结果、依据或标注人",IF(AND(H482="条件必要",L482=""),"条件必要须写条件",IF(AND(R482="条件通过待执行核验",OR(M482="未知",M482="未满足",O482="",O482="未提供")),"条件或权限证据不足，退回核验","格式已填；仍须人工复核"))))))</x:f>
      </x:c>
    </x:row>
    <x:row r="483" ht="44" customHeight="1">
      <x:c r="A483" s="9"/>
      <x:c r="B483" s="9"/>
      <x:c r="C483" s="9"/>
      <x:c r="D483" s="9"/>
      <x:c r="E483" s="9"/>
      <x:c r="F483" s="9"/>
      <x:c r="G483" s="9"/>
      <x:c r="H483" s="9"/>
      <x:c r="I483" s="9"/>
      <x:c r="J483" s="9"/>
      <x:c r="K483" s="9"/>
      <x:c r="L483" s="9"/>
      <x:c r="M483" s="9"/>
      <x:c r="N483" s="9"/>
      <x:c r="O483" s="9"/>
      <x:c r="P483" s="9"/>
      <x:c r="Q483" s="9"/>
      <x:c r="R483" s="9"/>
      <x:c r="S483" s="9"/>
      <x:c r="T483" s="9"/>
      <x:c r="U483" s="9"/>
      <x:c r="V483" s="9"/>
      <x:c r="W483" s="12" t="str">
        <x:f>IF(A483="","",IF(COUNTIF($A$6:$A$505,A483)&gt;1,"记录ID重复",IF(COUNTIF('案件索引'!$A$6:$A$105,B483)=0,"案件ID未登记",IF(OR(C483="",D483="",F483="",G483="",H483="",I483="",J483="",K483="",M483="",N483="",Q483="",R483="",T483=""),"补对象、必要性、结果、依据或标注人",IF(AND(H483="条件必要",L483=""),"条件必要须写条件",IF(AND(R483="条件通过待执行核验",OR(M483="未知",M483="未满足",O483="",O483="未提供")),"条件或权限证据不足，退回核验","格式已填；仍须人工复核"))))))</x:f>
      </x:c>
    </x:row>
    <x:row r="484" ht="44" customHeight="1">
      <x:c r="A484" s="9"/>
      <x:c r="B484" s="9"/>
      <x:c r="C484" s="9"/>
      <x:c r="D484" s="9"/>
      <x:c r="E484" s="9"/>
      <x:c r="F484" s="9"/>
      <x:c r="G484" s="9"/>
      <x:c r="H484" s="9"/>
      <x:c r="I484" s="9"/>
      <x:c r="J484" s="9"/>
      <x:c r="K484" s="9"/>
      <x:c r="L484" s="9"/>
      <x:c r="M484" s="9"/>
      <x:c r="N484" s="9"/>
      <x:c r="O484" s="9"/>
      <x:c r="P484" s="9"/>
      <x:c r="Q484" s="9"/>
      <x:c r="R484" s="9"/>
      <x:c r="S484" s="9"/>
      <x:c r="T484" s="9"/>
      <x:c r="U484" s="9"/>
      <x:c r="V484" s="9"/>
      <x:c r="W484" s="12" t="str">
        <x:f>IF(A484="","",IF(COUNTIF($A$6:$A$505,A484)&gt;1,"记录ID重复",IF(COUNTIF('案件索引'!$A$6:$A$105,B484)=0,"案件ID未登记",IF(OR(C484="",D484="",F484="",G484="",H484="",I484="",J484="",K484="",M484="",N484="",Q484="",R484="",T484=""),"补对象、必要性、结果、依据或标注人",IF(AND(H484="条件必要",L484=""),"条件必要须写条件",IF(AND(R484="条件通过待执行核验",OR(M484="未知",M484="未满足",O484="",O484="未提供")),"条件或权限证据不足，退回核验","格式已填；仍须人工复核"))))))</x:f>
      </x:c>
    </x:row>
    <x:row r="485" ht="44" customHeight="1">
      <x:c r="A485" s="9"/>
      <x:c r="B485" s="9"/>
      <x:c r="C485" s="9"/>
      <x:c r="D485" s="9"/>
      <x:c r="E485" s="9"/>
      <x:c r="F485" s="9"/>
      <x:c r="G485" s="9"/>
      <x:c r="H485" s="9"/>
      <x:c r="I485" s="9"/>
      <x:c r="J485" s="9"/>
      <x:c r="K485" s="9"/>
      <x:c r="L485" s="9"/>
      <x:c r="M485" s="9"/>
      <x:c r="N485" s="9"/>
      <x:c r="O485" s="9"/>
      <x:c r="P485" s="9"/>
      <x:c r="Q485" s="9"/>
      <x:c r="R485" s="9"/>
      <x:c r="S485" s="9"/>
      <x:c r="T485" s="9"/>
      <x:c r="U485" s="9"/>
      <x:c r="V485" s="9"/>
      <x:c r="W485" s="12" t="str">
        <x:f>IF(A485="","",IF(COUNTIF($A$6:$A$505,A485)&gt;1,"记录ID重复",IF(COUNTIF('案件索引'!$A$6:$A$105,B485)=0,"案件ID未登记",IF(OR(C485="",D485="",F485="",G485="",H485="",I485="",J485="",K485="",M485="",N485="",Q485="",R485="",T485=""),"补对象、必要性、结果、依据或标注人",IF(AND(H485="条件必要",L485=""),"条件必要须写条件",IF(AND(R485="条件通过待执行核验",OR(M485="未知",M485="未满足",O485="",O485="未提供")),"条件或权限证据不足，退回核验","格式已填；仍须人工复核"))))))</x:f>
      </x:c>
    </x:row>
    <x:row r="486" ht="44" customHeight="1">
      <x:c r="A486" s="9"/>
      <x:c r="B486" s="9"/>
      <x:c r="C486" s="9"/>
      <x:c r="D486" s="9"/>
      <x:c r="E486" s="9"/>
      <x:c r="F486" s="9"/>
      <x:c r="G486" s="9"/>
      <x:c r="H486" s="9"/>
      <x:c r="I486" s="9"/>
      <x:c r="J486" s="9"/>
      <x:c r="K486" s="9"/>
      <x:c r="L486" s="9"/>
      <x:c r="M486" s="9"/>
      <x:c r="N486" s="9"/>
      <x:c r="O486" s="9"/>
      <x:c r="P486" s="9"/>
      <x:c r="Q486" s="9"/>
      <x:c r="R486" s="9"/>
      <x:c r="S486" s="9"/>
      <x:c r="T486" s="9"/>
      <x:c r="U486" s="9"/>
      <x:c r="V486" s="9"/>
      <x:c r="W486" s="12" t="str">
        <x:f>IF(A486="","",IF(COUNTIF($A$6:$A$505,A486)&gt;1,"记录ID重复",IF(COUNTIF('案件索引'!$A$6:$A$105,B486)=0,"案件ID未登记",IF(OR(C486="",D486="",F486="",G486="",H486="",I486="",J486="",K486="",M486="",N486="",Q486="",R486="",T486=""),"补对象、必要性、结果、依据或标注人",IF(AND(H486="条件必要",L486=""),"条件必要须写条件",IF(AND(R486="条件通过待执行核验",OR(M486="未知",M486="未满足",O486="",O486="未提供")),"条件或权限证据不足，退回核验","格式已填；仍须人工复核"))))))</x:f>
      </x:c>
    </x:row>
    <x:row r="487" ht="44" customHeight="1">
      <x:c r="A487" s="9"/>
      <x:c r="B487" s="9"/>
      <x:c r="C487" s="9"/>
      <x:c r="D487" s="9"/>
      <x:c r="E487" s="9"/>
      <x:c r="F487" s="9"/>
      <x:c r="G487" s="9"/>
      <x:c r="H487" s="9"/>
      <x:c r="I487" s="9"/>
      <x:c r="J487" s="9"/>
      <x:c r="K487" s="9"/>
      <x:c r="L487" s="9"/>
      <x:c r="M487" s="9"/>
      <x:c r="N487" s="9"/>
      <x:c r="O487" s="9"/>
      <x:c r="P487" s="9"/>
      <x:c r="Q487" s="9"/>
      <x:c r="R487" s="9"/>
      <x:c r="S487" s="9"/>
      <x:c r="T487" s="9"/>
      <x:c r="U487" s="9"/>
      <x:c r="V487" s="9"/>
      <x:c r="W487" s="12" t="str">
        <x:f>IF(A487="","",IF(COUNTIF($A$6:$A$505,A487)&gt;1,"记录ID重复",IF(COUNTIF('案件索引'!$A$6:$A$105,B487)=0,"案件ID未登记",IF(OR(C487="",D487="",F487="",G487="",H487="",I487="",J487="",K487="",M487="",N487="",Q487="",R487="",T487=""),"补对象、必要性、结果、依据或标注人",IF(AND(H487="条件必要",L487=""),"条件必要须写条件",IF(AND(R487="条件通过待执行核验",OR(M487="未知",M487="未满足",O487="",O487="未提供")),"条件或权限证据不足，退回核验","格式已填；仍须人工复核"))))))</x:f>
      </x:c>
    </x:row>
    <x:row r="488" ht="44" customHeight="1">
      <x:c r="A488" s="9"/>
      <x:c r="B488" s="9"/>
      <x:c r="C488" s="9"/>
      <x:c r="D488" s="9"/>
      <x:c r="E488" s="9"/>
      <x:c r="F488" s="9"/>
      <x:c r="G488" s="9"/>
      <x:c r="H488" s="9"/>
      <x:c r="I488" s="9"/>
      <x:c r="J488" s="9"/>
      <x:c r="K488" s="9"/>
      <x:c r="L488" s="9"/>
      <x:c r="M488" s="9"/>
      <x:c r="N488" s="9"/>
      <x:c r="O488" s="9"/>
      <x:c r="P488" s="9"/>
      <x:c r="Q488" s="9"/>
      <x:c r="R488" s="9"/>
      <x:c r="S488" s="9"/>
      <x:c r="T488" s="9"/>
      <x:c r="U488" s="9"/>
      <x:c r="V488" s="9"/>
      <x:c r="W488" s="12" t="str">
        <x:f>IF(A488="","",IF(COUNTIF($A$6:$A$505,A488)&gt;1,"记录ID重复",IF(COUNTIF('案件索引'!$A$6:$A$105,B488)=0,"案件ID未登记",IF(OR(C488="",D488="",F488="",G488="",H488="",I488="",J488="",K488="",M488="",N488="",Q488="",R488="",T488=""),"补对象、必要性、结果、依据或标注人",IF(AND(H488="条件必要",L488=""),"条件必要须写条件",IF(AND(R488="条件通过待执行核验",OR(M488="未知",M488="未满足",O488="",O488="未提供")),"条件或权限证据不足，退回核验","格式已填；仍须人工复核"))))))</x:f>
      </x:c>
    </x:row>
    <x:row r="489" ht="44" customHeight="1">
      <x:c r="A489" s="9"/>
      <x:c r="B489" s="9"/>
      <x:c r="C489" s="9"/>
      <x:c r="D489" s="9"/>
      <x:c r="E489" s="9"/>
      <x:c r="F489" s="9"/>
      <x:c r="G489" s="9"/>
      <x:c r="H489" s="9"/>
      <x:c r="I489" s="9"/>
      <x:c r="J489" s="9"/>
      <x:c r="K489" s="9"/>
      <x:c r="L489" s="9"/>
      <x:c r="M489" s="9"/>
      <x:c r="N489" s="9"/>
      <x:c r="O489" s="9"/>
      <x:c r="P489" s="9"/>
      <x:c r="Q489" s="9"/>
      <x:c r="R489" s="9"/>
      <x:c r="S489" s="9"/>
      <x:c r="T489" s="9"/>
      <x:c r="U489" s="9"/>
      <x:c r="V489" s="9"/>
      <x:c r="W489" s="12" t="str">
        <x:f>IF(A489="","",IF(COUNTIF($A$6:$A$505,A489)&gt;1,"记录ID重复",IF(COUNTIF('案件索引'!$A$6:$A$105,B489)=0,"案件ID未登记",IF(OR(C489="",D489="",F489="",G489="",H489="",I489="",J489="",K489="",M489="",N489="",Q489="",R489="",T489=""),"补对象、必要性、结果、依据或标注人",IF(AND(H489="条件必要",L489=""),"条件必要须写条件",IF(AND(R489="条件通过待执行核验",OR(M489="未知",M489="未满足",O489="",O489="未提供")),"条件或权限证据不足，退回核验","格式已填；仍须人工复核"))))))</x:f>
      </x:c>
    </x:row>
    <x:row r="490" ht="44" customHeight="1">
      <x:c r="A490" s="9"/>
      <x:c r="B490" s="9"/>
      <x:c r="C490" s="9"/>
      <x:c r="D490" s="9"/>
      <x:c r="E490" s="9"/>
      <x:c r="F490" s="9"/>
      <x:c r="G490" s="9"/>
      <x:c r="H490" s="9"/>
      <x:c r="I490" s="9"/>
      <x:c r="J490" s="9"/>
      <x:c r="K490" s="9"/>
      <x:c r="L490" s="9"/>
      <x:c r="M490" s="9"/>
      <x:c r="N490" s="9"/>
      <x:c r="O490" s="9"/>
      <x:c r="P490" s="9"/>
      <x:c r="Q490" s="9"/>
      <x:c r="R490" s="9"/>
      <x:c r="S490" s="9"/>
      <x:c r="T490" s="9"/>
      <x:c r="U490" s="9"/>
      <x:c r="V490" s="9"/>
      <x:c r="W490" s="12" t="str">
        <x:f>IF(A490="","",IF(COUNTIF($A$6:$A$505,A490)&gt;1,"记录ID重复",IF(COUNTIF('案件索引'!$A$6:$A$105,B490)=0,"案件ID未登记",IF(OR(C490="",D490="",F490="",G490="",H490="",I490="",J490="",K490="",M490="",N490="",Q490="",R490="",T490=""),"补对象、必要性、结果、依据或标注人",IF(AND(H490="条件必要",L490=""),"条件必要须写条件",IF(AND(R490="条件通过待执行核验",OR(M490="未知",M490="未满足",O490="",O490="未提供")),"条件或权限证据不足，退回核验","格式已填；仍须人工复核"))))))</x:f>
      </x:c>
    </x:row>
    <x:row r="491" ht="44" customHeight="1">
      <x:c r="A491" s="9"/>
      <x:c r="B491" s="9"/>
      <x:c r="C491" s="9"/>
      <x:c r="D491" s="9"/>
      <x:c r="E491" s="9"/>
      <x:c r="F491" s="9"/>
      <x:c r="G491" s="9"/>
      <x:c r="H491" s="9"/>
      <x:c r="I491" s="9"/>
      <x:c r="J491" s="9"/>
      <x:c r="K491" s="9"/>
      <x:c r="L491" s="9"/>
      <x:c r="M491" s="9"/>
      <x:c r="N491" s="9"/>
      <x:c r="O491" s="9"/>
      <x:c r="P491" s="9"/>
      <x:c r="Q491" s="9"/>
      <x:c r="R491" s="9"/>
      <x:c r="S491" s="9"/>
      <x:c r="T491" s="9"/>
      <x:c r="U491" s="9"/>
      <x:c r="V491" s="9"/>
      <x:c r="W491" s="12" t="str">
        <x:f>IF(A491="","",IF(COUNTIF($A$6:$A$505,A491)&gt;1,"记录ID重复",IF(COUNTIF('案件索引'!$A$6:$A$105,B491)=0,"案件ID未登记",IF(OR(C491="",D491="",F491="",G491="",H491="",I491="",J491="",K491="",M491="",N491="",Q491="",R491="",T491=""),"补对象、必要性、结果、依据或标注人",IF(AND(H491="条件必要",L491=""),"条件必要须写条件",IF(AND(R491="条件通过待执行核验",OR(M491="未知",M491="未满足",O491="",O491="未提供")),"条件或权限证据不足，退回核验","格式已填；仍须人工复核"))))))</x:f>
      </x:c>
    </x:row>
    <x:row r="492" ht="44" customHeight="1">
      <x:c r="A492" s="9"/>
      <x:c r="B492" s="9"/>
      <x:c r="C492" s="9"/>
      <x:c r="D492" s="9"/>
      <x:c r="E492" s="9"/>
      <x:c r="F492" s="9"/>
      <x:c r="G492" s="9"/>
      <x:c r="H492" s="9"/>
      <x:c r="I492" s="9"/>
      <x:c r="J492" s="9"/>
      <x:c r="K492" s="9"/>
      <x:c r="L492" s="9"/>
      <x:c r="M492" s="9"/>
      <x:c r="N492" s="9"/>
      <x:c r="O492" s="9"/>
      <x:c r="P492" s="9"/>
      <x:c r="Q492" s="9"/>
      <x:c r="R492" s="9"/>
      <x:c r="S492" s="9"/>
      <x:c r="T492" s="9"/>
      <x:c r="U492" s="9"/>
      <x:c r="V492" s="9"/>
      <x:c r="W492" s="12" t="str">
        <x:f>IF(A492="","",IF(COUNTIF($A$6:$A$505,A492)&gt;1,"记录ID重复",IF(COUNTIF('案件索引'!$A$6:$A$105,B492)=0,"案件ID未登记",IF(OR(C492="",D492="",F492="",G492="",H492="",I492="",J492="",K492="",M492="",N492="",Q492="",R492="",T492=""),"补对象、必要性、结果、依据或标注人",IF(AND(H492="条件必要",L492=""),"条件必要须写条件",IF(AND(R492="条件通过待执行核验",OR(M492="未知",M492="未满足",O492="",O492="未提供")),"条件或权限证据不足，退回核验","格式已填；仍须人工复核"))))))</x:f>
      </x:c>
    </x:row>
    <x:row r="493" ht="44" customHeight="1">
      <x:c r="A493" s="9"/>
      <x:c r="B493" s="9"/>
      <x:c r="C493" s="9"/>
      <x:c r="D493" s="9"/>
      <x:c r="E493" s="9"/>
      <x:c r="F493" s="9"/>
      <x:c r="G493" s="9"/>
      <x:c r="H493" s="9"/>
      <x:c r="I493" s="9"/>
      <x:c r="J493" s="9"/>
      <x:c r="K493" s="9"/>
      <x:c r="L493" s="9"/>
      <x:c r="M493" s="9"/>
      <x:c r="N493" s="9"/>
      <x:c r="O493" s="9"/>
      <x:c r="P493" s="9"/>
      <x:c r="Q493" s="9"/>
      <x:c r="R493" s="9"/>
      <x:c r="S493" s="9"/>
      <x:c r="T493" s="9"/>
      <x:c r="U493" s="9"/>
      <x:c r="V493" s="9"/>
      <x:c r="W493" s="12" t="str">
        <x:f>IF(A493="","",IF(COUNTIF($A$6:$A$505,A493)&gt;1,"记录ID重复",IF(COUNTIF('案件索引'!$A$6:$A$105,B493)=0,"案件ID未登记",IF(OR(C493="",D493="",F493="",G493="",H493="",I493="",J493="",K493="",M493="",N493="",Q493="",R493="",T493=""),"补对象、必要性、结果、依据或标注人",IF(AND(H493="条件必要",L493=""),"条件必要须写条件",IF(AND(R493="条件通过待执行核验",OR(M493="未知",M493="未满足",O493="",O493="未提供")),"条件或权限证据不足，退回核验","格式已填；仍须人工复核"))))))</x:f>
      </x:c>
    </x:row>
    <x:row r="494" ht="44" customHeight="1">
      <x:c r="A494" s="9"/>
      <x:c r="B494" s="9"/>
      <x:c r="C494" s="9"/>
      <x:c r="D494" s="9"/>
      <x:c r="E494" s="9"/>
      <x:c r="F494" s="9"/>
      <x:c r="G494" s="9"/>
      <x:c r="H494" s="9"/>
      <x:c r="I494" s="9"/>
      <x:c r="J494" s="9"/>
      <x:c r="K494" s="9"/>
      <x:c r="L494" s="9"/>
      <x:c r="M494" s="9"/>
      <x:c r="N494" s="9"/>
      <x:c r="O494" s="9"/>
      <x:c r="P494" s="9"/>
      <x:c r="Q494" s="9"/>
      <x:c r="R494" s="9"/>
      <x:c r="S494" s="9"/>
      <x:c r="T494" s="9"/>
      <x:c r="U494" s="9"/>
      <x:c r="V494" s="9"/>
      <x:c r="W494" s="12" t="str">
        <x:f>IF(A494="","",IF(COUNTIF($A$6:$A$505,A494)&gt;1,"记录ID重复",IF(COUNTIF('案件索引'!$A$6:$A$105,B494)=0,"案件ID未登记",IF(OR(C494="",D494="",F494="",G494="",H494="",I494="",J494="",K494="",M494="",N494="",Q494="",R494="",T494=""),"补对象、必要性、结果、依据或标注人",IF(AND(H494="条件必要",L494=""),"条件必要须写条件",IF(AND(R494="条件通过待执行核验",OR(M494="未知",M494="未满足",O494="",O494="未提供")),"条件或权限证据不足，退回核验","格式已填；仍须人工复核"))))))</x:f>
      </x:c>
    </x:row>
    <x:row r="495" ht="44" customHeight="1">
      <x:c r="A495" s="9"/>
      <x:c r="B495" s="9"/>
      <x:c r="C495" s="9"/>
      <x:c r="D495" s="9"/>
      <x:c r="E495" s="9"/>
      <x:c r="F495" s="9"/>
      <x:c r="G495" s="9"/>
      <x:c r="H495" s="9"/>
      <x:c r="I495" s="9"/>
      <x:c r="J495" s="9"/>
      <x:c r="K495" s="9"/>
      <x:c r="L495" s="9"/>
      <x:c r="M495" s="9"/>
      <x:c r="N495" s="9"/>
      <x:c r="O495" s="9"/>
      <x:c r="P495" s="9"/>
      <x:c r="Q495" s="9"/>
      <x:c r="R495" s="9"/>
      <x:c r="S495" s="9"/>
      <x:c r="T495" s="9"/>
      <x:c r="U495" s="9"/>
      <x:c r="V495" s="9"/>
      <x:c r="W495" s="12" t="str">
        <x:f>IF(A495="","",IF(COUNTIF($A$6:$A$505,A495)&gt;1,"记录ID重复",IF(COUNTIF('案件索引'!$A$6:$A$105,B495)=0,"案件ID未登记",IF(OR(C495="",D495="",F495="",G495="",H495="",I495="",J495="",K495="",M495="",N495="",Q495="",R495="",T495=""),"补对象、必要性、结果、依据或标注人",IF(AND(H495="条件必要",L495=""),"条件必要须写条件",IF(AND(R495="条件通过待执行核验",OR(M495="未知",M495="未满足",O495="",O495="未提供")),"条件或权限证据不足，退回核验","格式已填；仍须人工复核"))))))</x:f>
      </x:c>
    </x:row>
    <x:row r="496" ht="44" customHeight="1">
      <x:c r="A496" s="9"/>
      <x:c r="B496" s="9"/>
      <x:c r="C496" s="9"/>
      <x:c r="D496" s="9"/>
      <x:c r="E496" s="9"/>
      <x:c r="F496" s="9"/>
      <x:c r="G496" s="9"/>
      <x:c r="H496" s="9"/>
      <x:c r="I496" s="9"/>
      <x:c r="J496" s="9"/>
      <x:c r="K496" s="9"/>
      <x:c r="L496" s="9"/>
      <x:c r="M496" s="9"/>
      <x:c r="N496" s="9"/>
      <x:c r="O496" s="9"/>
      <x:c r="P496" s="9"/>
      <x:c r="Q496" s="9"/>
      <x:c r="R496" s="9"/>
      <x:c r="S496" s="9"/>
      <x:c r="T496" s="9"/>
      <x:c r="U496" s="9"/>
      <x:c r="V496" s="9"/>
      <x:c r="W496" s="12" t="str">
        <x:f>IF(A496="","",IF(COUNTIF($A$6:$A$505,A496)&gt;1,"记录ID重复",IF(COUNTIF('案件索引'!$A$6:$A$105,B496)=0,"案件ID未登记",IF(OR(C496="",D496="",F496="",G496="",H496="",I496="",J496="",K496="",M496="",N496="",Q496="",R496="",T496=""),"补对象、必要性、结果、依据或标注人",IF(AND(H496="条件必要",L496=""),"条件必要须写条件",IF(AND(R496="条件通过待执行核验",OR(M496="未知",M496="未满足",O496="",O496="未提供")),"条件或权限证据不足，退回核验","格式已填；仍须人工复核"))))))</x:f>
      </x:c>
    </x:row>
    <x:row r="497" ht="44" customHeight="1">
      <x:c r="A497" s="9"/>
      <x:c r="B497" s="9"/>
      <x:c r="C497" s="9"/>
      <x:c r="D497" s="9"/>
      <x:c r="E497" s="9"/>
      <x:c r="F497" s="9"/>
      <x:c r="G497" s="9"/>
      <x:c r="H497" s="9"/>
      <x:c r="I497" s="9"/>
      <x:c r="J497" s="9"/>
      <x:c r="K497" s="9"/>
      <x:c r="L497" s="9"/>
      <x:c r="M497" s="9"/>
      <x:c r="N497" s="9"/>
      <x:c r="O497" s="9"/>
      <x:c r="P497" s="9"/>
      <x:c r="Q497" s="9"/>
      <x:c r="R497" s="9"/>
      <x:c r="S497" s="9"/>
      <x:c r="T497" s="9"/>
      <x:c r="U497" s="9"/>
      <x:c r="V497" s="9"/>
      <x:c r="W497" s="12" t="str">
        <x:f>IF(A497="","",IF(COUNTIF($A$6:$A$505,A497)&gt;1,"记录ID重复",IF(COUNTIF('案件索引'!$A$6:$A$105,B497)=0,"案件ID未登记",IF(OR(C497="",D497="",F497="",G497="",H497="",I497="",J497="",K497="",M497="",N497="",Q497="",R497="",T497=""),"补对象、必要性、结果、依据或标注人",IF(AND(H497="条件必要",L497=""),"条件必要须写条件",IF(AND(R497="条件通过待执行核验",OR(M497="未知",M497="未满足",O497="",O497="未提供")),"条件或权限证据不足，退回核验","格式已填；仍须人工复核"))))))</x:f>
      </x:c>
    </x:row>
    <x:row r="498" ht="44" customHeight="1">
      <x:c r="A498" s="9"/>
      <x:c r="B498" s="9"/>
      <x:c r="C498" s="9"/>
      <x:c r="D498" s="9"/>
      <x:c r="E498" s="9"/>
      <x:c r="F498" s="9"/>
      <x:c r="G498" s="9"/>
      <x:c r="H498" s="9"/>
      <x:c r="I498" s="9"/>
      <x:c r="J498" s="9"/>
      <x:c r="K498" s="9"/>
      <x:c r="L498" s="9"/>
      <x:c r="M498" s="9"/>
      <x:c r="N498" s="9"/>
      <x:c r="O498" s="9"/>
      <x:c r="P498" s="9"/>
      <x:c r="Q498" s="9"/>
      <x:c r="R498" s="9"/>
      <x:c r="S498" s="9"/>
      <x:c r="T498" s="9"/>
      <x:c r="U498" s="9"/>
      <x:c r="V498" s="9"/>
      <x:c r="W498" s="12" t="str">
        <x:f>IF(A498="","",IF(COUNTIF($A$6:$A$505,A498)&gt;1,"记录ID重复",IF(COUNTIF('案件索引'!$A$6:$A$105,B498)=0,"案件ID未登记",IF(OR(C498="",D498="",F498="",G498="",H498="",I498="",J498="",K498="",M498="",N498="",Q498="",R498="",T498=""),"补对象、必要性、结果、依据或标注人",IF(AND(H498="条件必要",L498=""),"条件必要须写条件",IF(AND(R498="条件通过待执行核验",OR(M498="未知",M498="未满足",O498="",O498="未提供")),"条件或权限证据不足，退回核验","格式已填；仍须人工复核"))))))</x:f>
      </x:c>
    </x:row>
    <x:row r="499" ht="44" customHeight="1">
      <x:c r="A499" s="9"/>
      <x:c r="B499" s="9"/>
      <x:c r="C499" s="9"/>
      <x:c r="D499" s="9"/>
      <x:c r="E499" s="9"/>
      <x:c r="F499" s="9"/>
      <x:c r="G499" s="9"/>
      <x:c r="H499" s="9"/>
      <x:c r="I499" s="9"/>
      <x:c r="J499" s="9"/>
      <x:c r="K499" s="9"/>
      <x:c r="L499" s="9"/>
      <x:c r="M499" s="9"/>
      <x:c r="N499" s="9"/>
      <x:c r="O499" s="9"/>
      <x:c r="P499" s="9"/>
      <x:c r="Q499" s="9"/>
      <x:c r="R499" s="9"/>
      <x:c r="S499" s="9"/>
      <x:c r="T499" s="9"/>
      <x:c r="U499" s="9"/>
      <x:c r="V499" s="9"/>
      <x:c r="W499" s="12" t="str">
        <x:f>IF(A499="","",IF(COUNTIF($A$6:$A$505,A499)&gt;1,"记录ID重复",IF(COUNTIF('案件索引'!$A$6:$A$105,B499)=0,"案件ID未登记",IF(OR(C499="",D499="",F499="",G499="",H499="",I499="",J499="",K499="",M499="",N499="",Q499="",R499="",T499=""),"补对象、必要性、结果、依据或标注人",IF(AND(H499="条件必要",L499=""),"条件必要须写条件",IF(AND(R499="条件通过待执行核验",OR(M499="未知",M499="未满足",O499="",O499="未提供")),"条件或权限证据不足，退回核验","格式已填；仍须人工复核"))))))</x:f>
      </x:c>
    </x:row>
    <x:row r="500" ht="44" customHeight="1">
      <x:c r="A500" s="9"/>
      <x:c r="B500" s="9"/>
      <x:c r="C500" s="9"/>
      <x:c r="D500" s="9"/>
      <x:c r="E500" s="9"/>
      <x:c r="F500" s="9"/>
      <x:c r="G500" s="9"/>
      <x:c r="H500" s="9"/>
      <x:c r="I500" s="9"/>
      <x:c r="J500" s="9"/>
      <x:c r="K500" s="9"/>
      <x:c r="L500" s="9"/>
      <x:c r="M500" s="9"/>
      <x:c r="N500" s="9"/>
      <x:c r="O500" s="9"/>
      <x:c r="P500" s="9"/>
      <x:c r="Q500" s="9"/>
      <x:c r="R500" s="9"/>
      <x:c r="S500" s="9"/>
      <x:c r="T500" s="9"/>
      <x:c r="U500" s="9"/>
      <x:c r="V500" s="9"/>
      <x:c r="W500" s="12" t="str">
        <x:f>IF(A500="","",IF(COUNTIF($A$6:$A$505,A500)&gt;1,"记录ID重复",IF(COUNTIF('案件索引'!$A$6:$A$105,B500)=0,"案件ID未登记",IF(OR(C500="",D500="",F500="",G500="",H500="",I500="",J500="",K500="",M500="",N500="",Q500="",R500="",T500=""),"补对象、必要性、结果、依据或标注人",IF(AND(H500="条件必要",L500=""),"条件必要须写条件",IF(AND(R500="条件通过待执行核验",OR(M500="未知",M500="未满足",O500="",O500="未提供")),"条件或权限证据不足，退回核验","格式已填；仍须人工复核"))))))</x:f>
      </x:c>
    </x:row>
    <x:row r="501" ht="44" customHeight="1">
      <x:c r="A501" s="9"/>
      <x:c r="B501" s="9"/>
      <x:c r="C501" s="9"/>
      <x:c r="D501" s="9"/>
      <x:c r="E501" s="9"/>
      <x:c r="F501" s="9"/>
      <x:c r="G501" s="9"/>
      <x:c r="H501" s="9"/>
      <x:c r="I501" s="9"/>
      <x:c r="J501" s="9"/>
      <x:c r="K501" s="9"/>
      <x:c r="L501" s="9"/>
      <x:c r="M501" s="9"/>
      <x:c r="N501" s="9"/>
      <x:c r="O501" s="9"/>
      <x:c r="P501" s="9"/>
      <x:c r="Q501" s="9"/>
      <x:c r="R501" s="9"/>
      <x:c r="S501" s="9"/>
      <x:c r="T501" s="9"/>
      <x:c r="U501" s="9"/>
      <x:c r="V501" s="9"/>
      <x:c r="W501" s="12" t="str">
        <x:f>IF(A501="","",IF(COUNTIF($A$6:$A$505,A501)&gt;1,"记录ID重复",IF(COUNTIF('案件索引'!$A$6:$A$105,B501)=0,"案件ID未登记",IF(OR(C501="",D501="",F501="",G501="",H501="",I501="",J501="",K501="",M501="",N501="",Q501="",R501="",T501=""),"补对象、必要性、结果、依据或标注人",IF(AND(H501="条件必要",L501=""),"条件必要须写条件",IF(AND(R501="条件通过待执行核验",OR(M501="未知",M501="未满足",O501="",O501="未提供")),"条件或权限证据不足，退回核验","格式已填；仍须人工复核"))))))</x:f>
      </x:c>
    </x:row>
    <x:row r="502" ht="44" customHeight="1">
      <x:c r="A502" s="9"/>
      <x:c r="B502" s="9"/>
      <x:c r="C502" s="9"/>
      <x:c r="D502" s="9"/>
      <x:c r="E502" s="9"/>
      <x:c r="F502" s="9"/>
      <x:c r="G502" s="9"/>
      <x:c r="H502" s="9"/>
      <x:c r="I502" s="9"/>
      <x:c r="J502" s="9"/>
      <x:c r="K502" s="9"/>
      <x:c r="L502" s="9"/>
      <x:c r="M502" s="9"/>
      <x:c r="N502" s="9"/>
      <x:c r="O502" s="9"/>
      <x:c r="P502" s="9"/>
      <x:c r="Q502" s="9"/>
      <x:c r="R502" s="9"/>
      <x:c r="S502" s="9"/>
      <x:c r="T502" s="9"/>
      <x:c r="U502" s="9"/>
      <x:c r="V502" s="9"/>
      <x:c r="W502" s="12" t="str">
        <x:f>IF(A502="","",IF(COUNTIF($A$6:$A$505,A502)&gt;1,"记录ID重复",IF(COUNTIF('案件索引'!$A$6:$A$105,B502)=0,"案件ID未登记",IF(OR(C502="",D502="",F502="",G502="",H502="",I502="",J502="",K502="",M502="",N502="",Q502="",R502="",T502=""),"补对象、必要性、结果、依据或标注人",IF(AND(H502="条件必要",L502=""),"条件必要须写条件",IF(AND(R502="条件通过待执行核验",OR(M502="未知",M502="未满足",O502="",O502="未提供")),"条件或权限证据不足，退回核验","格式已填；仍须人工复核"))))))</x:f>
      </x:c>
    </x:row>
    <x:row r="503" ht="44" customHeight="1">
      <x:c r="A503" s="9"/>
      <x:c r="B503" s="9"/>
      <x:c r="C503" s="9"/>
      <x:c r="D503" s="9"/>
      <x:c r="E503" s="9"/>
      <x:c r="F503" s="9"/>
      <x:c r="G503" s="9"/>
      <x:c r="H503" s="9"/>
      <x:c r="I503" s="9"/>
      <x:c r="J503" s="9"/>
      <x:c r="K503" s="9"/>
      <x:c r="L503" s="9"/>
      <x:c r="M503" s="9"/>
      <x:c r="N503" s="9"/>
      <x:c r="O503" s="9"/>
      <x:c r="P503" s="9"/>
      <x:c r="Q503" s="9"/>
      <x:c r="R503" s="9"/>
      <x:c r="S503" s="9"/>
      <x:c r="T503" s="9"/>
      <x:c r="U503" s="9"/>
      <x:c r="V503" s="9"/>
      <x:c r="W503" s="12" t="str">
        <x:f>IF(A503="","",IF(COUNTIF($A$6:$A$505,A503)&gt;1,"记录ID重复",IF(COUNTIF('案件索引'!$A$6:$A$105,B503)=0,"案件ID未登记",IF(OR(C503="",D503="",F503="",G503="",H503="",I503="",J503="",K503="",M503="",N503="",Q503="",R503="",T503=""),"补对象、必要性、结果、依据或标注人",IF(AND(H503="条件必要",L503=""),"条件必要须写条件",IF(AND(R503="条件通过待执行核验",OR(M503="未知",M503="未满足",O503="",O503="未提供")),"条件或权限证据不足，退回核验","格式已填；仍须人工复核"))))))</x:f>
      </x:c>
    </x:row>
    <x:row r="504" ht="44" customHeight="1">
      <x:c r="A504" s="9"/>
      <x:c r="B504" s="9"/>
      <x:c r="C504" s="9"/>
      <x:c r="D504" s="9"/>
      <x:c r="E504" s="9"/>
      <x:c r="F504" s="9"/>
      <x:c r="G504" s="9"/>
      <x:c r="H504" s="9"/>
      <x:c r="I504" s="9"/>
      <x:c r="J504" s="9"/>
      <x:c r="K504" s="9"/>
      <x:c r="L504" s="9"/>
      <x:c r="M504" s="9"/>
      <x:c r="N504" s="9"/>
      <x:c r="O504" s="9"/>
      <x:c r="P504" s="9"/>
      <x:c r="Q504" s="9"/>
      <x:c r="R504" s="9"/>
      <x:c r="S504" s="9"/>
      <x:c r="T504" s="9"/>
      <x:c r="U504" s="9"/>
      <x:c r="V504" s="9"/>
      <x:c r="W504" s="12" t="str">
        <x:f>IF(A504="","",IF(COUNTIF($A$6:$A$505,A504)&gt;1,"记录ID重复",IF(COUNTIF('案件索引'!$A$6:$A$105,B504)=0,"案件ID未登记",IF(OR(C504="",D504="",F504="",G504="",H504="",I504="",J504="",K504="",M504="",N504="",Q504="",R504="",T504=""),"补对象、必要性、结果、依据或标注人",IF(AND(H504="条件必要",L504=""),"条件必要须写条件",IF(AND(R504="条件通过待执行核验",OR(M504="未知",M504="未满足",O504="",O504="未提供")),"条件或权限证据不足，退回核验","格式已填；仍须人工复核"))))))</x:f>
      </x:c>
    </x:row>
    <x:row r="505" ht="44" customHeight="1">
      <x:c r="A505" s="9"/>
      <x:c r="B505" s="9"/>
      <x:c r="C505" s="9"/>
      <x:c r="D505" s="9"/>
      <x:c r="E505" s="9"/>
      <x:c r="F505" s="9"/>
      <x:c r="G505" s="9"/>
      <x:c r="H505" s="9"/>
      <x:c r="I505" s="9"/>
      <x:c r="J505" s="9"/>
      <x:c r="K505" s="9"/>
      <x:c r="L505" s="9"/>
      <x:c r="M505" s="9"/>
      <x:c r="N505" s="9"/>
      <x:c r="O505" s="9"/>
      <x:c r="P505" s="9"/>
      <x:c r="Q505" s="9"/>
      <x:c r="R505" s="9"/>
      <x:c r="S505" s="9"/>
      <x:c r="T505" s="9"/>
      <x:c r="U505" s="9"/>
      <x:c r="V505" s="9"/>
      <x:c r="W505" s="12" t="str">
        <x:f>IF(A505="","",IF(COUNTIF($A$6:$A$505,A505)&gt;1,"记录ID重复",IF(COUNTIF('案件索引'!$A$6:$A$105,B505)=0,"案件ID未登记",IF(OR(C505="",D505="",F505="",G505="",H505="",I505="",J505="",K505="",M505="",N505="",Q505="",R505="",T505=""),"补对象、必要性、结果、依据或标注人",IF(AND(H505="条件必要",L505=""),"条件必要须写条件",IF(AND(R505="条件通过待执行核验",OR(M505="未知",M505="未满足",O505="",O505="未提供")),"条件或权限证据不足，退回核验","格式已填；仍须人工复核"))))))</x:f>
      </x:c>
    </x:row>
  </x:sheetData>
  <x:mergeCells>
    <x:mergeCell ref="A1:H1"/>
    <x:mergeCell ref="A2:L2"/>
    <x:mergeCell ref="A3:L3"/>
  </x:mergeCells>
  <x:conditionalFormatting sqref="W6:W505">
    <x:cfRule type="containsText" dxfId="2" priority="1" operator="containsText" text="须"/>
  </x:conditionalFormatting>
  <x:dataValidations count="8">
    <x:dataValidation type="list" sqref="B6:B505">
      <x:formula1>'案件索引'!$A$6:$A$15</x:formula1>
    </x:dataValidation>
    <x:dataValidation type="list" sqref="H6:H505">
      <x:formula1>'标注选项'!$B$52:$B$55</x:formula1>
    </x:dataValidation>
    <x:dataValidation type="list" sqref="J6:J505">
      <x:formula1>'标注选项'!$B$56:$B$60</x:formula1>
    </x:dataValidation>
    <x:dataValidation type="list" sqref="M6:M505">
      <x:formula1>'标注选项'!$B$61:$B$64</x:formula1>
    </x:dataValidation>
    <x:dataValidation type="list" sqref="N6:N505">
      <x:formula1>'标注选项'!$B$65:$B$70</x:formula1>
    </x:dataValidation>
    <x:dataValidation type="list" sqref="P6:P505">
      <x:formula1>'标注选项'!$B$71:$B$77</x:formula1>
    </x:dataValidation>
    <x:dataValidation type="list" sqref="R6:R505">
      <x:formula1>'标注选项'!$B$78:$B$82</x:formula1>
    </x:dataValidation>
    <x:dataValidation type="list" sqref="V6:V505">
      <x:formula1>'标注选项'!$B$83:$B$87</x:formula1>
    </x:dataValidation>
  </x:dataValidations>
  <x:pageMargins left="0.7" right="0.7" top="0.75" bottom="0.75" header="0.3" footer="0.3"/>
  <x:legacyDrawing xmlns:r="http://schemas.openxmlformats.org/officeDocument/2006/relationships" r:id="R987a8c3de4d64463"/>
  <x:tableParts count="1">
    <x:tablePart xmlns:r="http://schemas.openxmlformats.org/officeDocument/2006/relationships" r:id="Re03a4672443f4051"/>
  </x:tableParts>
</x:worksheet>
</file>

<file path=xl/worksheets/sheet7.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22" hidden="0" customWidth="1"/>
    <x:col min="4" max="4" width="58" hidden="0" customWidth="1"/>
    <x:col min="5" max="5" width="22" hidden="0" customWidth="1"/>
    <x:col min="6" max="6" width="22" hidden="0" customWidth="1"/>
    <x:col min="7" max="7" width="38" hidden="0" customWidth="1"/>
    <x:col min="8" max="8" width="38" hidden="0" customWidth="1"/>
    <x:col min="9" max="9" width="58" hidden="0" customWidth="1"/>
    <x:col min="10" max="10" width="38" hidden="0" customWidth="1"/>
    <x:col min="11" max="11" width="22" hidden="0" customWidth="1"/>
    <x:col min="12" max="12" width="38" hidden="0" customWidth="1"/>
    <x:col min="13" max="13" width="22" hidden="0" customWidth="1"/>
    <x:col min="14" max="14" width="38" hidden="0" customWidth="1"/>
    <x:col min="15" max="15" width="22" hidden="0" customWidth="1"/>
    <x:col min="16" max="16" width="40" hidden="0" customWidth="1"/>
  </x:cols>
  <x:sheetData>
    <x:row r="1" ht="38" customHeight="1">
      <x:c r="A1" s="5" t="str">
        <x:v>复核裁定</x:v>
      </x:c>
      <x:c r="B1" s="5"/>
      <x:c r="C1" s="5"/>
      <x:c r="D1" s="5"/>
      <x:c r="E1" s="5"/>
      <x:c r="F1" s="5"/>
      <x:c r="G1" s="5"/>
      <x:c r="H1" s="5"/>
      <x:c r="I1" s="3"/>
      <x:c r="J1" s="3"/>
      <x:c r="K1" s="3"/>
      <x:c r="L1" s="3"/>
      <x:c r="M1" s="3"/>
      <x:c r="N1" s="3"/>
      <x:c r="O1" s="3"/>
      <x:c r="P1" s="3"/>
    </x:row>
    <x:row r="2" ht="36" customHeight="1">
      <x:c r="A2" s="6" t="str">
        <x:v>保留A/B原始意见；每个分歧一行，必须给理由、适用范围及回写位置。</x:v>
      </x:c>
      <x:c r="B2" s="6"/>
      <x:c r="C2" s="6"/>
      <x:c r="D2" s="6"/>
      <x:c r="E2" s="6"/>
      <x:c r="F2" s="6"/>
      <x:c r="G2" s="6"/>
      <x:c r="H2" s="6"/>
      <x:c r="I2" s="6"/>
      <x:c r="J2" s="6"/>
      <x:c r="K2" s="6"/>
      <x:c r="L2" s="6"/>
      <x:c r="M2" s="6"/>
      <x:c r="N2" s="6"/>
      <x:c r="O2" s="6"/>
      <x:c r="P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c r="P3" s="7"/>
    </x:row>
    <x:row r="4" ht="44" customHeight="1">
      <x:c r="A4" s="3"/>
      <x:c r="B4" s="3"/>
      <x:c r="C4" s="3"/>
      <x:c r="D4" s="3"/>
      <x:c r="E4" s="3"/>
      <x:c r="F4" s="3"/>
      <x:c r="G4" s="3"/>
      <x:c r="H4" s="3"/>
      <x:c r="I4" s="3"/>
      <x:c r="J4" s="3"/>
      <x:c r="K4" s="3"/>
      <x:c r="L4" s="3"/>
      <x:c r="M4" s="3"/>
      <x:c r="N4" s="3"/>
      <x:c r="O4" s="3"/>
      <x:c r="P4" s="3"/>
    </x:row>
    <x:row r="5" ht="48" customHeight="1">
      <x:c r="A5" s="10" t="str">
        <x:v>裁定ID</x:v>
      </x:c>
      <x:c r="B5" s="10" t="str">
        <x:v>案件ID</x:v>
      </x:c>
      <x:c r="C5" s="10" t="str">
        <x:v>关联记录ID</x:v>
      </x:c>
      <x:c r="D5" s="10" t="str">
        <x:v>问题类型</x:v>
      </x:c>
      <x:c r="E5" s="10" t="str">
        <x:v>A意见及记录ID</x:v>
      </x:c>
      <x:c r="F5" s="10" t="str">
        <x:v>B意见及记录ID</x:v>
      </x:c>
      <x:c r="G5" s="10" t="str">
        <x:v>确认事实与未知项</x:v>
      </x:c>
      <x:c r="H5" s="10" t="str">
        <x:v>裁定结果</x:v>
      </x:c>
      <x:c r="I5" s="10" t="str">
        <x:v>裁定理由及依据</x:v>
      </x:c>
      <x:c r="J5" s="10" t="str">
        <x:v>适用范围</x:v>
      </x:c>
      <x:c r="K5" s="10" t="str">
        <x:v>回写表及记录ID</x:v>
      </x:c>
      <x:c r="L5" s="10" t="str">
        <x:v>复核人</x:v>
      </x:c>
      <x:c r="M5" s="10" t="str">
        <x:v>裁定日期</x:v>
      </x:c>
      <x:c r="N5" s="10" t="str">
        <x:v>指南版本</x:v>
      </x:c>
      <x:c r="O5" s="10" t="str">
        <x:v>裁定状态</x:v>
      </x:c>
      <x:c r="P5" s="10" t="str">
        <x:v>质检提示</x:v>
      </x:c>
    </x:row>
    <x:row r="6" ht="44" customHeight="1">
      <x:c r="A6" s="9"/>
      <x:c r="B6" s="9"/>
      <x:c r="C6" s="9"/>
      <x:c r="D6" s="9"/>
      <x:c r="E6" s="9"/>
      <x:c r="F6" s="9"/>
      <x:c r="G6" s="9"/>
      <x:c r="H6" s="9"/>
      <x:c r="I6" s="9"/>
      <x:c r="J6" s="9"/>
      <x:c r="K6" s="9"/>
      <x:c r="L6" s="9"/>
      <x:c r="M6" s="9"/>
      <x:c r="N6" s="9"/>
      <x:c r="O6" s="9"/>
      <x:c r="P6" s="12" t="str">
        <x:f>IF(A6="","",IF(COUNTIF($A$6:$A$205,A6)&gt;1,"记录ID重复",IF(AND(O6="已裁定",OR(H6="",I6="",L6="",M6="",K6="")),"已裁定缺结果、依据或签核","格式已填；仍须人工复核")))</x:f>
      </x:c>
    </x:row>
    <x:row r="7" ht="44" customHeight="1">
      <x:c r="A7" s="9"/>
      <x:c r="B7" s="9"/>
      <x:c r="C7" s="9"/>
      <x:c r="D7" s="9"/>
      <x:c r="E7" s="9"/>
      <x:c r="F7" s="9"/>
      <x:c r="G7" s="9"/>
      <x:c r="H7" s="9"/>
      <x:c r="I7" s="9"/>
      <x:c r="J7" s="9"/>
      <x:c r="K7" s="9"/>
      <x:c r="L7" s="9"/>
      <x:c r="M7" s="9"/>
      <x:c r="N7" s="9"/>
      <x:c r="O7" s="9"/>
      <x:c r="P7" s="12" t="str">
        <x:f>IF(A7="","",IF(COUNTIF($A$6:$A$205,A7)&gt;1,"记录ID重复",IF(AND(O7="已裁定",OR(H7="",I7="",L7="",M7="",K7="")),"已裁定缺结果、依据或签核","格式已填；仍须人工复核")))</x:f>
      </x:c>
    </x:row>
    <x:row r="8" ht="44" customHeight="1">
      <x:c r="A8" s="9"/>
      <x:c r="B8" s="9"/>
      <x:c r="C8" s="9"/>
      <x:c r="D8" s="9"/>
      <x:c r="E8" s="9"/>
      <x:c r="F8" s="9"/>
      <x:c r="G8" s="9"/>
      <x:c r="H8" s="9"/>
      <x:c r="I8" s="9"/>
      <x:c r="J8" s="9"/>
      <x:c r="K8" s="9"/>
      <x:c r="L8" s="9"/>
      <x:c r="M8" s="9"/>
      <x:c r="N8" s="9"/>
      <x:c r="O8" s="9"/>
      <x:c r="P8" s="12" t="str">
        <x:f>IF(A8="","",IF(COUNTIF($A$6:$A$205,A8)&gt;1,"记录ID重复",IF(AND(O8="已裁定",OR(H8="",I8="",L8="",M8="",K8="")),"已裁定缺结果、依据或签核","格式已填；仍须人工复核")))</x:f>
      </x:c>
    </x:row>
    <x:row r="9" ht="44" customHeight="1">
      <x:c r="A9" s="9"/>
      <x:c r="B9" s="9"/>
      <x:c r="C9" s="9"/>
      <x:c r="D9" s="9"/>
      <x:c r="E9" s="9"/>
      <x:c r="F9" s="9"/>
      <x:c r="G9" s="9"/>
      <x:c r="H9" s="9"/>
      <x:c r="I9" s="9"/>
      <x:c r="J9" s="9"/>
      <x:c r="K9" s="9"/>
      <x:c r="L9" s="9"/>
      <x:c r="M9" s="9"/>
      <x:c r="N9" s="9"/>
      <x:c r="O9" s="9"/>
      <x:c r="P9" s="12" t="str">
        <x:f>IF(A9="","",IF(COUNTIF($A$6:$A$205,A9)&gt;1,"记录ID重复",IF(AND(O9="已裁定",OR(H9="",I9="",L9="",M9="",K9="")),"已裁定缺结果、依据或签核","格式已填；仍须人工复核")))</x:f>
      </x:c>
    </x:row>
    <x:row r="10" ht="44" customHeight="1">
      <x:c r="A10" s="9"/>
      <x:c r="B10" s="9"/>
      <x:c r="C10" s="9"/>
      <x:c r="D10" s="9"/>
      <x:c r="E10" s="9"/>
      <x:c r="F10" s="9"/>
      <x:c r="G10" s="9"/>
      <x:c r="H10" s="9"/>
      <x:c r="I10" s="9"/>
      <x:c r="J10" s="9"/>
      <x:c r="K10" s="9"/>
      <x:c r="L10" s="9"/>
      <x:c r="M10" s="9"/>
      <x:c r="N10" s="9"/>
      <x:c r="O10" s="9"/>
      <x:c r="P10" s="12" t="str">
        <x:f>IF(A10="","",IF(COUNTIF($A$6:$A$205,A10)&gt;1,"记录ID重复",IF(AND(O10="已裁定",OR(H10="",I10="",L10="",M10="",K10="")),"已裁定缺结果、依据或签核","格式已填；仍须人工复核")))</x:f>
      </x:c>
    </x:row>
    <x:row r="11" ht="44" customHeight="1">
      <x:c r="A11" s="9"/>
      <x:c r="B11" s="9"/>
      <x:c r="C11" s="9"/>
      <x:c r="D11" s="9"/>
      <x:c r="E11" s="9"/>
      <x:c r="F11" s="9"/>
      <x:c r="G11" s="9"/>
      <x:c r="H11" s="9"/>
      <x:c r="I11" s="9"/>
      <x:c r="J11" s="9"/>
      <x:c r="K11" s="9"/>
      <x:c r="L11" s="9"/>
      <x:c r="M11" s="9"/>
      <x:c r="N11" s="9"/>
      <x:c r="O11" s="9"/>
      <x:c r="P11" s="12" t="str">
        <x:f>IF(A11="","",IF(COUNTIF($A$6:$A$205,A11)&gt;1,"记录ID重复",IF(AND(O11="已裁定",OR(H11="",I11="",L11="",M11="",K11="")),"已裁定缺结果、依据或签核","格式已填；仍须人工复核")))</x:f>
      </x:c>
    </x:row>
    <x:row r="12" ht="44" customHeight="1">
      <x:c r="A12" s="9"/>
      <x:c r="B12" s="9"/>
      <x:c r="C12" s="9"/>
      <x:c r="D12" s="9"/>
      <x:c r="E12" s="9"/>
      <x:c r="F12" s="9"/>
      <x:c r="G12" s="9"/>
      <x:c r="H12" s="9"/>
      <x:c r="I12" s="9"/>
      <x:c r="J12" s="9"/>
      <x:c r="K12" s="9"/>
      <x:c r="L12" s="9"/>
      <x:c r="M12" s="9"/>
      <x:c r="N12" s="9"/>
      <x:c r="O12" s="9"/>
      <x:c r="P12" s="12" t="str">
        <x:f>IF(A12="","",IF(COUNTIF($A$6:$A$205,A12)&gt;1,"记录ID重复",IF(AND(O12="已裁定",OR(H12="",I12="",L12="",M12="",K12="")),"已裁定缺结果、依据或签核","格式已填；仍须人工复核")))</x:f>
      </x:c>
    </x:row>
    <x:row r="13" ht="44" customHeight="1">
      <x:c r="A13" s="9"/>
      <x:c r="B13" s="9"/>
      <x:c r="C13" s="9"/>
      <x:c r="D13" s="9"/>
      <x:c r="E13" s="9"/>
      <x:c r="F13" s="9"/>
      <x:c r="G13" s="9"/>
      <x:c r="H13" s="9"/>
      <x:c r="I13" s="9"/>
      <x:c r="J13" s="9"/>
      <x:c r="K13" s="9"/>
      <x:c r="L13" s="9"/>
      <x:c r="M13" s="9"/>
      <x:c r="N13" s="9"/>
      <x:c r="O13" s="9"/>
      <x:c r="P13" s="12" t="str">
        <x:f>IF(A13="","",IF(COUNTIF($A$6:$A$205,A13)&gt;1,"记录ID重复",IF(AND(O13="已裁定",OR(H13="",I13="",L13="",M13="",K13="")),"已裁定缺结果、依据或签核","格式已填；仍须人工复核")))</x:f>
      </x:c>
    </x:row>
    <x:row r="14" ht="44" customHeight="1">
      <x:c r="A14" s="9"/>
      <x:c r="B14" s="9"/>
      <x:c r="C14" s="9"/>
      <x:c r="D14" s="9"/>
      <x:c r="E14" s="9"/>
      <x:c r="F14" s="9"/>
      <x:c r="G14" s="9"/>
      <x:c r="H14" s="9"/>
      <x:c r="I14" s="9"/>
      <x:c r="J14" s="9"/>
      <x:c r="K14" s="9"/>
      <x:c r="L14" s="9"/>
      <x:c r="M14" s="9"/>
      <x:c r="N14" s="9"/>
      <x:c r="O14" s="9"/>
      <x:c r="P14" s="12" t="str">
        <x:f>IF(A14="","",IF(COUNTIF($A$6:$A$205,A14)&gt;1,"记录ID重复",IF(AND(O14="已裁定",OR(H14="",I14="",L14="",M14="",K14="")),"已裁定缺结果、依据或签核","格式已填；仍须人工复核")))</x:f>
      </x:c>
    </x:row>
    <x:row r="15" ht="44" customHeight="1">
      <x:c r="A15" s="9"/>
      <x:c r="B15" s="9"/>
      <x:c r="C15" s="9"/>
      <x:c r="D15" s="9"/>
      <x:c r="E15" s="9"/>
      <x:c r="F15" s="9"/>
      <x:c r="G15" s="9"/>
      <x:c r="H15" s="9"/>
      <x:c r="I15" s="9"/>
      <x:c r="J15" s="9"/>
      <x:c r="K15" s="9"/>
      <x:c r="L15" s="9"/>
      <x:c r="M15" s="9"/>
      <x:c r="N15" s="9"/>
      <x:c r="O15" s="9"/>
      <x:c r="P15" s="12" t="str">
        <x:f>IF(A15="","",IF(COUNTIF($A$6:$A$205,A15)&gt;1,"记录ID重复",IF(AND(O15="已裁定",OR(H15="",I15="",L15="",M15="",K15="")),"已裁定缺结果、依据或签核","格式已填；仍须人工复核")))</x:f>
      </x:c>
    </x:row>
    <x:row r="16" ht="44" customHeight="1">
      <x:c r="A16" s="9"/>
      <x:c r="B16" s="9"/>
      <x:c r="C16" s="9"/>
      <x:c r="D16" s="9"/>
      <x:c r="E16" s="9"/>
      <x:c r="F16" s="9"/>
      <x:c r="G16" s="9"/>
      <x:c r="H16" s="9"/>
      <x:c r="I16" s="9"/>
      <x:c r="J16" s="9"/>
      <x:c r="K16" s="9"/>
      <x:c r="L16" s="9"/>
      <x:c r="M16" s="9"/>
      <x:c r="N16" s="9"/>
      <x:c r="O16" s="9"/>
      <x:c r="P16" s="12" t="str">
        <x:f>IF(A16="","",IF(COUNTIF($A$6:$A$205,A16)&gt;1,"记录ID重复",IF(AND(O16="已裁定",OR(H16="",I16="",L16="",M16="",K16="")),"已裁定缺结果、依据或签核","格式已填；仍须人工复核")))</x:f>
      </x:c>
    </x:row>
    <x:row r="17" ht="44" customHeight="1">
      <x:c r="A17" s="9"/>
      <x:c r="B17" s="9"/>
      <x:c r="C17" s="9"/>
      <x:c r="D17" s="9"/>
      <x:c r="E17" s="9"/>
      <x:c r="F17" s="9"/>
      <x:c r="G17" s="9"/>
      <x:c r="H17" s="9"/>
      <x:c r="I17" s="9"/>
      <x:c r="J17" s="9"/>
      <x:c r="K17" s="9"/>
      <x:c r="L17" s="9"/>
      <x:c r="M17" s="9"/>
      <x:c r="N17" s="9"/>
      <x:c r="O17" s="9"/>
      <x:c r="P17" s="12" t="str">
        <x:f>IF(A17="","",IF(COUNTIF($A$6:$A$205,A17)&gt;1,"记录ID重复",IF(AND(O17="已裁定",OR(H17="",I17="",L17="",M17="",K17="")),"已裁定缺结果、依据或签核","格式已填；仍须人工复核")))</x:f>
      </x:c>
    </x:row>
    <x:row r="18" ht="44" customHeight="1">
      <x:c r="A18" s="9"/>
      <x:c r="B18" s="9"/>
      <x:c r="C18" s="9"/>
      <x:c r="D18" s="9"/>
      <x:c r="E18" s="9"/>
      <x:c r="F18" s="9"/>
      <x:c r="G18" s="9"/>
      <x:c r="H18" s="9"/>
      <x:c r="I18" s="9"/>
      <x:c r="J18" s="9"/>
      <x:c r="K18" s="9"/>
      <x:c r="L18" s="9"/>
      <x:c r="M18" s="9"/>
      <x:c r="N18" s="9"/>
      <x:c r="O18" s="9"/>
      <x:c r="P18" s="12" t="str">
        <x:f>IF(A18="","",IF(COUNTIF($A$6:$A$205,A18)&gt;1,"记录ID重复",IF(AND(O18="已裁定",OR(H18="",I18="",L18="",M18="",K18="")),"已裁定缺结果、依据或签核","格式已填；仍须人工复核")))</x:f>
      </x:c>
    </x:row>
    <x:row r="19" ht="44" customHeight="1">
      <x:c r="A19" s="9"/>
      <x:c r="B19" s="9"/>
      <x:c r="C19" s="9"/>
      <x:c r="D19" s="9"/>
      <x:c r="E19" s="9"/>
      <x:c r="F19" s="9"/>
      <x:c r="G19" s="9"/>
      <x:c r="H19" s="9"/>
      <x:c r="I19" s="9"/>
      <x:c r="J19" s="9"/>
      <x:c r="K19" s="9"/>
      <x:c r="L19" s="9"/>
      <x:c r="M19" s="9"/>
      <x:c r="N19" s="9"/>
      <x:c r="O19" s="9"/>
      <x:c r="P19" s="12" t="str">
        <x:f>IF(A19="","",IF(COUNTIF($A$6:$A$205,A19)&gt;1,"记录ID重复",IF(AND(O19="已裁定",OR(H19="",I19="",L19="",M19="",K19="")),"已裁定缺结果、依据或签核","格式已填；仍须人工复核")))</x:f>
      </x:c>
    </x:row>
    <x:row r="20" ht="44" customHeight="1">
      <x:c r="A20" s="9"/>
      <x:c r="B20" s="9"/>
      <x:c r="C20" s="9"/>
      <x:c r="D20" s="9"/>
      <x:c r="E20" s="9"/>
      <x:c r="F20" s="9"/>
      <x:c r="G20" s="9"/>
      <x:c r="H20" s="9"/>
      <x:c r="I20" s="9"/>
      <x:c r="J20" s="9"/>
      <x:c r="K20" s="9"/>
      <x:c r="L20" s="9"/>
      <x:c r="M20" s="9"/>
      <x:c r="N20" s="9"/>
      <x:c r="O20" s="9"/>
      <x:c r="P20" s="12" t="str">
        <x:f>IF(A20="","",IF(COUNTIF($A$6:$A$205,A20)&gt;1,"记录ID重复",IF(AND(O20="已裁定",OR(H20="",I20="",L20="",M20="",K20="")),"已裁定缺结果、依据或签核","格式已填；仍须人工复核")))</x:f>
      </x:c>
    </x:row>
    <x:row r="21" ht="44" customHeight="1">
      <x:c r="A21" s="9"/>
      <x:c r="B21" s="9"/>
      <x:c r="C21" s="9"/>
      <x:c r="D21" s="9"/>
      <x:c r="E21" s="9"/>
      <x:c r="F21" s="9"/>
      <x:c r="G21" s="9"/>
      <x:c r="H21" s="9"/>
      <x:c r="I21" s="9"/>
      <x:c r="J21" s="9"/>
      <x:c r="K21" s="9"/>
      <x:c r="L21" s="9"/>
      <x:c r="M21" s="9"/>
      <x:c r="N21" s="9"/>
      <x:c r="O21" s="9"/>
      <x:c r="P21" s="12" t="str">
        <x:f>IF(A21="","",IF(COUNTIF($A$6:$A$205,A21)&gt;1,"记录ID重复",IF(AND(O21="已裁定",OR(H21="",I21="",L21="",M21="",K21="")),"已裁定缺结果、依据或签核","格式已填；仍须人工复核")))</x:f>
      </x:c>
    </x:row>
    <x:row r="22" ht="44" customHeight="1">
      <x:c r="A22" s="9"/>
      <x:c r="B22" s="9"/>
      <x:c r="C22" s="9"/>
      <x:c r="D22" s="9"/>
      <x:c r="E22" s="9"/>
      <x:c r="F22" s="9"/>
      <x:c r="G22" s="9"/>
      <x:c r="H22" s="9"/>
      <x:c r="I22" s="9"/>
      <x:c r="J22" s="9"/>
      <x:c r="K22" s="9"/>
      <x:c r="L22" s="9"/>
      <x:c r="M22" s="9"/>
      <x:c r="N22" s="9"/>
      <x:c r="O22" s="9"/>
      <x:c r="P22" s="12" t="str">
        <x:f>IF(A22="","",IF(COUNTIF($A$6:$A$205,A22)&gt;1,"记录ID重复",IF(AND(O22="已裁定",OR(H22="",I22="",L22="",M22="",K22="")),"已裁定缺结果、依据或签核","格式已填；仍须人工复核")))</x:f>
      </x:c>
    </x:row>
    <x:row r="23" ht="44" customHeight="1">
      <x:c r="A23" s="9"/>
      <x:c r="B23" s="9"/>
      <x:c r="C23" s="9"/>
      <x:c r="D23" s="9"/>
      <x:c r="E23" s="9"/>
      <x:c r="F23" s="9"/>
      <x:c r="G23" s="9"/>
      <x:c r="H23" s="9"/>
      <x:c r="I23" s="9"/>
      <x:c r="J23" s="9"/>
      <x:c r="K23" s="9"/>
      <x:c r="L23" s="9"/>
      <x:c r="M23" s="9"/>
      <x:c r="N23" s="9"/>
      <x:c r="O23" s="9"/>
      <x:c r="P23" s="12" t="str">
        <x:f>IF(A23="","",IF(COUNTIF($A$6:$A$205,A23)&gt;1,"记录ID重复",IF(AND(O23="已裁定",OR(H23="",I23="",L23="",M23="",K23="")),"已裁定缺结果、依据或签核","格式已填；仍须人工复核")))</x:f>
      </x:c>
    </x:row>
    <x:row r="24" ht="44" customHeight="1">
      <x:c r="A24" s="9"/>
      <x:c r="B24" s="9"/>
      <x:c r="C24" s="9"/>
      <x:c r="D24" s="9"/>
      <x:c r="E24" s="9"/>
      <x:c r="F24" s="9"/>
      <x:c r="G24" s="9"/>
      <x:c r="H24" s="9"/>
      <x:c r="I24" s="9"/>
      <x:c r="J24" s="9"/>
      <x:c r="K24" s="9"/>
      <x:c r="L24" s="9"/>
      <x:c r="M24" s="9"/>
      <x:c r="N24" s="9"/>
      <x:c r="O24" s="9"/>
      <x:c r="P24" s="12" t="str">
        <x:f>IF(A24="","",IF(COUNTIF($A$6:$A$205,A24)&gt;1,"记录ID重复",IF(AND(O24="已裁定",OR(H24="",I24="",L24="",M24="",K24="")),"已裁定缺结果、依据或签核","格式已填；仍须人工复核")))</x:f>
      </x:c>
    </x:row>
    <x:row r="25" ht="44" customHeight="1">
      <x:c r="A25" s="9"/>
      <x:c r="B25" s="9"/>
      <x:c r="C25" s="9"/>
      <x:c r="D25" s="9"/>
      <x:c r="E25" s="9"/>
      <x:c r="F25" s="9"/>
      <x:c r="G25" s="9"/>
      <x:c r="H25" s="9"/>
      <x:c r="I25" s="9"/>
      <x:c r="J25" s="9"/>
      <x:c r="K25" s="9"/>
      <x:c r="L25" s="9"/>
      <x:c r="M25" s="9"/>
      <x:c r="N25" s="9"/>
      <x:c r="O25" s="9"/>
      <x:c r="P25" s="12" t="str">
        <x:f>IF(A25="","",IF(COUNTIF($A$6:$A$205,A25)&gt;1,"记录ID重复",IF(AND(O25="已裁定",OR(H25="",I25="",L25="",M25="",K25="")),"已裁定缺结果、依据或签核","格式已填；仍须人工复核")))</x:f>
      </x:c>
    </x:row>
    <x:row r="26" ht="44" customHeight="1">
      <x:c r="A26" s="9"/>
      <x:c r="B26" s="9"/>
      <x:c r="C26" s="9"/>
      <x:c r="D26" s="9"/>
      <x:c r="E26" s="9"/>
      <x:c r="F26" s="9"/>
      <x:c r="G26" s="9"/>
      <x:c r="H26" s="9"/>
      <x:c r="I26" s="9"/>
      <x:c r="J26" s="9"/>
      <x:c r="K26" s="9"/>
      <x:c r="L26" s="9"/>
      <x:c r="M26" s="9"/>
      <x:c r="N26" s="9"/>
      <x:c r="O26" s="9"/>
      <x:c r="P26" s="12" t="str">
        <x:f>IF(A26="","",IF(COUNTIF($A$6:$A$205,A26)&gt;1,"记录ID重复",IF(AND(O26="已裁定",OR(H26="",I26="",L26="",M26="",K26="")),"已裁定缺结果、依据或签核","格式已填；仍须人工复核")))</x:f>
      </x:c>
    </x:row>
    <x:row r="27" ht="44" customHeight="1">
      <x:c r="A27" s="9"/>
      <x:c r="B27" s="9"/>
      <x:c r="C27" s="9"/>
      <x:c r="D27" s="9"/>
      <x:c r="E27" s="9"/>
      <x:c r="F27" s="9"/>
      <x:c r="G27" s="9"/>
      <x:c r="H27" s="9"/>
      <x:c r="I27" s="9"/>
      <x:c r="J27" s="9"/>
      <x:c r="K27" s="9"/>
      <x:c r="L27" s="9"/>
      <x:c r="M27" s="9"/>
      <x:c r="N27" s="9"/>
      <x:c r="O27" s="9"/>
      <x:c r="P27" s="12" t="str">
        <x:f>IF(A27="","",IF(COUNTIF($A$6:$A$205,A27)&gt;1,"记录ID重复",IF(AND(O27="已裁定",OR(H27="",I27="",L27="",M27="",K27="")),"已裁定缺结果、依据或签核","格式已填；仍须人工复核")))</x:f>
      </x:c>
    </x:row>
    <x:row r="28" ht="44" customHeight="1">
      <x:c r="A28" s="9"/>
      <x:c r="B28" s="9"/>
      <x:c r="C28" s="9"/>
      <x:c r="D28" s="9"/>
      <x:c r="E28" s="9"/>
      <x:c r="F28" s="9"/>
      <x:c r="G28" s="9"/>
      <x:c r="H28" s="9"/>
      <x:c r="I28" s="9"/>
      <x:c r="J28" s="9"/>
      <x:c r="K28" s="9"/>
      <x:c r="L28" s="9"/>
      <x:c r="M28" s="9"/>
      <x:c r="N28" s="9"/>
      <x:c r="O28" s="9"/>
      <x:c r="P28" s="12" t="str">
        <x:f>IF(A28="","",IF(COUNTIF($A$6:$A$205,A28)&gt;1,"记录ID重复",IF(AND(O28="已裁定",OR(H28="",I28="",L28="",M28="",K28="")),"已裁定缺结果、依据或签核","格式已填；仍须人工复核")))</x:f>
      </x:c>
    </x:row>
    <x:row r="29" ht="44" customHeight="1">
      <x:c r="A29" s="9"/>
      <x:c r="B29" s="9"/>
      <x:c r="C29" s="9"/>
      <x:c r="D29" s="9"/>
      <x:c r="E29" s="9"/>
      <x:c r="F29" s="9"/>
      <x:c r="G29" s="9"/>
      <x:c r="H29" s="9"/>
      <x:c r="I29" s="9"/>
      <x:c r="J29" s="9"/>
      <x:c r="K29" s="9"/>
      <x:c r="L29" s="9"/>
      <x:c r="M29" s="9"/>
      <x:c r="N29" s="9"/>
      <x:c r="O29" s="9"/>
      <x:c r="P29" s="12" t="str">
        <x:f>IF(A29="","",IF(COUNTIF($A$6:$A$205,A29)&gt;1,"记录ID重复",IF(AND(O29="已裁定",OR(H29="",I29="",L29="",M29="",K29="")),"已裁定缺结果、依据或签核","格式已填；仍须人工复核")))</x:f>
      </x:c>
    </x:row>
    <x:row r="30" ht="44" customHeight="1">
      <x:c r="A30" s="9"/>
      <x:c r="B30" s="9"/>
      <x:c r="C30" s="9"/>
      <x:c r="D30" s="9"/>
      <x:c r="E30" s="9"/>
      <x:c r="F30" s="9"/>
      <x:c r="G30" s="9"/>
      <x:c r="H30" s="9"/>
      <x:c r="I30" s="9"/>
      <x:c r="J30" s="9"/>
      <x:c r="K30" s="9"/>
      <x:c r="L30" s="9"/>
      <x:c r="M30" s="9"/>
      <x:c r="N30" s="9"/>
      <x:c r="O30" s="9"/>
      <x:c r="P30" s="12" t="str">
        <x:f>IF(A30="","",IF(COUNTIF($A$6:$A$205,A30)&gt;1,"记录ID重复",IF(AND(O30="已裁定",OR(H30="",I30="",L30="",M30="",K30="")),"已裁定缺结果、依据或签核","格式已填；仍须人工复核")))</x:f>
      </x:c>
    </x:row>
    <x:row r="31" ht="44" customHeight="1">
      <x:c r="A31" s="9"/>
      <x:c r="B31" s="9"/>
      <x:c r="C31" s="9"/>
      <x:c r="D31" s="9"/>
      <x:c r="E31" s="9"/>
      <x:c r="F31" s="9"/>
      <x:c r="G31" s="9"/>
      <x:c r="H31" s="9"/>
      <x:c r="I31" s="9"/>
      <x:c r="J31" s="9"/>
      <x:c r="K31" s="9"/>
      <x:c r="L31" s="9"/>
      <x:c r="M31" s="9"/>
      <x:c r="N31" s="9"/>
      <x:c r="O31" s="9"/>
      <x:c r="P31" s="12" t="str">
        <x:f>IF(A31="","",IF(COUNTIF($A$6:$A$205,A31)&gt;1,"记录ID重复",IF(AND(O31="已裁定",OR(H31="",I31="",L31="",M31="",K31="")),"已裁定缺结果、依据或签核","格式已填；仍须人工复核")))</x:f>
      </x:c>
    </x:row>
    <x:row r="32" ht="44" customHeight="1">
      <x:c r="A32" s="9"/>
      <x:c r="B32" s="9"/>
      <x:c r="C32" s="9"/>
      <x:c r="D32" s="9"/>
      <x:c r="E32" s="9"/>
      <x:c r="F32" s="9"/>
      <x:c r="G32" s="9"/>
      <x:c r="H32" s="9"/>
      <x:c r="I32" s="9"/>
      <x:c r="J32" s="9"/>
      <x:c r="K32" s="9"/>
      <x:c r="L32" s="9"/>
      <x:c r="M32" s="9"/>
      <x:c r="N32" s="9"/>
      <x:c r="O32" s="9"/>
      <x:c r="P32" s="12" t="str">
        <x:f>IF(A32="","",IF(COUNTIF($A$6:$A$205,A32)&gt;1,"记录ID重复",IF(AND(O32="已裁定",OR(H32="",I32="",L32="",M32="",K32="")),"已裁定缺结果、依据或签核","格式已填；仍须人工复核")))</x:f>
      </x:c>
    </x:row>
    <x:row r="33" ht="44" customHeight="1">
      <x:c r="A33" s="9"/>
      <x:c r="B33" s="9"/>
      <x:c r="C33" s="9"/>
      <x:c r="D33" s="9"/>
      <x:c r="E33" s="9"/>
      <x:c r="F33" s="9"/>
      <x:c r="G33" s="9"/>
      <x:c r="H33" s="9"/>
      <x:c r="I33" s="9"/>
      <x:c r="J33" s="9"/>
      <x:c r="K33" s="9"/>
      <x:c r="L33" s="9"/>
      <x:c r="M33" s="9"/>
      <x:c r="N33" s="9"/>
      <x:c r="O33" s="9"/>
      <x:c r="P33" s="12" t="str">
        <x:f>IF(A33="","",IF(COUNTIF($A$6:$A$205,A33)&gt;1,"记录ID重复",IF(AND(O33="已裁定",OR(H33="",I33="",L33="",M33="",K33="")),"已裁定缺结果、依据或签核","格式已填；仍须人工复核")))</x:f>
      </x:c>
    </x:row>
    <x:row r="34" ht="44" customHeight="1">
      <x:c r="A34" s="9"/>
      <x:c r="B34" s="9"/>
      <x:c r="C34" s="9"/>
      <x:c r="D34" s="9"/>
      <x:c r="E34" s="9"/>
      <x:c r="F34" s="9"/>
      <x:c r="G34" s="9"/>
      <x:c r="H34" s="9"/>
      <x:c r="I34" s="9"/>
      <x:c r="J34" s="9"/>
      <x:c r="K34" s="9"/>
      <x:c r="L34" s="9"/>
      <x:c r="M34" s="9"/>
      <x:c r="N34" s="9"/>
      <x:c r="O34" s="9"/>
      <x:c r="P34" s="12" t="str">
        <x:f>IF(A34="","",IF(COUNTIF($A$6:$A$205,A34)&gt;1,"记录ID重复",IF(AND(O34="已裁定",OR(H34="",I34="",L34="",M34="",K34="")),"已裁定缺结果、依据或签核","格式已填；仍须人工复核")))</x:f>
      </x:c>
    </x:row>
    <x:row r="35" ht="44" customHeight="1">
      <x:c r="A35" s="9"/>
      <x:c r="B35" s="9"/>
      <x:c r="C35" s="9"/>
      <x:c r="D35" s="9"/>
      <x:c r="E35" s="9"/>
      <x:c r="F35" s="9"/>
      <x:c r="G35" s="9"/>
      <x:c r="H35" s="9"/>
      <x:c r="I35" s="9"/>
      <x:c r="J35" s="9"/>
      <x:c r="K35" s="9"/>
      <x:c r="L35" s="9"/>
      <x:c r="M35" s="9"/>
      <x:c r="N35" s="9"/>
      <x:c r="O35" s="9"/>
      <x:c r="P35" s="12" t="str">
        <x:f>IF(A35="","",IF(COUNTIF($A$6:$A$205,A35)&gt;1,"记录ID重复",IF(AND(O35="已裁定",OR(H35="",I35="",L35="",M35="",K35="")),"已裁定缺结果、依据或签核","格式已填；仍须人工复核")))</x:f>
      </x:c>
    </x:row>
    <x:row r="36" ht="44" customHeight="1">
      <x:c r="A36" s="9"/>
      <x:c r="B36" s="9"/>
      <x:c r="C36" s="9"/>
      <x:c r="D36" s="9"/>
      <x:c r="E36" s="9"/>
      <x:c r="F36" s="9"/>
      <x:c r="G36" s="9"/>
      <x:c r="H36" s="9"/>
      <x:c r="I36" s="9"/>
      <x:c r="J36" s="9"/>
      <x:c r="K36" s="9"/>
      <x:c r="L36" s="9"/>
      <x:c r="M36" s="9"/>
      <x:c r="N36" s="9"/>
      <x:c r="O36" s="9"/>
      <x:c r="P36" s="12" t="str">
        <x:f>IF(A36="","",IF(COUNTIF($A$6:$A$205,A36)&gt;1,"记录ID重复",IF(AND(O36="已裁定",OR(H36="",I36="",L36="",M36="",K36="")),"已裁定缺结果、依据或签核","格式已填；仍须人工复核")))</x:f>
      </x:c>
    </x:row>
    <x:row r="37" ht="44" customHeight="1">
      <x:c r="A37" s="9"/>
      <x:c r="B37" s="9"/>
      <x:c r="C37" s="9"/>
      <x:c r="D37" s="9"/>
      <x:c r="E37" s="9"/>
      <x:c r="F37" s="9"/>
      <x:c r="G37" s="9"/>
      <x:c r="H37" s="9"/>
      <x:c r="I37" s="9"/>
      <x:c r="J37" s="9"/>
      <x:c r="K37" s="9"/>
      <x:c r="L37" s="9"/>
      <x:c r="M37" s="9"/>
      <x:c r="N37" s="9"/>
      <x:c r="O37" s="9"/>
      <x:c r="P37" s="12" t="str">
        <x:f>IF(A37="","",IF(COUNTIF($A$6:$A$205,A37)&gt;1,"记录ID重复",IF(AND(O37="已裁定",OR(H37="",I37="",L37="",M37="",K37="")),"已裁定缺结果、依据或签核","格式已填；仍须人工复核")))</x:f>
      </x:c>
    </x:row>
    <x:row r="38" ht="44" customHeight="1">
      <x:c r="A38" s="9"/>
      <x:c r="B38" s="9"/>
      <x:c r="C38" s="9"/>
      <x:c r="D38" s="9"/>
      <x:c r="E38" s="9"/>
      <x:c r="F38" s="9"/>
      <x:c r="G38" s="9"/>
      <x:c r="H38" s="9"/>
      <x:c r="I38" s="9"/>
      <x:c r="J38" s="9"/>
      <x:c r="K38" s="9"/>
      <x:c r="L38" s="9"/>
      <x:c r="M38" s="9"/>
      <x:c r="N38" s="9"/>
      <x:c r="O38" s="9"/>
      <x:c r="P38" s="12" t="str">
        <x:f>IF(A38="","",IF(COUNTIF($A$6:$A$205,A38)&gt;1,"记录ID重复",IF(AND(O38="已裁定",OR(H38="",I38="",L38="",M38="",K38="")),"已裁定缺结果、依据或签核","格式已填；仍须人工复核")))</x:f>
      </x:c>
    </x:row>
    <x:row r="39" ht="44" customHeight="1">
      <x:c r="A39" s="9"/>
      <x:c r="B39" s="9"/>
      <x:c r="C39" s="9"/>
      <x:c r="D39" s="9"/>
      <x:c r="E39" s="9"/>
      <x:c r="F39" s="9"/>
      <x:c r="G39" s="9"/>
      <x:c r="H39" s="9"/>
      <x:c r="I39" s="9"/>
      <x:c r="J39" s="9"/>
      <x:c r="K39" s="9"/>
      <x:c r="L39" s="9"/>
      <x:c r="M39" s="9"/>
      <x:c r="N39" s="9"/>
      <x:c r="O39" s="9"/>
      <x:c r="P39" s="12" t="str">
        <x:f>IF(A39="","",IF(COUNTIF($A$6:$A$205,A39)&gt;1,"记录ID重复",IF(AND(O39="已裁定",OR(H39="",I39="",L39="",M39="",K39="")),"已裁定缺结果、依据或签核","格式已填；仍须人工复核")))</x:f>
      </x:c>
    </x:row>
    <x:row r="40" ht="44" customHeight="1">
      <x:c r="A40" s="9"/>
      <x:c r="B40" s="9"/>
      <x:c r="C40" s="9"/>
      <x:c r="D40" s="9"/>
      <x:c r="E40" s="9"/>
      <x:c r="F40" s="9"/>
      <x:c r="G40" s="9"/>
      <x:c r="H40" s="9"/>
      <x:c r="I40" s="9"/>
      <x:c r="J40" s="9"/>
      <x:c r="K40" s="9"/>
      <x:c r="L40" s="9"/>
      <x:c r="M40" s="9"/>
      <x:c r="N40" s="9"/>
      <x:c r="O40" s="9"/>
      <x:c r="P40" s="12" t="str">
        <x:f>IF(A40="","",IF(COUNTIF($A$6:$A$205,A40)&gt;1,"记录ID重复",IF(AND(O40="已裁定",OR(H40="",I40="",L40="",M40="",K40="")),"已裁定缺结果、依据或签核","格式已填；仍须人工复核")))</x:f>
      </x:c>
    </x:row>
    <x:row r="41" ht="44" customHeight="1">
      <x:c r="A41" s="9"/>
      <x:c r="B41" s="9"/>
      <x:c r="C41" s="9"/>
      <x:c r="D41" s="9"/>
      <x:c r="E41" s="9"/>
      <x:c r="F41" s="9"/>
      <x:c r="G41" s="9"/>
      <x:c r="H41" s="9"/>
      <x:c r="I41" s="9"/>
      <x:c r="J41" s="9"/>
      <x:c r="K41" s="9"/>
      <x:c r="L41" s="9"/>
      <x:c r="M41" s="9"/>
      <x:c r="N41" s="9"/>
      <x:c r="O41" s="9"/>
      <x:c r="P41" s="12" t="str">
        <x:f>IF(A41="","",IF(COUNTIF($A$6:$A$205,A41)&gt;1,"记录ID重复",IF(AND(O41="已裁定",OR(H41="",I41="",L41="",M41="",K41="")),"已裁定缺结果、依据或签核","格式已填；仍须人工复核")))</x:f>
      </x:c>
    </x:row>
    <x:row r="42" ht="44" customHeight="1">
      <x:c r="A42" s="9"/>
      <x:c r="B42" s="9"/>
      <x:c r="C42" s="9"/>
      <x:c r="D42" s="9"/>
      <x:c r="E42" s="9"/>
      <x:c r="F42" s="9"/>
      <x:c r="G42" s="9"/>
      <x:c r="H42" s="9"/>
      <x:c r="I42" s="9"/>
      <x:c r="J42" s="9"/>
      <x:c r="K42" s="9"/>
      <x:c r="L42" s="9"/>
      <x:c r="M42" s="9"/>
      <x:c r="N42" s="9"/>
      <x:c r="O42" s="9"/>
      <x:c r="P42" s="12" t="str">
        <x:f>IF(A42="","",IF(COUNTIF($A$6:$A$205,A42)&gt;1,"记录ID重复",IF(AND(O42="已裁定",OR(H42="",I42="",L42="",M42="",K42="")),"已裁定缺结果、依据或签核","格式已填；仍须人工复核")))</x:f>
      </x:c>
    </x:row>
    <x:row r="43" ht="44" customHeight="1">
      <x:c r="A43" s="9"/>
      <x:c r="B43" s="9"/>
      <x:c r="C43" s="9"/>
      <x:c r="D43" s="9"/>
      <x:c r="E43" s="9"/>
      <x:c r="F43" s="9"/>
      <x:c r="G43" s="9"/>
      <x:c r="H43" s="9"/>
      <x:c r="I43" s="9"/>
      <x:c r="J43" s="9"/>
      <x:c r="K43" s="9"/>
      <x:c r="L43" s="9"/>
      <x:c r="M43" s="9"/>
      <x:c r="N43" s="9"/>
      <x:c r="O43" s="9"/>
      <x:c r="P43" s="12" t="str">
        <x:f>IF(A43="","",IF(COUNTIF($A$6:$A$205,A43)&gt;1,"记录ID重复",IF(AND(O43="已裁定",OR(H43="",I43="",L43="",M43="",K43="")),"已裁定缺结果、依据或签核","格式已填；仍须人工复核")))</x:f>
      </x:c>
    </x:row>
    <x:row r="44" ht="44" customHeight="1">
      <x:c r="A44" s="9"/>
      <x:c r="B44" s="9"/>
      <x:c r="C44" s="9"/>
      <x:c r="D44" s="9"/>
      <x:c r="E44" s="9"/>
      <x:c r="F44" s="9"/>
      <x:c r="G44" s="9"/>
      <x:c r="H44" s="9"/>
      <x:c r="I44" s="9"/>
      <x:c r="J44" s="9"/>
      <x:c r="K44" s="9"/>
      <x:c r="L44" s="9"/>
      <x:c r="M44" s="9"/>
      <x:c r="N44" s="9"/>
      <x:c r="O44" s="9"/>
      <x:c r="P44" s="12" t="str">
        <x:f>IF(A44="","",IF(COUNTIF($A$6:$A$205,A44)&gt;1,"记录ID重复",IF(AND(O44="已裁定",OR(H44="",I44="",L44="",M44="",K44="")),"已裁定缺结果、依据或签核","格式已填；仍须人工复核")))</x:f>
      </x:c>
    </x:row>
    <x:row r="45" ht="44" customHeight="1">
      <x:c r="A45" s="9"/>
      <x:c r="B45" s="9"/>
      <x:c r="C45" s="9"/>
      <x:c r="D45" s="9"/>
      <x:c r="E45" s="9"/>
      <x:c r="F45" s="9"/>
      <x:c r="G45" s="9"/>
      <x:c r="H45" s="9"/>
      <x:c r="I45" s="9"/>
      <x:c r="J45" s="9"/>
      <x:c r="K45" s="9"/>
      <x:c r="L45" s="9"/>
      <x:c r="M45" s="9"/>
      <x:c r="N45" s="9"/>
      <x:c r="O45" s="9"/>
      <x:c r="P45" s="12" t="str">
        <x:f>IF(A45="","",IF(COUNTIF($A$6:$A$205,A45)&gt;1,"记录ID重复",IF(AND(O45="已裁定",OR(H45="",I45="",L45="",M45="",K45="")),"已裁定缺结果、依据或签核","格式已填；仍须人工复核")))</x:f>
      </x:c>
    </x:row>
    <x:row r="46" ht="44" customHeight="1">
      <x:c r="A46" s="9"/>
      <x:c r="B46" s="9"/>
      <x:c r="C46" s="9"/>
      <x:c r="D46" s="9"/>
      <x:c r="E46" s="9"/>
      <x:c r="F46" s="9"/>
      <x:c r="G46" s="9"/>
      <x:c r="H46" s="9"/>
      <x:c r="I46" s="9"/>
      <x:c r="J46" s="9"/>
      <x:c r="K46" s="9"/>
      <x:c r="L46" s="9"/>
      <x:c r="M46" s="9"/>
      <x:c r="N46" s="9"/>
      <x:c r="O46" s="9"/>
      <x:c r="P46" s="12" t="str">
        <x:f>IF(A46="","",IF(COUNTIF($A$6:$A$205,A46)&gt;1,"记录ID重复",IF(AND(O46="已裁定",OR(H46="",I46="",L46="",M46="",K46="")),"已裁定缺结果、依据或签核","格式已填；仍须人工复核")))</x:f>
      </x:c>
    </x:row>
    <x:row r="47" ht="44" customHeight="1">
      <x:c r="A47" s="9"/>
      <x:c r="B47" s="9"/>
      <x:c r="C47" s="9"/>
      <x:c r="D47" s="9"/>
      <x:c r="E47" s="9"/>
      <x:c r="F47" s="9"/>
      <x:c r="G47" s="9"/>
      <x:c r="H47" s="9"/>
      <x:c r="I47" s="9"/>
      <x:c r="J47" s="9"/>
      <x:c r="K47" s="9"/>
      <x:c r="L47" s="9"/>
      <x:c r="M47" s="9"/>
      <x:c r="N47" s="9"/>
      <x:c r="O47" s="9"/>
      <x:c r="P47" s="12" t="str">
        <x:f>IF(A47="","",IF(COUNTIF($A$6:$A$205,A47)&gt;1,"记录ID重复",IF(AND(O47="已裁定",OR(H47="",I47="",L47="",M47="",K47="")),"已裁定缺结果、依据或签核","格式已填；仍须人工复核")))</x:f>
      </x:c>
    </x:row>
    <x:row r="48" ht="44" customHeight="1">
      <x:c r="A48" s="9"/>
      <x:c r="B48" s="9"/>
      <x:c r="C48" s="9"/>
      <x:c r="D48" s="9"/>
      <x:c r="E48" s="9"/>
      <x:c r="F48" s="9"/>
      <x:c r="G48" s="9"/>
      <x:c r="H48" s="9"/>
      <x:c r="I48" s="9"/>
      <x:c r="J48" s="9"/>
      <x:c r="K48" s="9"/>
      <x:c r="L48" s="9"/>
      <x:c r="M48" s="9"/>
      <x:c r="N48" s="9"/>
      <x:c r="O48" s="9"/>
      <x:c r="P48" s="12" t="str">
        <x:f>IF(A48="","",IF(COUNTIF($A$6:$A$205,A48)&gt;1,"记录ID重复",IF(AND(O48="已裁定",OR(H48="",I48="",L48="",M48="",K48="")),"已裁定缺结果、依据或签核","格式已填；仍须人工复核")))</x:f>
      </x:c>
    </x:row>
    <x:row r="49" ht="44" customHeight="1">
      <x:c r="A49" s="9"/>
      <x:c r="B49" s="9"/>
      <x:c r="C49" s="9"/>
      <x:c r="D49" s="9"/>
      <x:c r="E49" s="9"/>
      <x:c r="F49" s="9"/>
      <x:c r="G49" s="9"/>
      <x:c r="H49" s="9"/>
      <x:c r="I49" s="9"/>
      <x:c r="J49" s="9"/>
      <x:c r="K49" s="9"/>
      <x:c r="L49" s="9"/>
      <x:c r="M49" s="9"/>
      <x:c r="N49" s="9"/>
      <x:c r="O49" s="9"/>
      <x:c r="P49" s="12" t="str">
        <x:f>IF(A49="","",IF(COUNTIF($A$6:$A$205,A49)&gt;1,"记录ID重复",IF(AND(O49="已裁定",OR(H49="",I49="",L49="",M49="",K49="")),"已裁定缺结果、依据或签核","格式已填；仍须人工复核")))</x:f>
      </x:c>
    </x:row>
    <x:row r="50" ht="44" customHeight="1">
      <x:c r="A50" s="9"/>
      <x:c r="B50" s="9"/>
      <x:c r="C50" s="9"/>
      <x:c r="D50" s="9"/>
      <x:c r="E50" s="9"/>
      <x:c r="F50" s="9"/>
      <x:c r="G50" s="9"/>
      <x:c r="H50" s="9"/>
      <x:c r="I50" s="9"/>
      <x:c r="J50" s="9"/>
      <x:c r="K50" s="9"/>
      <x:c r="L50" s="9"/>
      <x:c r="M50" s="9"/>
      <x:c r="N50" s="9"/>
      <x:c r="O50" s="9"/>
      <x:c r="P50" s="12" t="str">
        <x:f>IF(A50="","",IF(COUNTIF($A$6:$A$205,A50)&gt;1,"记录ID重复",IF(AND(O50="已裁定",OR(H50="",I50="",L50="",M50="",K50="")),"已裁定缺结果、依据或签核","格式已填；仍须人工复核")))</x:f>
      </x:c>
    </x:row>
    <x:row r="51" ht="44" customHeight="1">
      <x:c r="A51" s="9"/>
      <x:c r="B51" s="9"/>
      <x:c r="C51" s="9"/>
      <x:c r="D51" s="9"/>
      <x:c r="E51" s="9"/>
      <x:c r="F51" s="9"/>
      <x:c r="G51" s="9"/>
      <x:c r="H51" s="9"/>
      <x:c r="I51" s="9"/>
      <x:c r="J51" s="9"/>
      <x:c r="K51" s="9"/>
      <x:c r="L51" s="9"/>
      <x:c r="M51" s="9"/>
      <x:c r="N51" s="9"/>
      <x:c r="O51" s="9"/>
      <x:c r="P51" s="12" t="str">
        <x:f>IF(A51="","",IF(COUNTIF($A$6:$A$205,A51)&gt;1,"记录ID重复",IF(AND(O51="已裁定",OR(H51="",I51="",L51="",M51="",K51="")),"已裁定缺结果、依据或签核","格式已填；仍须人工复核")))</x:f>
      </x:c>
    </x:row>
    <x:row r="52" ht="44" customHeight="1">
      <x:c r="A52" s="9"/>
      <x:c r="B52" s="9"/>
      <x:c r="C52" s="9"/>
      <x:c r="D52" s="9"/>
      <x:c r="E52" s="9"/>
      <x:c r="F52" s="9"/>
      <x:c r="G52" s="9"/>
      <x:c r="H52" s="9"/>
      <x:c r="I52" s="9"/>
      <x:c r="J52" s="9"/>
      <x:c r="K52" s="9"/>
      <x:c r="L52" s="9"/>
      <x:c r="M52" s="9"/>
      <x:c r="N52" s="9"/>
      <x:c r="O52" s="9"/>
      <x:c r="P52" s="12" t="str">
        <x:f>IF(A52="","",IF(COUNTIF($A$6:$A$205,A52)&gt;1,"记录ID重复",IF(AND(O52="已裁定",OR(H52="",I52="",L52="",M52="",K52="")),"已裁定缺结果、依据或签核","格式已填；仍须人工复核")))</x:f>
      </x:c>
    </x:row>
    <x:row r="53" ht="44" customHeight="1">
      <x:c r="A53" s="9"/>
      <x:c r="B53" s="9"/>
      <x:c r="C53" s="9"/>
      <x:c r="D53" s="9"/>
      <x:c r="E53" s="9"/>
      <x:c r="F53" s="9"/>
      <x:c r="G53" s="9"/>
      <x:c r="H53" s="9"/>
      <x:c r="I53" s="9"/>
      <x:c r="J53" s="9"/>
      <x:c r="K53" s="9"/>
      <x:c r="L53" s="9"/>
      <x:c r="M53" s="9"/>
      <x:c r="N53" s="9"/>
      <x:c r="O53" s="9"/>
      <x:c r="P53" s="12" t="str">
        <x:f>IF(A53="","",IF(COUNTIF($A$6:$A$205,A53)&gt;1,"记录ID重复",IF(AND(O53="已裁定",OR(H53="",I53="",L53="",M53="",K53="")),"已裁定缺结果、依据或签核","格式已填；仍须人工复核")))</x:f>
      </x:c>
    </x:row>
    <x:row r="54" ht="44" customHeight="1">
      <x:c r="A54" s="9"/>
      <x:c r="B54" s="9"/>
      <x:c r="C54" s="9"/>
      <x:c r="D54" s="9"/>
      <x:c r="E54" s="9"/>
      <x:c r="F54" s="9"/>
      <x:c r="G54" s="9"/>
      <x:c r="H54" s="9"/>
      <x:c r="I54" s="9"/>
      <x:c r="J54" s="9"/>
      <x:c r="K54" s="9"/>
      <x:c r="L54" s="9"/>
      <x:c r="M54" s="9"/>
      <x:c r="N54" s="9"/>
      <x:c r="O54" s="9"/>
      <x:c r="P54" s="12" t="str">
        <x:f>IF(A54="","",IF(COUNTIF($A$6:$A$205,A54)&gt;1,"记录ID重复",IF(AND(O54="已裁定",OR(H54="",I54="",L54="",M54="",K54="")),"已裁定缺结果、依据或签核","格式已填；仍须人工复核")))</x:f>
      </x:c>
    </x:row>
    <x:row r="55" ht="44" customHeight="1">
      <x:c r="A55" s="9"/>
      <x:c r="B55" s="9"/>
      <x:c r="C55" s="9"/>
      <x:c r="D55" s="9"/>
      <x:c r="E55" s="9"/>
      <x:c r="F55" s="9"/>
      <x:c r="G55" s="9"/>
      <x:c r="H55" s="9"/>
      <x:c r="I55" s="9"/>
      <x:c r="J55" s="9"/>
      <x:c r="K55" s="9"/>
      <x:c r="L55" s="9"/>
      <x:c r="M55" s="9"/>
      <x:c r="N55" s="9"/>
      <x:c r="O55" s="9"/>
      <x:c r="P55" s="12" t="str">
        <x:f>IF(A55="","",IF(COUNTIF($A$6:$A$205,A55)&gt;1,"记录ID重复",IF(AND(O55="已裁定",OR(H55="",I55="",L55="",M55="",K55="")),"已裁定缺结果、依据或签核","格式已填；仍须人工复核")))</x:f>
      </x:c>
    </x:row>
    <x:row r="56" ht="44" customHeight="1">
      <x:c r="A56" s="9"/>
      <x:c r="B56" s="9"/>
      <x:c r="C56" s="9"/>
      <x:c r="D56" s="9"/>
      <x:c r="E56" s="9"/>
      <x:c r="F56" s="9"/>
      <x:c r="G56" s="9"/>
      <x:c r="H56" s="9"/>
      <x:c r="I56" s="9"/>
      <x:c r="J56" s="9"/>
      <x:c r="K56" s="9"/>
      <x:c r="L56" s="9"/>
      <x:c r="M56" s="9"/>
      <x:c r="N56" s="9"/>
      <x:c r="O56" s="9"/>
      <x:c r="P56" s="12" t="str">
        <x:f>IF(A56="","",IF(COUNTIF($A$6:$A$205,A56)&gt;1,"记录ID重复",IF(AND(O56="已裁定",OR(H56="",I56="",L56="",M56="",K56="")),"已裁定缺结果、依据或签核","格式已填；仍须人工复核")))</x:f>
      </x:c>
    </x:row>
    <x:row r="57" ht="44" customHeight="1">
      <x:c r="A57" s="9"/>
      <x:c r="B57" s="9"/>
      <x:c r="C57" s="9"/>
      <x:c r="D57" s="9"/>
      <x:c r="E57" s="9"/>
      <x:c r="F57" s="9"/>
      <x:c r="G57" s="9"/>
      <x:c r="H57" s="9"/>
      <x:c r="I57" s="9"/>
      <x:c r="J57" s="9"/>
      <x:c r="K57" s="9"/>
      <x:c r="L57" s="9"/>
      <x:c r="M57" s="9"/>
      <x:c r="N57" s="9"/>
      <x:c r="O57" s="9"/>
      <x:c r="P57" s="12" t="str">
        <x:f>IF(A57="","",IF(COUNTIF($A$6:$A$205,A57)&gt;1,"记录ID重复",IF(AND(O57="已裁定",OR(H57="",I57="",L57="",M57="",K57="")),"已裁定缺结果、依据或签核","格式已填；仍须人工复核")))</x:f>
      </x:c>
    </x:row>
    <x:row r="58" ht="44" customHeight="1">
      <x:c r="A58" s="9"/>
      <x:c r="B58" s="9"/>
      <x:c r="C58" s="9"/>
      <x:c r="D58" s="9"/>
      <x:c r="E58" s="9"/>
      <x:c r="F58" s="9"/>
      <x:c r="G58" s="9"/>
      <x:c r="H58" s="9"/>
      <x:c r="I58" s="9"/>
      <x:c r="J58" s="9"/>
      <x:c r="K58" s="9"/>
      <x:c r="L58" s="9"/>
      <x:c r="M58" s="9"/>
      <x:c r="N58" s="9"/>
      <x:c r="O58" s="9"/>
      <x:c r="P58" s="12" t="str">
        <x:f>IF(A58="","",IF(COUNTIF($A$6:$A$205,A58)&gt;1,"记录ID重复",IF(AND(O58="已裁定",OR(H58="",I58="",L58="",M58="",K58="")),"已裁定缺结果、依据或签核","格式已填；仍须人工复核")))</x:f>
      </x:c>
    </x:row>
    <x:row r="59" ht="44" customHeight="1">
      <x:c r="A59" s="9"/>
      <x:c r="B59" s="9"/>
      <x:c r="C59" s="9"/>
      <x:c r="D59" s="9"/>
      <x:c r="E59" s="9"/>
      <x:c r="F59" s="9"/>
      <x:c r="G59" s="9"/>
      <x:c r="H59" s="9"/>
      <x:c r="I59" s="9"/>
      <x:c r="J59" s="9"/>
      <x:c r="K59" s="9"/>
      <x:c r="L59" s="9"/>
      <x:c r="M59" s="9"/>
      <x:c r="N59" s="9"/>
      <x:c r="O59" s="9"/>
      <x:c r="P59" s="12" t="str">
        <x:f>IF(A59="","",IF(COUNTIF($A$6:$A$205,A59)&gt;1,"记录ID重复",IF(AND(O59="已裁定",OR(H59="",I59="",L59="",M59="",K59="")),"已裁定缺结果、依据或签核","格式已填；仍须人工复核")))</x:f>
      </x:c>
    </x:row>
    <x:row r="60" ht="44" customHeight="1">
      <x:c r="A60" s="9"/>
      <x:c r="B60" s="9"/>
      <x:c r="C60" s="9"/>
      <x:c r="D60" s="9"/>
      <x:c r="E60" s="9"/>
      <x:c r="F60" s="9"/>
      <x:c r="G60" s="9"/>
      <x:c r="H60" s="9"/>
      <x:c r="I60" s="9"/>
      <x:c r="J60" s="9"/>
      <x:c r="K60" s="9"/>
      <x:c r="L60" s="9"/>
      <x:c r="M60" s="9"/>
      <x:c r="N60" s="9"/>
      <x:c r="O60" s="9"/>
      <x:c r="P60" s="12" t="str">
        <x:f>IF(A60="","",IF(COUNTIF($A$6:$A$205,A60)&gt;1,"记录ID重复",IF(AND(O60="已裁定",OR(H60="",I60="",L60="",M60="",K60="")),"已裁定缺结果、依据或签核","格式已填；仍须人工复核")))</x:f>
      </x:c>
    </x:row>
    <x:row r="61" ht="44" customHeight="1">
      <x:c r="A61" s="9"/>
      <x:c r="B61" s="9"/>
      <x:c r="C61" s="9"/>
      <x:c r="D61" s="9"/>
      <x:c r="E61" s="9"/>
      <x:c r="F61" s="9"/>
      <x:c r="G61" s="9"/>
      <x:c r="H61" s="9"/>
      <x:c r="I61" s="9"/>
      <x:c r="J61" s="9"/>
      <x:c r="K61" s="9"/>
      <x:c r="L61" s="9"/>
      <x:c r="M61" s="9"/>
      <x:c r="N61" s="9"/>
      <x:c r="O61" s="9"/>
      <x:c r="P61" s="12" t="str">
        <x:f>IF(A61="","",IF(COUNTIF($A$6:$A$205,A61)&gt;1,"记录ID重复",IF(AND(O61="已裁定",OR(H61="",I61="",L61="",M61="",K61="")),"已裁定缺结果、依据或签核","格式已填；仍须人工复核")))</x:f>
      </x:c>
    </x:row>
    <x:row r="62" ht="44" customHeight="1">
      <x:c r="A62" s="9"/>
      <x:c r="B62" s="9"/>
      <x:c r="C62" s="9"/>
      <x:c r="D62" s="9"/>
      <x:c r="E62" s="9"/>
      <x:c r="F62" s="9"/>
      <x:c r="G62" s="9"/>
      <x:c r="H62" s="9"/>
      <x:c r="I62" s="9"/>
      <x:c r="J62" s="9"/>
      <x:c r="K62" s="9"/>
      <x:c r="L62" s="9"/>
      <x:c r="M62" s="9"/>
      <x:c r="N62" s="9"/>
      <x:c r="O62" s="9"/>
      <x:c r="P62" s="12" t="str">
        <x:f>IF(A62="","",IF(COUNTIF($A$6:$A$205,A62)&gt;1,"记录ID重复",IF(AND(O62="已裁定",OR(H62="",I62="",L62="",M62="",K62="")),"已裁定缺结果、依据或签核","格式已填；仍须人工复核")))</x:f>
      </x:c>
    </x:row>
    <x:row r="63" ht="44" customHeight="1">
      <x:c r="A63" s="9"/>
      <x:c r="B63" s="9"/>
      <x:c r="C63" s="9"/>
      <x:c r="D63" s="9"/>
      <x:c r="E63" s="9"/>
      <x:c r="F63" s="9"/>
      <x:c r="G63" s="9"/>
      <x:c r="H63" s="9"/>
      <x:c r="I63" s="9"/>
      <x:c r="J63" s="9"/>
      <x:c r="K63" s="9"/>
      <x:c r="L63" s="9"/>
      <x:c r="M63" s="9"/>
      <x:c r="N63" s="9"/>
      <x:c r="O63" s="9"/>
      <x:c r="P63" s="12" t="str">
        <x:f>IF(A63="","",IF(COUNTIF($A$6:$A$205,A63)&gt;1,"记录ID重复",IF(AND(O63="已裁定",OR(H63="",I63="",L63="",M63="",K63="")),"已裁定缺结果、依据或签核","格式已填；仍须人工复核")))</x:f>
      </x:c>
    </x:row>
    <x:row r="64" ht="44" customHeight="1">
      <x:c r="A64" s="9"/>
      <x:c r="B64" s="9"/>
      <x:c r="C64" s="9"/>
      <x:c r="D64" s="9"/>
      <x:c r="E64" s="9"/>
      <x:c r="F64" s="9"/>
      <x:c r="G64" s="9"/>
      <x:c r="H64" s="9"/>
      <x:c r="I64" s="9"/>
      <x:c r="J64" s="9"/>
      <x:c r="K64" s="9"/>
      <x:c r="L64" s="9"/>
      <x:c r="M64" s="9"/>
      <x:c r="N64" s="9"/>
      <x:c r="O64" s="9"/>
      <x:c r="P64" s="12" t="str">
        <x:f>IF(A64="","",IF(COUNTIF($A$6:$A$205,A64)&gt;1,"记录ID重复",IF(AND(O64="已裁定",OR(H64="",I64="",L64="",M64="",K64="")),"已裁定缺结果、依据或签核","格式已填；仍须人工复核")))</x:f>
      </x:c>
    </x:row>
    <x:row r="65" ht="44" customHeight="1">
      <x:c r="A65" s="9"/>
      <x:c r="B65" s="9"/>
      <x:c r="C65" s="9"/>
      <x:c r="D65" s="9"/>
      <x:c r="E65" s="9"/>
      <x:c r="F65" s="9"/>
      <x:c r="G65" s="9"/>
      <x:c r="H65" s="9"/>
      <x:c r="I65" s="9"/>
      <x:c r="J65" s="9"/>
      <x:c r="K65" s="9"/>
      <x:c r="L65" s="9"/>
      <x:c r="M65" s="9"/>
      <x:c r="N65" s="9"/>
      <x:c r="O65" s="9"/>
      <x:c r="P65" s="12" t="str">
        <x:f>IF(A65="","",IF(COUNTIF($A$6:$A$205,A65)&gt;1,"记录ID重复",IF(AND(O65="已裁定",OR(H65="",I65="",L65="",M65="",K65="")),"已裁定缺结果、依据或签核","格式已填；仍须人工复核")))</x:f>
      </x:c>
    </x:row>
    <x:row r="66" ht="44" customHeight="1">
      <x:c r="A66" s="9"/>
      <x:c r="B66" s="9"/>
      <x:c r="C66" s="9"/>
      <x:c r="D66" s="9"/>
      <x:c r="E66" s="9"/>
      <x:c r="F66" s="9"/>
      <x:c r="G66" s="9"/>
      <x:c r="H66" s="9"/>
      <x:c r="I66" s="9"/>
      <x:c r="J66" s="9"/>
      <x:c r="K66" s="9"/>
      <x:c r="L66" s="9"/>
      <x:c r="M66" s="9"/>
      <x:c r="N66" s="9"/>
      <x:c r="O66" s="9"/>
      <x:c r="P66" s="12" t="str">
        <x:f>IF(A66="","",IF(COUNTIF($A$6:$A$205,A66)&gt;1,"记录ID重复",IF(AND(O66="已裁定",OR(H66="",I66="",L66="",M66="",K66="")),"已裁定缺结果、依据或签核","格式已填；仍须人工复核")))</x:f>
      </x:c>
    </x:row>
    <x:row r="67" ht="44" customHeight="1">
      <x:c r="A67" s="9"/>
      <x:c r="B67" s="9"/>
      <x:c r="C67" s="9"/>
      <x:c r="D67" s="9"/>
      <x:c r="E67" s="9"/>
      <x:c r="F67" s="9"/>
      <x:c r="G67" s="9"/>
      <x:c r="H67" s="9"/>
      <x:c r="I67" s="9"/>
      <x:c r="J67" s="9"/>
      <x:c r="K67" s="9"/>
      <x:c r="L67" s="9"/>
      <x:c r="M67" s="9"/>
      <x:c r="N67" s="9"/>
      <x:c r="O67" s="9"/>
      <x:c r="P67" s="12" t="str">
        <x:f>IF(A67="","",IF(COUNTIF($A$6:$A$205,A67)&gt;1,"记录ID重复",IF(AND(O67="已裁定",OR(H67="",I67="",L67="",M67="",K67="")),"已裁定缺结果、依据或签核","格式已填；仍须人工复核")))</x:f>
      </x:c>
    </x:row>
    <x:row r="68" ht="44" customHeight="1">
      <x:c r="A68" s="9"/>
      <x:c r="B68" s="9"/>
      <x:c r="C68" s="9"/>
      <x:c r="D68" s="9"/>
      <x:c r="E68" s="9"/>
      <x:c r="F68" s="9"/>
      <x:c r="G68" s="9"/>
      <x:c r="H68" s="9"/>
      <x:c r="I68" s="9"/>
      <x:c r="J68" s="9"/>
      <x:c r="K68" s="9"/>
      <x:c r="L68" s="9"/>
      <x:c r="M68" s="9"/>
      <x:c r="N68" s="9"/>
      <x:c r="O68" s="9"/>
      <x:c r="P68" s="12" t="str">
        <x:f>IF(A68="","",IF(COUNTIF($A$6:$A$205,A68)&gt;1,"记录ID重复",IF(AND(O68="已裁定",OR(H68="",I68="",L68="",M68="",K68="")),"已裁定缺结果、依据或签核","格式已填；仍须人工复核")))</x:f>
      </x:c>
    </x:row>
    <x:row r="69" ht="44" customHeight="1">
      <x:c r="A69" s="9"/>
      <x:c r="B69" s="9"/>
      <x:c r="C69" s="9"/>
      <x:c r="D69" s="9"/>
      <x:c r="E69" s="9"/>
      <x:c r="F69" s="9"/>
      <x:c r="G69" s="9"/>
      <x:c r="H69" s="9"/>
      <x:c r="I69" s="9"/>
      <x:c r="J69" s="9"/>
      <x:c r="K69" s="9"/>
      <x:c r="L69" s="9"/>
      <x:c r="M69" s="9"/>
      <x:c r="N69" s="9"/>
      <x:c r="O69" s="9"/>
      <x:c r="P69" s="12" t="str">
        <x:f>IF(A69="","",IF(COUNTIF($A$6:$A$205,A69)&gt;1,"记录ID重复",IF(AND(O69="已裁定",OR(H69="",I69="",L69="",M69="",K69="")),"已裁定缺结果、依据或签核","格式已填；仍须人工复核")))</x:f>
      </x:c>
    </x:row>
    <x:row r="70" ht="44" customHeight="1">
      <x:c r="A70" s="9"/>
      <x:c r="B70" s="9"/>
      <x:c r="C70" s="9"/>
      <x:c r="D70" s="9"/>
      <x:c r="E70" s="9"/>
      <x:c r="F70" s="9"/>
      <x:c r="G70" s="9"/>
      <x:c r="H70" s="9"/>
      <x:c r="I70" s="9"/>
      <x:c r="J70" s="9"/>
      <x:c r="K70" s="9"/>
      <x:c r="L70" s="9"/>
      <x:c r="M70" s="9"/>
      <x:c r="N70" s="9"/>
      <x:c r="O70" s="9"/>
      <x:c r="P70" s="12" t="str">
        <x:f>IF(A70="","",IF(COUNTIF($A$6:$A$205,A70)&gt;1,"记录ID重复",IF(AND(O70="已裁定",OR(H70="",I70="",L70="",M70="",K70="")),"已裁定缺结果、依据或签核","格式已填；仍须人工复核")))</x:f>
      </x:c>
    </x:row>
    <x:row r="71" ht="44" customHeight="1">
      <x:c r="A71" s="9"/>
      <x:c r="B71" s="9"/>
      <x:c r="C71" s="9"/>
      <x:c r="D71" s="9"/>
      <x:c r="E71" s="9"/>
      <x:c r="F71" s="9"/>
      <x:c r="G71" s="9"/>
      <x:c r="H71" s="9"/>
      <x:c r="I71" s="9"/>
      <x:c r="J71" s="9"/>
      <x:c r="K71" s="9"/>
      <x:c r="L71" s="9"/>
      <x:c r="M71" s="9"/>
      <x:c r="N71" s="9"/>
      <x:c r="O71" s="9"/>
      <x:c r="P71" s="12" t="str">
        <x:f>IF(A71="","",IF(COUNTIF($A$6:$A$205,A71)&gt;1,"记录ID重复",IF(AND(O71="已裁定",OR(H71="",I71="",L71="",M71="",K71="")),"已裁定缺结果、依据或签核","格式已填；仍须人工复核")))</x:f>
      </x:c>
    </x:row>
    <x:row r="72" ht="44" customHeight="1">
      <x:c r="A72" s="9"/>
      <x:c r="B72" s="9"/>
      <x:c r="C72" s="9"/>
      <x:c r="D72" s="9"/>
      <x:c r="E72" s="9"/>
      <x:c r="F72" s="9"/>
      <x:c r="G72" s="9"/>
      <x:c r="H72" s="9"/>
      <x:c r="I72" s="9"/>
      <x:c r="J72" s="9"/>
      <x:c r="K72" s="9"/>
      <x:c r="L72" s="9"/>
      <x:c r="M72" s="9"/>
      <x:c r="N72" s="9"/>
      <x:c r="O72" s="9"/>
      <x:c r="P72" s="12" t="str">
        <x:f>IF(A72="","",IF(COUNTIF($A$6:$A$205,A72)&gt;1,"记录ID重复",IF(AND(O72="已裁定",OR(H72="",I72="",L72="",M72="",K72="")),"已裁定缺结果、依据或签核","格式已填；仍须人工复核")))</x:f>
      </x:c>
    </x:row>
    <x:row r="73" ht="44" customHeight="1">
      <x:c r="A73" s="9"/>
      <x:c r="B73" s="9"/>
      <x:c r="C73" s="9"/>
      <x:c r="D73" s="9"/>
      <x:c r="E73" s="9"/>
      <x:c r="F73" s="9"/>
      <x:c r="G73" s="9"/>
      <x:c r="H73" s="9"/>
      <x:c r="I73" s="9"/>
      <x:c r="J73" s="9"/>
      <x:c r="K73" s="9"/>
      <x:c r="L73" s="9"/>
      <x:c r="M73" s="9"/>
      <x:c r="N73" s="9"/>
      <x:c r="O73" s="9"/>
      <x:c r="P73" s="12" t="str">
        <x:f>IF(A73="","",IF(COUNTIF($A$6:$A$205,A73)&gt;1,"记录ID重复",IF(AND(O73="已裁定",OR(H73="",I73="",L73="",M73="",K73="")),"已裁定缺结果、依据或签核","格式已填；仍须人工复核")))</x:f>
      </x:c>
    </x:row>
    <x:row r="74" ht="44" customHeight="1">
      <x:c r="A74" s="9"/>
      <x:c r="B74" s="9"/>
      <x:c r="C74" s="9"/>
      <x:c r="D74" s="9"/>
      <x:c r="E74" s="9"/>
      <x:c r="F74" s="9"/>
      <x:c r="G74" s="9"/>
      <x:c r="H74" s="9"/>
      <x:c r="I74" s="9"/>
      <x:c r="J74" s="9"/>
      <x:c r="K74" s="9"/>
      <x:c r="L74" s="9"/>
      <x:c r="M74" s="9"/>
      <x:c r="N74" s="9"/>
      <x:c r="O74" s="9"/>
      <x:c r="P74" s="12" t="str">
        <x:f>IF(A74="","",IF(COUNTIF($A$6:$A$205,A74)&gt;1,"记录ID重复",IF(AND(O74="已裁定",OR(H74="",I74="",L74="",M74="",K74="")),"已裁定缺结果、依据或签核","格式已填；仍须人工复核")))</x:f>
      </x:c>
    </x:row>
    <x:row r="75" ht="44" customHeight="1">
      <x:c r="A75" s="9"/>
      <x:c r="B75" s="9"/>
      <x:c r="C75" s="9"/>
      <x:c r="D75" s="9"/>
      <x:c r="E75" s="9"/>
      <x:c r="F75" s="9"/>
      <x:c r="G75" s="9"/>
      <x:c r="H75" s="9"/>
      <x:c r="I75" s="9"/>
      <x:c r="J75" s="9"/>
      <x:c r="K75" s="9"/>
      <x:c r="L75" s="9"/>
      <x:c r="M75" s="9"/>
      <x:c r="N75" s="9"/>
      <x:c r="O75" s="9"/>
      <x:c r="P75" s="12" t="str">
        <x:f>IF(A75="","",IF(COUNTIF($A$6:$A$205,A75)&gt;1,"记录ID重复",IF(AND(O75="已裁定",OR(H75="",I75="",L75="",M75="",K75="")),"已裁定缺结果、依据或签核","格式已填；仍须人工复核")))</x:f>
      </x:c>
    </x:row>
    <x:row r="76" ht="44" customHeight="1">
      <x:c r="A76" s="9"/>
      <x:c r="B76" s="9"/>
      <x:c r="C76" s="9"/>
      <x:c r="D76" s="9"/>
      <x:c r="E76" s="9"/>
      <x:c r="F76" s="9"/>
      <x:c r="G76" s="9"/>
      <x:c r="H76" s="9"/>
      <x:c r="I76" s="9"/>
      <x:c r="J76" s="9"/>
      <x:c r="K76" s="9"/>
      <x:c r="L76" s="9"/>
      <x:c r="M76" s="9"/>
      <x:c r="N76" s="9"/>
      <x:c r="O76" s="9"/>
      <x:c r="P76" s="12" t="str">
        <x:f>IF(A76="","",IF(COUNTIF($A$6:$A$205,A76)&gt;1,"记录ID重复",IF(AND(O76="已裁定",OR(H76="",I76="",L76="",M76="",K76="")),"已裁定缺结果、依据或签核","格式已填；仍须人工复核")))</x:f>
      </x:c>
    </x:row>
    <x:row r="77" ht="44" customHeight="1">
      <x:c r="A77" s="9"/>
      <x:c r="B77" s="9"/>
      <x:c r="C77" s="9"/>
      <x:c r="D77" s="9"/>
      <x:c r="E77" s="9"/>
      <x:c r="F77" s="9"/>
      <x:c r="G77" s="9"/>
      <x:c r="H77" s="9"/>
      <x:c r="I77" s="9"/>
      <x:c r="J77" s="9"/>
      <x:c r="K77" s="9"/>
      <x:c r="L77" s="9"/>
      <x:c r="M77" s="9"/>
      <x:c r="N77" s="9"/>
      <x:c r="O77" s="9"/>
      <x:c r="P77" s="12" t="str">
        <x:f>IF(A77="","",IF(COUNTIF($A$6:$A$205,A77)&gt;1,"记录ID重复",IF(AND(O77="已裁定",OR(H77="",I77="",L77="",M77="",K77="")),"已裁定缺结果、依据或签核","格式已填；仍须人工复核")))</x:f>
      </x:c>
    </x:row>
    <x:row r="78" ht="44" customHeight="1">
      <x:c r="A78" s="9"/>
      <x:c r="B78" s="9"/>
      <x:c r="C78" s="9"/>
      <x:c r="D78" s="9"/>
      <x:c r="E78" s="9"/>
      <x:c r="F78" s="9"/>
      <x:c r="G78" s="9"/>
      <x:c r="H78" s="9"/>
      <x:c r="I78" s="9"/>
      <x:c r="J78" s="9"/>
      <x:c r="K78" s="9"/>
      <x:c r="L78" s="9"/>
      <x:c r="M78" s="9"/>
      <x:c r="N78" s="9"/>
      <x:c r="O78" s="9"/>
      <x:c r="P78" s="12" t="str">
        <x:f>IF(A78="","",IF(COUNTIF($A$6:$A$205,A78)&gt;1,"记录ID重复",IF(AND(O78="已裁定",OR(H78="",I78="",L78="",M78="",K78="")),"已裁定缺结果、依据或签核","格式已填；仍须人工复核")))</x:f>
      </x:c>
    </x:row>
    <x:row r="79" ht="44" customHeight="1">
      <x:c r="A79" s="9"/>
      <x:c r="B79" s="9"/>
      <x:c r="C79" s="9"/>
      <x:c r="D79" s="9"/>
      <x:c r="E79" s="9"/>
      <x:c r="F79" s="9"/>
      <x:c r="G79" s="9"/>
      <x:c r="H79" s="9"/>
      <x:c r="I79" s="9"/>
      <x:c r="J79" s="9"/>
      <x:c r="K79" s="9"/>
      <x:c r="L79" s="9"/>
      <x:c r="M79" s="9"/>
      <x:c r="N79" s="9"/>
      <x:c r="O79" s="9"/>
      <x:c r="P79" s="12" t="str">
        <x:f>IF(A79="","",IF(COUNTIF($A$6:$A$205,A79)&gt;1,"记录ID重复",IF(AND(O79="已裁定",OR(H79="",I79="",L79="",M79="",K79="")),"已裁定缺结果、依据或签核","格式已填；仍须人工复核")))</x:f>
      </x:c>
    </x:row>
    <x:row r="80" ht="44" customHeight="1">
      <x:c r="A80" s="9"/>
      <x:c r="B80" s="9"/>
      <x:c r="C80" s="9"/>
      <x:c r="D80" s="9"/>
      <x:c r="E80" s="9"/>
      <x:c r="F80" s="9"/>
      <x:c r="G80" s="9"/>
      <x:c r="H80" s="9"/>
      <x:c r="I80" s="9"/>
      <x:c r="J80" s="9"/>
      <x:c r="K80" s="9"/>
      <x:c r="L80" s="9"/>
      <x:c r="M80" s="9"/>
      <x:c r="N80" s="9"/>
      <x:c r="O80" s="9"/>
      <x:c r="P80" s="12" t="str">
        <x:f>IF(A80="","",IF(COUNTIF($A$6:$A$205,A80)&gt;1,"记录ID重复",IF(AND(O80="已裁定",OR(H80="",I80="",L80="",M80="",K80="")),"已裁定缺结果、依据或签核","格式已填；仍须人工复核")))</x:f>
      </x:c>
    </x:row>
    <x:row r="81" ht="44" customHeight="1">
      <x:c r="A81" s="9"/>
      <x:c r="B81" s="9"/>
      <x:c r="C81" s="9"/>
      <x:c r="D81" s="9"/>
      <x:c r="E81" s="9"/>
      <x:c r="F81" s="9"/>
      <x:c r="G81" s="9"/>
      <x:c r="H81" s="9"/>
      <x:c r="I81" s="9"/>
      <x:c r="J81" s="9"/>
      <x:c r="K81" s="9"/>
      <x:c r="L81" s="9"/>
      <x:c r="M81" s="9"/>
      <x:c r="N81" s="9"/>
      <x:c r="O81" s="9"/>
      <x:c r="P81" s="12" t="str">
        <x:f>IF(A81="","",IF(COUNTIF($A$6:$A$205,A81)&gt;1,"记录ID重复",IF(AND(O81="已裁定",OR(H81="",I81="",L81="",M81="",K81="")),"已裁定缺结果、依据或签核","格式已填；仍须人工复核")))</x:f>
      </x:c>
    </x:row>
    <x:row r="82" ht="44" customHeight="1">
      <x:c r="A82" s="9"/>
      <x:c r="B82" s="9"/>
      <x:c r="C82" s="9"/>
      <x:c r="D82" s="9"/>
      <x:c r="E82" s="9"/>
      <x:c r="F82" s="9"/>
      <x:c r="G82" s="9"/>
      <x:c r="H82" s="9"/>
      <x:c r="I82" s="9"/>
      <x:c r="J82" s="9"/>
      <x:c r="K82" s="9"/>
      <x:c r="L82" s="9"/>
      <x:c r="M82" s="9"/>
      <x:c r="N82" s="9"/>
      <x:c r="O82" s="9"/>
      <x:c r="P82" s="12" t="str">
        <x:f>IF(A82="","",IF(COUNTIF($A$6:$A$205,A82)&gt;1,"记录ID重复",IF(AND(O82="已裁定",OR(H82="",I82="",L82="",M82="",K82="")),"已裁定缺结果、依据或签核","格式已填；仍须人工复核")))</x:f>
      </x:c>
    </x:row>
    <x:row r="83" ht="44" customHeight="1">
      <x:c r="A83" s="9"/>
      <x:c r="B83" s="9"/>
      <x:c r="C83" s="9"/>
      <x:c r="D83" s="9"/>
      <x:c r="E83" s="9"/>
      <x:c r="F83" s="9"/>
      <x:c r="G83" s="9"/>
      <x:c r="H83" s="9"/>
      <x:c r="I83" s="9"/>
      <x:c r="J83" s="9"/>
      <x:c r="K83" s="9"/>
      <x:c r="L83" s="9"/>
      <x:c r="M83" s="9"/>
      <x:c r="N83" s="9"/>
      <x:c r="O83" s="9"/>
      <x:c r="P83" s="12" t="str">
        <x:f>IF(A83="","",IF(COUNTIF($A$6:$A$205,A83)&gt;1,"记录ID重复",IF(AND(O83="已裁定",OR(H83="",I83="",L83="",M83="",K83="")),"已裁定缺结果、依据或签核","格式已填；仍须人工复核")))</x:f>
      </x:c>
    </x:row>
    <x:row r="84" ht="44" customHeight="1">
      <x:c r="A84" s="9"/>
      <x:c r="B84" s="9"/>
      <x:c r="C84" s="9"/>
      <x:c r="D84" s="9"/>
      <x:c r="E84" s="9"/>
      <x:c r="F84" s="9"/>
      <x:c r="G84" s="9"/>
      <x:c r="H84" s="9"/>
      <x:c r="I84" s="9"/>
      <x:c r="J84" s="9"/>
      <x:c r="K84" s="9"/>
      <x:c r="L84" s="9"/>
      <x:c r="M84" s="9"/>
      <x:c r="N84" s="9"/>
      <x:c r="O84" s="9"/>
      <x:c r="P84" s="12" t="str">
        <x:f>IF(A84="","",IF(COUNTIF($A$6:$A$205,A84)&gt;1,"记录ID重复",IF(AND(O84="已裁定",OR(H84="",I84="",L84="",M84="",K84="")),"已裁定缺结果、依据或签核","格式已填；仍须人工复核")))</x:f>
      </x:c>
    </x:row>
    <x:row r="85" ht="44" customHeight="1">
      <x:c r="A85" s="9"/>
      <x:c r="B85" s="9"/>
      <x:c r="C85" s="9"/>
      <x:c r="D85" s="9"/>
      <x:c r="E85" s="9"/>
      <x:c r="F85" s="9"/>
      <x:c r="G85" s="9"/>
      <x:c r="H85" s="9"/>
      <x:c r="I85" s="9"/>
      <x:c r="J85" s="9"/>
      <x:c r="K85" s="9"/>
      <x:c r="L85" s="9"/>
      <x:c r="M85" s="9"/>
      <x:c r="N85" s="9"/>
      <x:c r="O85" s="9"/>
      <x:c r="P85" s="12" t="str">
        <x:f>IF(A85="","",IF(COUNTIF($A$6:$A$205,A85)&gt;1,"记录ID重复",IF(AND(O85="已裁定",OR(H85="",I85="",L85="",M85="",K85="")),"已裁定缺结果、依据或签核","格式已填；仍须人工复核")))</x:f>
      </x:c>
    </x:row>
    <x:row r="86" ht="44" customHeight="1">
      <x:c r="A86" s="9"/>
      <x:c r="B86" s="9"/>
      <x:c r="C86" s="9"/>
      <x:c r="D86" s="9"/>
      <x:c r="E86" s="9"/>
      <x:c r="F86" s="9"/>
      <x:c r="G86" s="9"/>
      <x:c r="H86" s="9"/>
      <x:c r="I86" s="9"/>
      <x:c r="J86" s="9"/>
      <x:c r="K86" s="9"/>
      <x:c r="L86" s="9"/>
      <x:c r="M86" s="9"/>
      <x:c r="N86" s="9"/>
      <x:c r="O86" s="9"/>
      <x:c r="P86" s="12" t="str">
        <x:f>IF(A86="","",IF(COUNTIF($A$6:$A$205,A86)&gt;1,"记录ID重复",IF(AND(O86="已裁定",OR(H86="",I86="",L86="",M86="",K86="")),"已裁定缺结果、依据或签核","格式已填；仍须人工复核")))</x:f>
      </x:c>
    </x:row>
    <x:row r="87" ht="44" customHeight="1">
      <x:c r="A87" s="9"/>
      <x:c r="B87" s="9"/>
      <x:c r="C87" s="9"/>
      <x:c r="D87" s="9"/>
      <x:c r="E87" s="9"/>
      <x:c r="F87" s="9"/>
      <x:c r="G87" s="9"/>
      <x:c r="H87" s="9"/>
      <x:c r="I87" s="9"/>
      <x:c r="J87" s="9"/>
      <x:c r="K87" s="9"/>
      <x:c r="L87" s="9"/>
      <x:c r="M87" s="9"/>
      <x:c r="N87" s="9"/>
      <x:c r="O87" s="9"/>
      <x:c r="P87" s="12" t="str">
        <x:f>IF(A87="","",IF(COUNTIF($A$6:$A$205,A87)&gt;1,"记录ID重复",IF(AND(O87="已裁定",OR(H87="",I87="",L87="",M87="",K87="")),"已裁定缺结果、依据或签核","格式已填；仍须人工复核")))</x:f>
      </x:c>
    </x:row>
    <x:row r="88" ht="44" customHeight="1">
      <x:c r="A88" s="9"/>
      <x:c r="B88" s="9"/>
      <x:c r="C88" s="9"/>
      <x:c r="D88" s="9"/>
      <x:c r="E88" s="9"/>
      <x:c r="F88" s="9"/>
      <x:c r="G88" s="9"/>
      <x:c r="H88" s="9"/>
      <x:c r="I88" s="9"/>
      <x:c r="J88" s="9"/>
      <x:c r="K88" s="9"/>
      <x:c r="L88" s="9"/>
      <x:c r="M88" s="9"/>
      <x:c r="N88" s="9"/>
      <x:c r="O88" s="9"/>
      <x:c r="P88" s="12" t="str">
        <x:f>IF(A88="","",IF(COUNTIF($A$6:$A$205,A88)&gt;1,"记录ID重复",IF(AND(O88="已裁定",OR(H88="",I88="",L88="",M88="",K88="")),"已裁定缺结果、依据或签核","格式已填；仍须人工复核")))</x:f>
      </x:c>
    </x:row>
    <x:row r="89" ht="44" customHeight="1">
      <x:c r="A89" s="9"/>
      <x:c r="B89" s="9"/>
      <x:c r="C89" s="9"/>
      <x:c r="D89" s="9"/>
      <x:c r="E89" s="9"/>
      <x:c r="F89" s="9"/>
      <x:c r="G89" s="9"/>
      <x:c r="H89" s="9"/>
      <x:c r="I89" s="9"/>
      <x:c r="J89" s="9"/>
      <x:c r="K89" s="9"/>
      <x:c r="L89" s="9"/>
      <x:c r="M89" s="9"/>
      <x:c r="N89" s="9"/>
      <x:c r="O89" s="9"/>
      <x:c r="P89" s="12" t="str">
        <x:f>IF(A89="","",IF(COUNTIF($A$6:$A$205,A89)&gt;1,"记录ID重复",IF(AND(O89="已裁定",OR(H89="",I89="",L89="",M89="",K89="")),"已裁定缺结果、依据或签核","格式已填；仍须人工复核")))</x:f>
      </x:c>
    </x:row>
    <x:row r="90" ht="44" customHeight="1">
      <x:c r="A90" s="9"/>
      <x:c r="B90" s="9"/>
      <x:c r="C90" s="9"/>
      <x:c r="D90" s="9"/>
      <x:c r="E90" s="9"/>
      <x:c r="F90" s="9"/>
      <x:c r="G90" s="9"/>
      <x:c r="H90" s="9"/>
      <x:c r="I90" s="9"/>
      <x:c r="J90" s="9"/>
      <x:c r="K90" s="9"/>
      <x:c r="L90" s="9"/>
      <x:c r="M90" s="9"/>
      <x:c r="N90" s="9"/>
      <x:c r="O90" s="9"/>
      <x:c r="P90" s="12" t="str">
        <x:f>IF(A90="","",IF(COUNTIF($A$6:$A$205,A90)&gt;1,"记录ID重复",IF(AND(O90="已裁定",OR(H90="",I90="",L90="",M90="",K90="")),"已裁定缺结果、依据或签核","格式已填；仍须人工复核")))</x:f>
      </x:c>
    </x:row>
    <x:row r="91" ht="44" customHeight="1">
      <x:c r="A91" s="9"/>
      <x:c r="B91" s="9"/>
      <x:c r="C91" s="9"/>
      <x:c r="D91" s="9"/>
      <x:c r="E91" s="9"/>
      <x:c r="F91" s="9"/>
      <x:c r="G91" s="9"/>
      <x:c r="H91" s="9"/>
      <x:c r="I91" s="9"/>
      <x:c r="J91" s="9"/>
      <x:c r="K91" s="9"/>
      <x:c r="L91" s="9"/>
      <x:c r="M91" s="9"/>
      <x:c r="N91" s="9"/>
      <x:c r="O91" s="9"/>
      <x:c r="P91" s="12" t="str">
        <x:f>IF(A91="","",IF(COUNTIF($A$6:$A$205,A91)&gt;1,"记录ID重复",IF(AND(O91="已裁定",OR(H91="",I91="",L91="",M91="",K91="")),"已裁定缺结果、依据或签核","格式已填；仍须人工复核")))</x:f>
      </x:c>
    </x:row>
    <x:row r="92" ht="44" customHeight="1">
      <x:c r="A92" s="9"/>
      <x:c r="B92" s="9"/>
      <x:c r="C92" s="9"/>
      <x:c r="D92" s="9"/>
      <x:c r="E92" s="9"/>
      <x:c r="F92" s="9"/>
      <x:c r="G92" s="9"/>
      <x:c r="H92" s="9"/>
      <x:c r="I92" s="9"/>
      <x:c r="J92" s="9"/>
      <x:c r="K92" s="9"/>
      <x:c r="L92" s="9"/>
      <x:c r="M92" s="9"/>
      <x:c r="N92" s="9"/>
      <x:c r="O92" s="9"/>
      <x:c r="P92" s="12" t="str">
        <x:f>IF(A92="","",IF(COUNTIF($A$6:$A$205,A92)&gt;1,"记录ID重复",IF(AND(O92="已裁定",OR(H92="",I92="",L92="",M92="",K92="")),"已裁定缺结果、依据或签核","格式已填；仍须人工复核")))</x:f>
      </x:c>
    </x:row>
    <x:row r="93" ht="44" customHeight="1">
      <x:c r="A93" s="9"/>
      <x:c r="B93" s="9"/>
      <x:c r="C93" s="9"/>
      <x:c r="D93" s="9"/>
      <x:c r="E93" s="9"/>
      <x:c r="F93" s="9"/>
      <x:c r="G93" s="9"/>
      <x:c r="H93" s="9"/>
      <x:c r="I93" s="9"/>
      <x:c r="J93" s="9"/>
      <x:c r="K93" s="9"/>
      <x:c r="L93" s="9"/>
      <x:c r="M93" s="9"/>
      <x:c r="N93" s="9"/>
      <x:c r="O93" s="9"/>
      <x:c r="P93" s="12" t="str">
        <x:f>IF(A93="","",IF(COUNTIF($A$6:$A$205,A93)&gt;1,"记录ID重复",IF(AND(O93="已裁定",OR(H93="",I93="",L93="",M93="",K93="")),"已裁定缺结果、依据或签核","格式已填；仍须人工复核")))</x:f>
      </x:c>
    </x:row>
    <x:row r="94" ht="44" customHeight="1">
      <x:c r="A94" s="9"/>
      <x:c r="B94" s="9"/>
      <x:c r="C94" s="9"/>
      <x:c r="D94" s="9"/>
      <x:c r="E94" s="9"/>
      <x:c r="F94" s="9"/>
      <x:c r="G94" s="9"/>
      <x:c r="H94" s="9"/>
      <x:c r="I94" s="9"/>
      <x:c r="J94" s="9"/>
      <x:c r="K94" s="9"/>
      <x:c r="L94" s="9"/>
      <x:c r="M94" s="9"/>
      <x:c r="N94" s="9"/>
      <x:c r="O94" s="9"/>
      <x:c r="P94" s="12" t="str">
        <x:f>IF(A94="","",IF(COUNTIF($A$6:$A$205,A94)&gt;1,"记录ID重复",IF(AND(O94="已裁定",OR(H94="",I94="",L94="",M94="",K94="")),"已裁定缺结果、依据或签核","格式已填；仍须人工复核")))</x:f>
      </x:c>
    </x:row>
    <x:row r="95" ht="44" customHeight="1">
      <x:c r="A95" s="9"/>
      <x:c r="B95" s="9"/>
      <x:c r="C95" s="9"/>
      <x:c r="D95" s="9"/>
      <x:c r="E95" s="9"/>
      <x:c r="F95" s="9"/>
      <x:c r="G95" s="9"/>
      <x:c r="H95" s="9"/>
      <x:c r="I95" s="9"/>
      <x:c r="J95" s="9"/>
      <x:c r="K95" s="9"/>
      <x:c r="L95" s="9"/>
      <x:c r="M95" s="9"/>
      <x:c r="N95" s="9"/>
      <x:c r="O95" s="9"/>
      <x:c r="P95" s="12" t="str">
        <x:f>IF(A95="","",IF(COUNTIF($A$6:$A$205,A95)&gt;1,"记录ID重复",IF(AND(O95="已裁定",OR(H95="",I95="",L95="",M95="",K95="")),"已裁定缺结果、依据或签核","格式已填；仍须人工复核")))</x:f>
      </x:c>
    </x:row>
    <x:row r="96" ht="44" customHeight="1">
      <x:c r="A96" s="9"/>
      <x:c r="B96" s="9"/>
      <x:c r="C96" s="9"/>
      <x:c r="D96" s="9"/>
      <x:c r="E96" s="9"/>
      <x:c r="F96" s="9"/>
      <x:c r="G96" s="9"/>
      <x:c r="H96" s="9"/>
      <x:c r="I96" s="9"/>
      <x:c r="J96" s="9"/>
      <x:c r="K96" s="9"/>
      <x:c r="L96" s="9"/>
      <x:c r="M96" s="9"/>
      <x:c r="N96" s="9"/>
      <x:c r="O96" s="9"/>
      <x:c r="P96" s="12" t="str">
        <x:f>IF(A96="","",IF(COUNTIF($A$6:$A$205,A96)&gt;1,"记录ID重复",IF(AND(O96="已裁定",OR(H96="",I96="",L96="",M96="",K96="")),"已裁定缺结果、依据或签核","格式已填；仍须人工复核")))</x:f>
      </x:c>
    </x:row>
    <x:row r="97" ht="44" customHeight="1">
      <x:c r="A97" s="9"/>
      <x:c r="B97" s="9"/>
      <x:c r="C97" s="9"/>
      <x:c r="D97" s="9"/>
      <x:c r="E97" s="9"/>
      <x:c r="F97" s="9"/>
      <x:c r="G97" s="9"/>
      <x:c r="H97" s="9"/>
      <x:c r="I97" s="9"/>
      <x:c r="J97" s="9"/>
      <x:c r="K97" s="9"/>
      <x:c r="L97" s="9"/>
      <x:c r="M97" s="9"/>
      <x:c r="N97" s="9"/>
      <x:c r="O97" s="9"/>
      <x:c r="P97" s="12" t="str">
        <x:f>IF(A97="","",IF(COUNTIF($A$6:$A$205,A97)&gt;1,"记录ID重复",IF(AND(O97="已裁定",OR(H97="",I97="",L97="",M97="",K97="")),"已裁定缺结果、依据或签核","格式已填；仍须人工复核")))</x:f>
      </x:c>
    </x:row>
    <x:row r="98" ht="44" customHeight="1">
      <x:c r="A98" s="9"/>
      <x:c r="B98" s="9"/>
      <x:c r="C98" s="9"/>
      <x:c r="D98" s="9"/>
      <x:c r="E98" s="9"/>
      <x:c r="F98" s="9"/>
      <x:c r="G98" s="9"/>
      <x:c r="H98" s="9"/>
      <x:c r="I98" s="9"/>
      <x:c r="J98" s="9"/>
      <x:c r="K98" s="9"/>
      <x:c r="L98" s="9"/>
      <x:c r="M98" s="9"/>
      <x:c r="N98" s="9"/>
      <x:c r="O98" s="9"/>
      <x:c r="P98" s="12" t="str">
        <x:f>IF(A98="","",IF(COUNTIF($A$6:$A$205,A98)&gt;1,"记录ID重复",IF(AND(O98="已裁定",OR(H98="",I98="",L98="",M98="",K98="")),"已裁定缺结果、依据或签核","格式已填；仍须人工复核")))</x:f>
      </x:c>
    </x:row>
    <x:row r="99" ht="44" customHeight="1">
      <x:c r="A99" s="9"/>
      <x:c r="B99" s="9"/>
      <x:c r="C99" s="9"/>
      <x:c r="D99" s="9"/>
      <x:c r="E99" s="9"/>
      <x:c r="F99" s="9"/>
      <x:c r="G99" s="9"/>
      <x:c r="H99" s="9"/>
      <x:c r="I99" s="9"/>
      <x:c r="J99" s="9"/>
      <x:c r="K99" s="9"/>
      <x:c r="L99" s="9"/>
      <x:c r="M99" s="9"/>
      <x:c r="N99" s="9"/>
      <x:c r="O99" s="9"/>
      <x:c r="P99" s="12" t="str">
        <x:f>IF(A99="","",IF(COUNTIF($A$6:$A$205,A99)&gt;1,"记录ID重复",IF(AND(O99="已裁定",OR(H99="",I99="",L99="",M99="",K99="")),"已裁定缺结果、依据或签核","格式已填；仍须人工复核")))</x:f>
      </x:c>
    </x:row>
    <x:row r="100" ht="44" customHeight="1">
      <x:c r="A100" s="9"/>
      <x:c r="B100" s="9"/>
      <x:c r="C100" s="9"/>
      <x:c r="D100" s="9"/>
      <x:c r="E100" s="9"/>
      <x:c r="F100" s="9"/>
      <x:c r="G100" s="9"/>
      <x:c r="H100" s="9"/>
      <x:c r="I100" s="9"/>
      <x:c r="J100" s="9"/>
      <x:c r="K100" s="9"/>
      <x:c r="L100" s="9"/>
      <x:c r="M100" s="9"/>
      <x:c r="N100" s="9"/>
      <x:c r="O100" s="9"/>
      <x:c r="P100" s="12" t="str">
        <x:f>IF(A100="","",IF(COUNTIF($A$6:$A$205,A100)&gt;1,"记录ID重复",IF(AND(O100="已裁定",OR(H100="",I100="",L100="",M100="",K100="")),"已裁定缺结果、依据或签核","格式已填；仍须人工复核")))</x:f>
      </x:c>
    </x:row>
    <x:row r="101" ht="44" customHeight="1">
      <x:c r="A101" s="9"/>
      <x:c r="B101" s="9"/>
      <x:c r="C101" s="9"/>
      <x:c r="D101" s="9"/>
      <x:c r="E101" s="9"/>
      <x:c r="F101" s="9"/>
      <x:c r="G101" s="9"/>
      <x:c r="H101" s="9"/>
      <x:c r="I101" s="9"/>
      <x:c r="J101" s="9"/>
      <x:c r="K101" s="9"/>
      <x:c r="L101" s="9"/>
      <x:c r="M101" s="9"/>
      <x:c r="N101" s="9"/>
      <x:c r="O101" s="9"/>
      <x:c r="P101" s="12" t="str">
        <x:f>IF(A101="","",IF(COUNTIF($A$6:$A$205,A101)&gt;1,"记录ID重复",IF(AND(O101="已裁定",OR(H101="",I101="",L101="",M101="",K101="")),"已裁定缺结果、依据或签核","格式已填；仍须人工复核")))</x:f>
      </x:c>
    </x:row>
    <x:row r="102" ht="44" customHeight="1">
      <x:c r="A102" s="9"/>
      <x:c r="B102" s="9"/>
      <x:c r="C102" s="9"/>
      <x:c r="D102" s="9"/>
      <x:c r="E102" s="9"/>
      <x:c r="F102" s="9"/>
      <x:c r="G102" s="9"/>
      <x:c r="H102" s="9"/>
      <x:c r="I102" s="9"/>
      <x:c r="J102" s="9"/>
      <x:c r="K102" s="9"/>
      <x:c r="L102" s="9"/>
      <x:c r="M102" s="9"/>
      <x:c r="N102" s="9"/>
      <x:c r="O102" s="9"/>
      <x:c r="P102" s="12" t="str">
        <x:f>IF(A102="","",IF(COUNTIF($A$6:$A$205,A102)&gt;1,"记录ID重复",IF(AND(O102="已裁定",OR(H102="",I102="",L102="",M102="",K102="")),"已裁定缺结果、依据或签核","格式已填；仍须人工复核")))</x:f>
      </x:c>
    </x:row>
    <x:row r="103" ht="44" customHeight="1">
      <x:c r="A103" s="9"/>
      <x:c r="B103" s="9"/>
      <x:c r="C103" s="9"/>
      <x:c r="D103" s="9"/>
      <x:c r="E103" s="9"/>
      <x:c r="F103" s="9"/>
      <x:c r="G103" s="9"/>
      <x:c r="H103" s="9"/>
      <x:c r="I103" s="9"/>
      <x:c r="J103" s="9"/>
      <x:c r="K103" s="9"/>
      <x:c r="L103" s="9"/>
      <x:c r="M103" s="9"/>
      <x:c r="N103" s="9"/>
      <x:c r="O103" s="9"/>
      <x:c r="P103" s="12" t="str">
        <x:f>IF(A103="","",IF(COUNTIF($A$6:$A$205,A103)&gt;1,"记录ID重复",IF(AND(O103="已裁定",OR(H103="",I103="",L103="",M103="",K103="")),"已裁定缺结果、依据或签核","格式已填；仍须人工复核")))</x:f>
      </x:c>
    </x:row>
    <x:row r="104" ht="44" customHeight="1">
      <x:c r="A104" s="9"/>
      <x:c r="B104" s="9"/>
      <x:c r="C104" s="9"/>
      <x:c r="D104" s="9"/>
      <x:c r="E104" s="9"/>
      <x:c r="F104" s="9"/>
      <x:c r="G104" s="9"/>
      <x:c r="H104" s="9"/>
      <x:c r="I104" s="9"/>
      <x:c r="J104" s="9"/>
      <x:c r="K104" s="9"/>
      <x:c r="L104" s="9"/>
      <x:c r="M104" s="9"/>
      <x:c r="N104" s="9"/>
      <x:c r="O104" s="9"/>
      <x:c r="P104" s="12" t="str">
        <x:f>IF(A104="","",IF(COUNTIF($A$6:$A$205,A104)&gt;1,"记录ID重复",IF(AND(O104="已裁定",OR(H104="",I104="",L104="",M104="",K104="")),"已裁定缺结果、依据或签核","格式已填；仍须人工复核")))</x:f>
      </x:c>
    </x:row>
    <x:row r="105" ht="44" customHeight="1">
      <x:c r="A105" s="9"/>
      <x:c r="B105" s="9"/>
      <x:c r="C105" s="9"/>
      <x:c r="D105" s="9"/>
      <x:c r="E105" s="9"/>
      <x:c r="F105" s="9"/>
      <x:c r="G105" s="9"/>
      <x:c r="H105" s="9"/>
      <x:c r="I105" s="9"/>
      <x:c r="J105" s="9"/>
      <x:c r="K105" s="9"/>
      <x:c r="L105" s="9"/>
      <x:c r="M105" s="9"/>
      <x:c r="N105" s="9"/>
      <x:c r="O105" s="9"/>
      <x:c r="P105" s="12" t="str">
        <x:f>IF(A105="","",IF(COUNTIF($A$6:$A$205,A105)&gt;1,"记录ID重复",IF(AND(O105="已裁定",OR(H105="",I105="",L105="",M105="",K105="")),"已裁定缺结果、依据或签核","格式已填；仍须人工复核")))</x:f>
      </x:c>
    </x:row>
    <x:row r="106" ht="44" customHeight="1">
      <x:c r="A106" s="9"/>
      <x:c r="B106" s="9"/>
      <x:c r="C106" s="9"/>
      <x:c r="D106" s="9"/>
      <x:c r="E106" s="9"/>
      <x:c r="F106" s="9"/>
      <x:c r="G106" s="9"/>
      <x:c r="H106" s="9"/>
      <x:c r="I106" s="9"/>
      <x:c r="J106" s="9"/>
      <x:c r="K106" s="9"/>
      <x:c r="L106" s="9"/>
      <x:c r="M106" s="9"/>
      <x:c r="N106" s="9"/>
      <x:c r="O106" s="9"/>
      <x:c r="P106" s="12" t="str">
        <x:f>IF(A106="","",IF(COUNTIF($A$6:$A$205,A106)&gt;1,"记录ID重复",IF(AND(O106="已裁定",OR(H106="",I106="",L106="",M106="",K106="")),"已裁定缺结果、依据或签核","格式已填；仍须人工复核")))</x:f>
      </x:c>
    </x:row>
    <x:row r="107" ht="44" customHeight="1">
      <x:c r="A107" s="9"/>
      <x:c r="B107" s="9"/>
      <x:c r="C107" s="9"/>
      <x:c r="D107" s="9"/>
      <x:c r="E107" s="9"/>
      <x:c r="F107" s="9"/>
      <x:c r="G107" s="9"/>
      <x:c r="H107" s="9"/>
      <x:c r="I107" s="9"/>
      <x:c r="J107" s="9"/>
      <x:c r="K107" s="9"/>
      <x:c r="L107" s="9"/>
      <x:c r="M107" s="9"/>
      <x:c r="N107" s="9"/>
      <x:c r="O107" s="9"/>
      <x:c r="P107" s="12" t="str">
        <x:f>IF(A107="","",IF(COUNTIF($A$6:$A$205,A107)&gt;1,"记录ID重复",IF(AND(O107="已裁定",OR(H107="",I107="",L107="",M107="",K107="")),"已裁定缺结果、依据或签核","格式已填；仍须人工复核")))</x:f>
      </x:c>
    </x:row>
    <x:row r="108" ht="44" customHeight="1">
      <x:c r="A108" s="9"/>
      <x:c r="B108" s="9"/>
      <x:c r="C108" s="9"/>
      <x:c r="D108" s="9"/>
      <x:c r="E108" s="9"/>
      <x:c r="F108" s="9"/>
      <x:c r="G108" s="9"/>
      <x:c r="H108" s="9"/>
      <x:c r="I108" s="9"/>
      <x:c r="J108" s="9"/>
      <x:c r="K108" s="9"/>
      <x:c r="L108" s="9"/>
      <x:c r="M108" s="9"/>
      <x:c r="N108" s="9"/>
      <x:c r="O108" s="9"/>
      <x:c r="P108" s="12" t="str">
        <x:f>IF(A108="","",IF(COUNTIF($A$6:$A$205,A108)&gt;1,"记录ID重复",IF(AND(O108="已裁定",OR(H108="",I108="",L108="",M108="",K108="")),"已裁定缺结果、依据或签核","格式已填；仍须人工复核")))</x:f>
      </x:c>
    </x:row>
    <x:row r="109" ht="44" customHeight="1">
      <x:c r="A109" s="9"/>
      <x:c r="B109" s="9"/>
      <x:c r="C109" s="9"/>
      <x:c r="D109" s="9"/>
      <x:c r="E109" s="9"/>
      <x:c r="F109" s="9"/>
      <x:c r="G109" s="9"/>
      <x:c r="H109" s="9"/>
      <x:c r="I109" s="9"/>
      <x:c r="J109" s="9"/>
      <x:c r="K109" s="9"/>
      <x:c r="L109" s="9"/>
      <x:c r="M109" s="9"/>
      <x:c r="N109" s="9"/>
      <x:c r="O109" s="9"/>
      <x:c r="P109" s="12" t="str">
        <x:f>IF(A109="","",IF(COUNTIF($A$6:$A$205,A109)&gt;1,"记录ID重复",IF(AND(O109="已裁定",OR(H109="",I109="",L109="",M109="",K109="")),"已裁定缺结果、依据或签核","格式已填；仍须人工复核")))</x:f>
      </x:c>
    </x:row>
    <x:row r="110" ht="44" customHeight="1">
      <x:c r="A110" s="9"/>
      <x:c r="B110" s="9"/>
      <x:c r="C110" s="9"/>
      <x:c r="D110" s="9"/>
      <x:c r="E110" s="9"/>
      <x:c r="F110" s="9"/>
      <x:c r="G110" s="9"/>
      <x:c r="H110" s="9"/>
      <x:c r="I110" s="9"/>
      <x:c r="J110" s="9"/>
      <x:c r="K110" s="9"/>
      <x:c r="L110" s="9"/>
      <x:c r="M110" s="9"/>
      <x:c r="N110" s="9"/>
      <x:c r="O110" s="9"/>
      <x:c r="P110" s="12" t="str">
        <x:f>IF(A110="","",IF(COUNTIF($A$6:$A$205,A110)&gt;1,"记录ID重复",IF(AND(O110="已裁定",OR(H110="",I110="",L110="",M110="",K110="")),"已裁定缺结果、依据或签核","格式已填；仍须人工复核")))</x:f>
      </x:c>
    </x:row>
    <x:row r="111" ht="44" customHeight="1">
      <x:c r="A111" s="9"/>
      <x:c r="B111" s="9"/>
      <x:c r="C111" s="9"/>
      <x:c r="D111" s="9"/>
      <x:c r="E111" s="9"/>
      <x:c r="F111" s="9"/>
      <x:c r="G111" s="9"/>
      <x:c r="H111" s="9"/>
      <x:c r="I111" s="9"/>
      <x:c r="J111" s="9"/>
      <x:c r="K111" s="9"/>
      <x:c r="L111" s="9"/>
      <x:c r="M111" s="9"/>
      <x:c r="N111" s="9"/>
      <x:c r="O111" s="9"/>
      <x:c r="P111" s="12" t="str">
        <x:f>IF(A111="","",IF(COUNTIF($A$6:$A$205,A111)&gt;1,"记录ID重复",IF(AND(O111="已裁定",OR(H111="",I111="",L111="",M111="",K111="")),"已裁定缺结果、依据或签核","格式已填；仍须人工复核")))</x:f>
      </x:c>
    </x:row>
    <x:row r="112" ht="44" customHeight="1">
      <x:c r="A112" s="9"/>
      <x:c r="B112" s="9"/>
      <x:c r="C112" s="9"/>
      <x:c r="D112" s="9"/>
      <x:c r="E112" s="9"/>
      <x:c r="F112" s="9"/>
      <x:c r="G112" s="9"/>
      <x:c r="H112" s="9"/>
      <x:c r="I112" s="9"/>
      <x:c r="J112" s="9"/>
      <x:c r="K112" s="9"/>
      <x:c r="L112" s="9"/>
      <x:c r="M112" s="9"/>
      <x:c r="N112" s="9"/>
      <x:c r="O112" s="9"/>
      <x:c r="P112" s="12" t="str">
        <x:f>IF(A112="","",IF(COUNTIF($A$6:$A$205,A112)&gt;1,"记录ID重复",IF(AND(O112="已裁定",OR(H112="",I112="",L112="",M112="",K112="")),"已裁定缺结果、依据或签核","格式已填；仍须人工复核")))</x:f>
      </x:c>
    </x:row>
    <x:row r="113" ht="44" customHeight="1">
      <x:c r="A113" s="9"/>
      <x:c r="B113" s="9"/>
      <x:c r="C113" s="9"/>
      <x:c r="D113" s="9"/>
      <x:c r="E113" s="9"/>
      <x:c r="F113" s="9"/>
      <x:c r="G113" s="9"/>
      <x:c r="H113" s="9"/>
      <x:c r="I113" s="9"/>
      <x:c r="J113" s="9"/>
      <x:c r="K113" s="9"/>
      <x:c r="L113" s="9"/>
      <x:c r="M113" s="9"/>
      <x:c r="N113" s="9"/>
      <x:c r="O113" s="9"/>
      <x:c r="P113" s="12" t="str">
        <x:f>IF(A113="","",IF(COUNTIF($A$6:$A$205,A113)&gt;1,"记录ID重复",IF(AND(O113="已裁定",OR(H113="",I113="",L113="",M113="",K113="")),"已裁定缺结果、依据或签核","格式已填；仍须人工复核")))</x:f>
      </x:c>
    </x:row>
    <x:row r="114" ht="44" customHeight="1">
      <x:c r="A114" s="9"/>
      <x:c r="B114" s="9"/>
      <x:c r="C114" s="9"/>
      <x:c r="D114" s="9"/>
      <x:c r="E114" s="9"/>
      <x:c r="F114" s="9"/>
      <x:c r="G114" s="9"/>
      <x:c r="H114" s="9"/>
      <x:c r="I114" s="9"/>
      <x:c r="J114" s="9"/>
      <x:c r="K114" s="9"/>
      <x:c r="L114" s="9"/>
      <x:c r="M114" s="9"/>
      <x:c r="N114" s="9"/>
      <x:c r="O114" s="9"/>
      <x:c r="P114" s="12" t="str">
        <x:f>IF(A114="","",IF(COUNTIF($A$6:$A$205,A114)&gt;1,"记录ID重复",IF(AND(O114="已裁定",OR(H114="",I114="",L114="",M114="",K114="")),"已裁定缺结果、依据或签核","格式已填；仍须人工复核")))</x:f>
      </x:c>
    </x:row>
    <x:row r="115" ht="44" customHeight="1">
      <x:c r="A115" s="9"/>
      <x:c r="B115" s="9"/>
      <x:c r="C115" s="9"/>
      <x:c r="D115" s="9"/>
      <x:c r="E115" s="9"/>
      <x:c r="F115" s="9"/>
      <x:c r="G115" s="9"/>
      <x:c r="H115" s="9"/>
      <x:c r="I115" s="9"/>
      <x:c r="J115" s="9"/>
      <x:c r="K115" s="9"/>
      <x:c r="L115" s="9"/>
      <x:c r="M115" s="9"/>
      <x:c r="N115" s="9"/>
      <x:c r="O115" s="9"/>
      <x:c r="P115" s="12" t="str">
        <x:f>IF(A115="","",IF(COUNTIF($A$6:$A$205,A115)&gt;1,"记录ID重复",IF(AND(O115="已裁定",OR(H115="",I115="",L115="",M115="",K115="")),"已裁定缺结果、依据或签核","格式已填；仍须人工复核")))</x:f>
      </x:c>
    </x:row>
    <x:row r="116" ht="44" customHeight="1">
      <x:c r="A116" s="9"/>
      <x:c r="B116" s="9"/>
      <x:c r="C116" s="9"/>
      <x:c r="D116" s="9"/>
      <x:c r="E116" s="9"/>
      <x:c r="F116" s="9"/>
      <x:c r="G116" s="9"/>
      <x:c r="H116" s="9"/>
      <x:c r="I116" s="9"/>
      <x:c r="J116" s="9"/>
      <x:c r="K116" s="9"/>
      <x:c r="L116" s="9"/>
      <x:c r="M116" s="9"/>
      <x:c r="N116" s="9"/>
      <x:c r="O116" s="9"/>
      <x:c r="P116" s="12" t="str">
        <x:f>IF(A116="","",IF(COUNTIF($A$6:$A$205,A116)&gt;1,"记录ID重复",IF(AND(O116="已裁定",OR(H116="",I116="",L116="",M116="",K116="")),"已裁定缺结果、依据或签核","格式已填；仍须人工复核")))</x:f>
      </x:c>
    </x:row>
    <x:row r="117" ht="44" customHeight="1">
      <x:c r="A117" s="9"/>
      <x:c r="B117" s="9"/>
      <x:c r="C117" s="9"/>
      <x:c r="D117" s="9"/>
      <x:c r="E117" s="9"/>
      <x:c r="F117" s="9"/>
      <x:c r="G117" s="9"/>
      <x:c r="H117" s="9"/>
      <x:c r="I117" s="9"/>
      <x:c r="J117" s="9"/>
      <x:c r="K117" s="9"/>
      <x:c r="L117" s="9"/>
      <x:c r="M117" s="9"/>
      <x:c r="N117" s="9"/>
      <x:c r="O117" s="9"/>
      <x:c r="P117" s="12" t="str">
        <x:f>IF(A117="","",IF(COUNTIF($A$6:$A$205,A117)&gt;1,"记录ID重复",IF(AND(O117="已裁定",OR(H117="",I117="",L117="",M117="",K117="")),"已裁定缺结果、依据或签核","格式已填；仍须人工复核")))</x:f>
      </x:c>
    </x:row>
    <x:row r="118" ht="44" customHeight="1">
      <x:c r="A118" s="9"/>
      <x:c r="B118" s="9"/>
      <x:c r="C118" s="9"/>
      <x:c r="D118" s="9"/>
      <x:c r="E118" s="9"/>
      <x:c r="F118" s="9"/>
      <x:c r="G118" s="9"/>
      <x:c r="H118" s="9"/>
      <x:c r="I118" s="9"/>
      <x:c r="J118" s="9"/>
      <x:c r="K118" s="9"/>
      <x:c r="L118" s="9"/>
      <x:c r="M118" s="9"/>
      <x:c r="N118" s="9"/>
      <x:c r="O118" s="9"/>
      <x:c r="P118" s="12" t="str">
        <x:f>IF(A118="","",IF(COUNTIF($A$6:$A$205,A118)&gt;1,"记录ID重复",IF(AND(O118="已裁定",OR(H118="",I118="",L118="",M118="",K118="")),"已裁定缺结果、依据或签核","格式已填；仍须人工复核")))</x:f>
      </x:c>
    </x:row>
    <x:row r="119" ht="44" customHeight="1">
      <x:c r="A119" s="9"/>
      <x:c r="B119" s="9"/>
      <x:c r="C119" s="9"/>
      <x:c r="D119" s="9"/>
      <x:c r="E119" s="9"/>
      <x:c r="F119" s="9"/>
      <x:c r="G119" s="9"/>
      <x:c r="H119" s="9"/>
      <x:c r="I119" s="9"/>
      <x:c r="J119" s="9"/>
      <x:c r="K119" s="9"/>
      <x:c r="L119" s="9"/>
      <x:c r="M119" s="9"/>
      <x:c r="N119" s="9"/>
      <x:c r="O119" s="9"/>
      <x:c r="P119" s="12" t="str">
        <x:f>IF(A119="","",IF(COUNTIF($A$6:$A$205,A119)&gt;1,"记录ID重复",IF(AND(O119="已裁定",OR(H119="",I119="",L119="",M119="",K119="")),"已裁定缺结果、依据或签核","格式已填；仍须人工复核")))</x:f>
      </x:c>
    </x:row>
    <x:row r="120" ht="44" customHeight="1">
      <x:c r="A120" s="9"/>
      <x:c r="B120" s="9"/>
      <x:c r="C120" s="9"/>
      <x:c r="D120" s="9"/>
      <x:c r="E120" s="9"/>
      <x:c r="F120" s="9"/>
      <x:c r="G120" s="9"/>
      <x:c r="H120" s="9"/>
      <x:c r="I120" s="9"/>
      <x:c r="J120" s="9"/>
      <x:c r="K120" s="9"/>
      <x:c r="L120" s="9"/>
      <x:c r="M120" s="9"/>
      <x:c r="N120" s="9"/>
      <x:c r="O120" s="9"/>
      <x:c r="P120" s="12" t="str">
        <x:f>IF(A120="","",IF(COUNTIF($A$6:$A$205,A120)&gt;1,"记录ID重复",IF(AND(O120="已裁定",OR(H120="",I120="",L120="",M120="",K120="")),"已裁定缺结果、依据或签核","格式已填；仍须人工复核")))</x:f>
      </x:c>
    </x:row>
    <x:row r="121" ht="44" customHeight="1">
      <x:c r="A121" s="9"/>
      <x:c r="B121" s="9"/>
      <x:c r="C121" s="9"/>
      <x:c r="D121" s="9"/>
      <x:c r="E121" s="9"/>
      <x:c r="F121" s="9"/>
      <x:c r="G121" s="9"/>
      <x:c r="H121" s="9"/>
      <x:c r="I121" s="9"/>
      <x:c r="J121" s="9"/>
      <x:c r="K121" s="9"/>
      <x:c r="L121" s="9"/>
      <x:c r="M121" s="9"/>
      <x:c r="N121" s="9"/>
      <x:c r="O121" s="9"/>
      <x:c r="P121" s="12" t="str">
        <x:f>IF(A121="","",IF(COUNTIF($A$6:$A$205,A121)&gt;1,"记录ID重复",IF(AND(O121="已裁定",OR(H121="",I121="",L121="",M121="",K121="")),"已裁定缺结果、依据或签核","格式已填；仍须人工复核")))</x:f>
      </x:c>
    </x:row>
    <x:row r="122" ht="44" customHeight="1">
      <x:c r="A122" s="9"/>
      <x:c r="B122" s="9"/>
      <x:c r="C122" s="9"/>
      <x:c r="D122" s="9"/>
      <x:c r="E122" s="9"/>
      <x:c r="F122" s="9"/>
      <x:c r="G122" s="9"/>
      <x:c r="H122" s="9"/>
      <x:c r="I122" s="9"/>
      <x:c r="J122" s="9"/>
      <x:c r="K122" s="9"/>
      <x:c r="L122" s="9"/>
      <x:c r="M122" s="9"/>
      <x:c r="N122" s="9"/>
      <x:c r="O122" s="9"/>
      <x:c r="P122" s="12" t="str">
        <x:f>IF(A122="","",IF(COUNTIF($A$6:$A$205,A122)&gt;1,"记录ID重复",IF(AND(O122="已裁定",OR(H122="",I122="",L122="",M122="",K122="")),"已裁定缺结果、依据或签核","格式已填；仍须人工复核")))</x:f>
      </x:c>
    </x:row>
    <x:row r="123" ht="44" customHeight="1">
      <x:c r="A123" s="9"/>
      <x:c r="B123" s="9"/>
      <x:c r="C123" s="9"/>
      <x:c r="D123" s="9"/>
      <x:c r="E123" s="9"/>
      <x:c r="F123" s="9"/>
      <x:c r="G123" s="9"/>
      <x:c r="H123" s="9"/>
      <x:c r="I123" s="9"/>
      <x:c r="J123" s="9"/>
      <x:c r="K123" s="9"/>
      <x:c r="L123" s="9"/>
      <x:c r="M123" s="9"/>
      <x:c r="N123" s="9"/>
      <x:c r="O123" s="9"/>
      <x:c r="P123" s="12" t="str">
        <x:f>IF(A123="","",IF(COUNTIF($A$6:$A$205,A123)&gt;1,"记录ID重复",IF(AND(O123="已裁定",OR(H123="",I123="",L123="",M123="",K123="")),"已裁定缺结果、依据或签核","格式已填；仍须人工复核")))</x:f>
      </x:c>
    </x:row>
    <x:row r="124" ht="44" customHeight="1">
      <x:c r="A124" s="9"/>
      <x:c r="B124" s="9"/>
      <x:c r="C124" s="9"/>
      <x:c r="D124" s="9"/>
      <x:c r="E124" s="9"/>
      <x:c r="F124" s="9"/>
      <x:c r="G124" s="9"/>
      <x:c r="H124" s="9"/>
      <x:c r="I124" s="9"/>
      <x:c r="J124" s="9"/>
      <x:c r="K124" s="9"/>
      <x:c r="L124" s="9"/>
      <x:c r="M124" s="9"/>
      <x:c r="N124" s="9"/>
      <x:c r="O124" s="9"/>
      <x:c r="P124" s="12" t="str">
        <x:f>IF(A124="","",IF(COUNTIF($A$6:$A$205,A124)&gt;1,"记录ID重复",IF(AND(O124="已裁定",OR(H124="",I124="",L124="",M124="",K124="")),"已裁定缺结果、依据或签核","格式已填；仍须人工复核")))</x:f>
      </x:c>
    </x:row>
    <x:row r="125" ht="44" customHeight="1">
      <x:c r="A125" s="9"/>
      <x:c r="B125" s="9"/>
      <x:c r="C125" s="9"/>
      <x:c r="D125" s="9"/>
      <x:c r="E125" s="9"/>
      <x:c r="F125" s="9"/>
      <x:c r="G125" s="9"/>
      <x:c r="H125" s="9"/>
      <x:c r="I125" s="9"/>
      <x:c r="J125" s="9"/>
      <x:c r="K125" s="9"/>
      <x:c r="L125" s="9"/>
      <x:c r="M125" s="9"/>
      <x:c r="N125" s="9"/>
      <x:c r="O125" s="9"/>
      <x:c r="P125" s="12" t="str">
        <x:f>IF(A125="","",IF(COUNTIF($A$6:$A$205,A125)&gt;1,"记录ID重复",IF(AND(O125="已裁定",OR(H125="",I125="",L125="",M125="",K125="")),"已裁定缺结果、依据或签核","格式已填；仍须人工复核")))</x:f>
      </x:c>
    </x:row>
    <x:row r="126" ht="44" customHeight="1">
      <x:c r="A126" s="9"/>
      <x:c r="B126" s="9"/>
      <x:c r="C126" s="9"/>
      <x:c r="D126" s="9"/>
      <x:c r="E126" s="9"/>
      <x:c r="F126" s="9"/>
      <x:c r="G126" s="9"/>
      <x:c r="H126" s="9"/>
      <x:c r="I126" s="9"/>
      <x:c r="J126" s="9"/>
      <x:c r="K126" s="9"/>
      <x:c r="L126" s="9"/>
      <x:c r="M126" s="9"/>
      <x:c r="N126" s="9"/>
      <x:c r="O126" s="9"/>
      <x:c r="P126" s="12" t="str">
        <x:f>IF(A126="","",IF(COUNTIF($A$6:$A$205,A126)&gt;1,"记录ID重复",IF(AND(O126="已裁定",OR(H126="",I126="",L126="",M126="",K126="")),"已裁定缺结果、依据或签核","格式已填；仍须人工复核")))</x:f>
      </x:c>
    </x:row>
    <x:row r="127" ht="44" customHeight="1">
      <x:c r="A127" s="9"/>
      <x:c r="B127" s="9"/>
      <x:c r="C127" s="9"/>
      <x:c r="D127" s="9"/>
      <x:c r="E127" s="9"/>
      <x:c r="F127" s="9"/>
      <x:c r="G127" s="9"/>
      <x:c r="H127" s="9"/>
      <x:c r="I127" s="9"/>
      <x:c r="J127" s="9"/>
      <x:c r="K127" s="9"/>
      <x:c r="L127" s="9"/>
      <x:c r="M127" s="9"/>
      <x:c r="N127" s="9"/>
      <x:c r="O127" s="9"/>
      <x:c r="P127" s="12" t="str">
        <x:f>IF(A127="","",IF(COUNTIF($A$6:$A$205,A127)&gt;1,"记录ID重复",IF(AND(O127="已裁定",OR(H127="",I127="",L127="",M127="",K127="")),"已裁定缺结果、依据或签核","格式已填；仍须人工复核")))</x:f>
      </x:c>
    </x:row>
    <x:row r="128" ht="44" customHeight="1">
      <x:c r="A128" s="9"/>
      <x:c r="B128" s="9"/>
      <x:c r="C128" s="9"/>
      <x:c r="D128" s="9"/>
      <x:c r="E128" s="9"/>
      <x:c r="F128" s="9"/>
      <x:c r="G128" s="9"/>
      <x:c r="H128" s="9"/>
      <x:c r="I128" s="9"/>
      <x:c r="J128" s="9"/>
      <x:c r="K128" s="9"/>
      <x:c r="L128" s="9"/>
      <x:c r="M128" s="9"/>
      <x:c r="N128" s="9"/>
      <x:c r="O128" s="9"/>
      <x:c r="P128" s="12" t="str">
        <x:f>IF(A128="","",IF(COUNTIF($A$6:$A$205,A128)&gt;1,"记录ID重复",IF(AND(O128="已裁定",OR(H128="",I128="",L128="",M128="",K128="")),"已裁定缺结果、依据或签核","格式已填；仍须人工复核")))</x:f>
      </x:c>
    </x:row>
    <x:row r="129" ht="44" customHeight="1">
      <x:c r="A129" s="9"/>
      <x:c r="B129" s="9"/>
      <x:c r="C129" s="9"/>
      <x:c r="D129" s="9"/>
      <x:c r="E129" s="9"/>
      <x:c r="F129" s="9"/>
      <x:c r="G129" s="9"/>
      <x:c r="H129" s="9"/>
      <x:c r="I129" s="9"/>
      <x:c r="J129" s="9"/>
      <x:c r="K129" s="9"/>
      <x:c r="L129" s="9"/>
      <x:c r="M129" s="9"/>
      <x:c r="N129" s="9"/>
      <x:c r="O129" s="9"/>
      <x:c r="P129" s="12" t="str">
        <x:f>IF(A129="","",IF(COUNTIF($A$6:$A$205,A129)&gt;1,"记录ID重复",IF(AND(O129="已裁定",OR(H129="",I129="",L129="",M129="",K129="")),"已裁定缺结果、依据或签核","格式已填；仍须人工复核")))</x:f>
      </x:c>
    </x:row>
    <x:row r="130" ht="44" customHeight="1">
      <x:c r="A130" s="9"/>
      <x:c r="B130" s="9"/>
      <x:c r="C130" s="9"/>
      <x:c r="D130" s="9"/>
      <x:c r="E130" s="9"/>
      <x:c r="F130" s="9"/>
      <x:c r="G130" s="9"/>
      <x:c r="H130" s="9"/>
      <x:c r="I130" s="9"/>
      <x:c r="J130" s="9"/>
      <x:c r="K130" s="9"/>
      <x:c r="L130" s="9"/>
      <x:c r="M130" s="9"/>
      <x:c r="N130" s="9"/>
      <x:c r="O130" s="9"/>
      <x:c r="P130" s="12" t="str">
        <x:f>IF(A130="","",IF(COUNTIF($A$6:$A$205,A130)&gt;1,"记录ID重复",IF(AND(O130="已裁定",OR(H130="",I130="",L130="",M130="",K130="")),"已裁定缺结果、依据或签核","格式已填；仍须人工复核")))</x:f>
      </x:c>
    </x:row>
    <x:row r="131" ht="44" customHeight="1">
      <x:c r="A131" s="9"/>
      <x:c r="B131" s="9"/>
      <x:c r="C131" s="9"/>
      <x:c r="D131" s="9"/>
      <x:c r="E131" s="9"/>
      <x:c r="F131" s="9"/>
      <x:c r="G131" s="9"/>
      <x:c r="H131" s="9"/>
      <x:c r="I131" s="9"/>
      <x:c r="J131" s="9"/>
      <x:c r="K131" s="9"/>
      <x:c r="L131" s="9"/>
      <x:c r="M131" s="9"/>
      <x:c r="N131" s="9"/>
      <x:c r="O131" s="9"/>
      <x:c r="P131" s="12" t="str">
        <x:f>IF(A131="","",IF(COUNTIF($A$6:$A$205,A131)&gt;1,"记录ID重复",IF(AND(O131="已裁定",OR(H131="",I131="",L131="",M131="",K131="")),"已裁定缺结果、依据或签核","格式已填；仍须人工复核")))</x:f>
      </x:c>
    </x:row>
    <x:row r="132" ht="44" customHeight="1">
      <x:c r="A132" s="9"/>
      <x:c r="B132" s="9"/>
      <x:c r="C132" s="9"/>
      <x:c r="D132" s="9"/>
      <x:c r="E132" s="9"/>
      <x:c r="F132" s="9"/>
      <x:c r="G132" s="9"/>
      <x:c r="H132" s="9"/>
      <x:c r="I132" s="9"/>
      <x:c r="J132" s="9"/>
      <x:c r="K132" s="9"/>
      <x:c r="L132" s="9"/>
      <x:c r="M132" s="9"/>
      <x:c r="N132" s="9"/>
      <x:c r="O132" s="9"/>
      <x:c r="P132" s="12" t="str">
        <x:f>IF(A132="","",IF(COUNTIF($A$6:$A$205,A132)&gt;1,"记录ID重复",IF(AND(O132="已裁定",OR(H132="",I132="",L132="",M132="",K132="")),"已裁定缺结果、依据或签核","格式已填；仍须人工复核")))</x:f>
      </x:c>
    </x:row>
    <x:row r="133" ht="44" customHeight="1">
      <x:c r="A133" s="9"/>
      <x:c r="B133" s="9"/>
      <x:c r="C133" s="9"/>
      <x:c r="D133" s="9"/>
      <x:c r="E133" s="9"/>
      <x:c r="F133" s="9"/>
      <x:c r="G133" s="9"/>
      <x:c r="H133" s="9"/>
      <x:c r="I133" s="9"/>
      <x:c r="J133" s="9"/>
      <x:c r="K133" s="9"/>
      <x:c r="L133" s="9"/>
      <x:c r="M133" s="9"/>
      <x:c r="N133" s="9"/>
      <x:c r="O133" s="9"/>
      <x:c r="P133" s="12" t="str">
        <x:f>IF(A133="","",IF(COUNTIF($A$6:$A$205,A133)&gt;1,"记录ID重复",IF(AND(O133="已裁定",OR(H133="",I133="",L133="",M133="",K133="")),"已裁定缺结果、依据或签核","格式已填；仍须人工复核")))</x:f>
      </x:c>
    </x:row>
    <x:row r="134" ht="44" customHeight="1">
      <x:c r="A134" s="9"/>
      <x:c r="B134" s="9"/>
      <x:c r="C134" s="9"/>
      <x:c r="D134" s="9"/>
      <x:c r="E134" s="9"/>
      <x:c r="F134" s="9"/>
      <x:c r="G134" s="9"/>
      <x:c r="H134" s="9"/>
      <x:c r="I134" s="9"/>
      <x:c r="J134" s="9"/>
      <x:c r="K134" s="9"/>
      <x:c r="L134" s="9"/>
      <x:c r="M134" s="9"/>
      <x:c r="N134" s="9"/>
      <x:c r="O134" s="9"/>
      <x:c r="P134" s="12" t="str">
        <x:f>IF(A134="","",IF(COUNTIF($A$6:$A$205,A134)&gt;1,"记录ID重复",IF(AND(O134="已裁定",OR(H134="",I134="",L134="",M134="",K134="")),"已裁定缺结果、依据或签核","格式已填；仍须人工复核")))</x:f>
      </x:c>
    </x:row>
    <x:row r="135" ht="44" customHeight="1">
      <x:c r="A135" s="9"/>
      <x:c r="B135" s="9"/>
      <x:c r="C135" s="9"/>
      <x:c r="D135" s="9"/>
      <x:c r="E135" s="9"/>
      <x:c r="F135" s="9"/>
      <x:c r="G135" s="9"/>
      <x:c r="H135" s="9"/>
      <x:c r="I135" s="9"/>
      <x:c r="J135" s="9"/>
      <x:c r="K135" s="9"/>
      <x:c r="L135" s="9"/>
      <x:c r="M135" s="9"/>
      <x:c r="N135" s="9"/>
      <x:c r="O135" s="9"/>
      <x:c r="P135" s="12" t="str">
        <x:f>IF(A135="","",IF(COUNTIF($A$6:$A$205,A135)&gt;1,"记录ID重复",IF(AND(O135="已裁定",OR(H135="",I135="",L135="",M135="",K135="")),"已裁定缺结果、依据或签核","格式已填；仍须人工复核")))</x:f>
      </x:c>
    </x:row>
    <x:row r="136" ht="44" customHeight="1">
      <x:c r="A136" s="9"/>
      <x:c r="B136" s="9"/>
      <x:c r="C136" s="9"/>
      <x:c r="D136" s="9"/>
      <x:c r="E136" s="9"/>
      <x:c r="F136" s="9"/>
      <x:c r="G136" s="9"/>
      <x:c r="H136" s="9"/>
      <x:c r="I136" s="9"/>
      <x:c r="J136" s="9"/>
      <x:c r="K136" s="9"/>
      <x:c r="L136" s="9"/>
      <x:c r="M136" s="9"/>
      <x:c r="N136" s="9"/>
      <x:c r="O136" s="9"/>
      <x:c r="P136" s="12" t="str">
        <x:f>IF(A136="","",IF(COUNTIF($A$6:$A$205,A136)&gt;1,"记录ID重复",IF(AND(O136="已裁定",OR(H136="",I136="",L136="",M136="",K136="")),"已裁定缺结果、依据或签核","格式已填；仍须人工复核")))</x:f>
      </x:c>
    </x:row>
    <x:row r="137" ht="44" customHeight="1">
      <x:c r="A137" s="9"/>
      <x:c r="B137" s="9"/>
      <x:c r="C137" s="9"/>
      <x:c r="D137" s="9"/>
      <x:c r="E137" s="9"/>
      <x:c r="F137" s="9"/>
      <x:c r="G137" s="9"/>
      <x:c r="H137" s="9"/>
      <x:c r="I137" s="9"/>
      <x:c r="J137" s="9"/>
      <x:c r="K137" s="9"/>
      <x:c r="L137" s="9"/>
      <x:c r="M137" s="9"/>
      <x:c r="N137" s="9"/>
      <x:c r="O137" s="9"/>
      <x:c r="P137" s="12" t="str">
        <x:f>IF(A137="","",IF(COUNTIF($A$6:$A$205,A137)&gt;1,"记录ID重复",IF(AND(O137="已裁定",OR(H137="",I137="",L137="",M137="",K137="")),"已裁定缺结果、依据或签核","格式已填；仍须人工复核")))</x:f>
      </x:c>
    </x:row>
    <x:row r="138" ht="44" customHeight="1">
      <x:c r="A138" s="9"/>
      <x:c r="B138" s="9"/>
      <x:c r="C138" s="9"/>
      <x:c r="D138" s="9"/>
      <x:c r="E138" s="9"/>
      <x:c r="F138" s="9"/>
      <x:c r="G138" s="9"/>
      <x:c r="H138" s="9"/>
      <x:c r="I138" s="9"/>
      <x:c r="J138" s="9"/>
      <x:c r="K138" s="9"/>
      <x:c r="L138" s="9"/>
      <x:c r="M138" s="9"/>
      <x:c r="N138" s="9"/>
      <x:c r="O138" s="9"/>
      <x:c r="P138" s="12" t="str">
        <x:f>IF(A138="","",IF(COUNTIF($A$6:$A$205,A138)&gt;1,"记录ID重复",IF(AND(O138="已裁定",OR(H138="",I138="",L138="",M138="",K138="")),"已裁定缺结果、依据或签核","格式已填；仍须人工复核")))</x:f>
      </x:c>
    </x:row>
    <x:row r="139" ht="44" customHeight="1">
      <x:c r="A139" s="9"/>
      <x:c r="B139" s="9"/>
      <x:c r="C139" s="9"/>
      <x:c r="D139" s="9"/>
      <x:c r="E139" s="9"/>
      <x:c r="F139" s="9"/>
      <x:c r="G139" s="9"/>
      <x:c r="H139" s="9"/>
      <x:c r="I139" s="9"/>
      <x:c r="J139" s="9"/>
      <x:c r="K139" s="9"/>
      <x:c r="L139" s="9"/>
      <x:c r="M139" s="9"/>
      <x:c r="N139" s="9"/>
      <x:c r="O139" s="9"/>
      <x:c r="P139" s="12" t="str">
        <x:f>IF(A139="","",IF(COUNTIF($A$6:$A$205,A139)&gt;1,"记录ID重复",IF(AND(O139="已裁定",OR(H139="",I139="",L139="",M139="",K139="")),"已裁定缺结果、依据或签核","格式已填；仍须人工复核")))</x:f>
      </x:c>
    </x:row>
    <x:row r="140" ht="44" customHeight="1">
      <x:c r="A140" s="9"/>
      <x:c r="B140" s="9"/>
      <x:c r="C140" s="9"/>
      <x:c r="D140" s="9"/>
      <x:c r="E140" s="9"/>
      <x:c r="F140" s="9"/>
      <x:c r="G140" s="9"/>
      <x:c r="H140" s="9"/>
      <x:c r="I140" s="9"/>
      <x:c r="J140" s="9"/>
      <x:c r="K140" s="9"/>
      <x:c r="L140" s="9"/>
      <x:c r="M140" s="9"/>
      <x:c r="N140" s="9"/>
      <x:c r="O140" s="9"/>
      <x:c r="P140" s="12" t="str">
        <x:f>IF(A140="","",IF(COUNTIF($A$6:$A$205,A140)&gt;1,"记录ID重复",IF(AND(O140="已裁定",OR(H140="",I140="",L140="",M140="",K140="")),"已裁定缺结果、依据或签核","格式已填；仍须人工复核")))</x:f>
      </x:c>
    </x:row>
    <x:row r="141" ht="44" customHeight="1">
      <x:c r="A141" s="9"/>
      <x:c r="B141" s="9"/>
      <x:c r="C141" s="9"/>
      <x:c r="D141" s="9"/>
      <x:c r="E141" s="9"/>
      <x:c r="F141" s="9"/>
      <x:c r="G141" s="9"/>
      <x:c r="H141" s="9"/>
      <x:c r="I141" s="9"/>
      <x:c r="J141" s="9"/>
      <x:c r="K141" s="9"/>
      <x:c r="L141" s="9"/>
      <x:c r="M141" s="9"/>
      <x:c r="N141" s="9"/>
      <x:c r="O141" s="9"/>
      <x:c r="P141" s="12" t="str">
        <x:f>IF(A141="","",IF(COUNTIF($A$6:$A$205,A141)&gt;1,"记录ID重复",IF(AND(O141="已裁定",OR(H141="",I141="",L141="",M141="",K141="")),"已裁定缺结果、依据或签核","格式已填；仍须人工复核")))</x:f>
      </x:c>
    </x:row>
    <x:row r="142" ht="44" customHeight="1">
      <x:c r="A142" s="9"/>
      <x:c r="B142" s="9"/>
      <x:c r="C142" s="9"/>
      <x:c r="D142" s="9"/>
      <x:c r="E142" s="9"/>
      <x:c r="F142" s="9"/>
      <x:c r="G142" s="9"/>
      <x:c r="H142" s="9"/>
      <x:c r="I142" s="9"/>
      <x:c r="J142" s="9"/>
      <x:c r="K142" s="9"/>
      <x:c r="L142" s="9"/>
      <x:c r="M142" s="9"/>
      <x:c r="N142" s="9"/>
      <x:c r="O142" s="9"/>
      <x:c r="P142" s="12" t="str">
        <x:f>IF(A142="","",IF(COUNTIF($A$6:$A$205,A142)&gt;1,"记录ID重复",IF(AND(O142="已裁定",OR(H142="",I142="",L142="",M142="",K142="")),"已裁定缺结果、依据或签核","格式已填；仍须人工复核")))</x:f>
      </x:c>
    </x:row>
    <x:row r="143" ht="44" customHeight="1">
      <x:c r="A143" s="9"/>
      <x:c r="B143" s="9"/>
      <x:c r="C143" s="9"/>
      <x:c r="D143" s="9"/>
      <x:c r="E143" s="9"/>
      <x:c r="F143" s="9"/>
      <x:c r="G143" s="9"/>
      <x:c r="H143" s="9"/>
      <x:c r="I143" s="9"/>
      <x:c r="J143" s="9"/>
      <x:c r="K143" s="9"/>
      <x:c r="L143" s="9"/>
      <x:c r="M143" s="9"/>
      <x:c r="N143" s="9"/>
      <x:c r="O143" s="9"/>
      <x:c r="P143" s="12" t="str">
        <x:f>IF(A143="","",IF(COUNTIF($A$6:$A$205,A143)&gt;1,"记录ID重复",IF(AND(O143="已裁定",OR(H143="",I143="",L143="",M143="",K143="")),"已裁定缺结果、依据或签核","格式已填；仍须人工复核")))</x:f>
      </x:c>
    </x:row>
    <x:row r="144" ht="44" customHeight="1">
      <x:c r="A144" s="9"/>
      <x:c r="B144" s="9"/>
      <x:c r="C144" s="9"/>
      <x:c r="D144" s="9"/>
      <x:c r="E144" s="9"/>
      <x:c r="F144" s="9"/>
      <x:c r="G144" s="9"/>
      <x:c r="H144" s="9"/>
      <x:c r="I144" s="9"/>
      <x:c r="J144" s="9"/>
      <x:c r="K144" s="9"/>
      <x:c r="L144" s="9"/>
      <x:c r="M144" s="9"/>
      <x:c r="N144" s="9"/>
      <x:c r="O144" s="9"/>
      <x:c r="P144" s="12" t="str">
        <x:f>IF(A144="","",IF(COUNTIF($A$6:$A$205,A144)&gt;1,"记录ID重复",IF(AND(O144="已裁定",OR(H144="",I144="",L144="",M144="",K144="")),"已裁定缺结果、依据或签核","格式已填；仍须人工复核")))</x:f>
      </x:c>
    </x:row>
    <x:row r="145" ht="44" customHeight="1">
      <x:c r="A145" s="9"/>
      <x:c r="B145" s="9"/>
      <x:c r="C145" s="9"/>
      <x:c r="D145" s="9"/>
      <x:c r="E145" s="9"/>
      <x:c r="F145" s="9"/>
      <x:c r="G145" s="9"/>
      <x:c r="H145" s="9"/>
      <x:c r="I145" s="9"/>
      <x:c r="J145" s="9"/>
      <x:c r="K145" s="9"/>
      <x:c r="L145" s="9"/>
      <x:c r="M145" s="9"/>
      <x:c r="N145" s="9"/>
      <x:c r="O145" s="9"/>
      <x:c r="P145" s="12" t="str">
        <x:f>IF(A145="","",IF(COUNTIF($A$6:$A$205,A145)&gt;1,"记录ID重复",IF(AND(O145="已裁定",OR(H145="",I145="",L145="",M145="",K145="")),"已裁定缺结果、依据或签核","格式已填；仍须人工复核")))</x:f>
      </x:c>
    </x:row>
    <x:row r="146" ht="44" customHeight="1">
      <x:c r="A146" s="9"/>
      <x:c r="B146" s="9"/>
      <x:c r="C146" s="9"/>
      <x:c r="D146" s="9"/>
      <x:c r="E146" s="9"/>
      <x:c r="F146" s="9"/>
      <x:c r="G146" s="9"/>
      <x:c r="H146" s="9"/>
      <x:c r="I146" s="9"/>
      <x:c r="J146" s="9"/>
      <x:c r="K146" s="9"/>
      <x:c r="L146" s="9"/>
      <x:c r="M146" s="9"/>
      <x:c r="N146" s="9"/>
      <x:c r="O146" s="9"/>
      <x:c r="P146" s="12" t="str">
        <x:f>IF(A146="","",IF(COUNTIF($A$6:$A$205,A146)&gt;1,"记录ID重复",IF(AND(O146="已裁定",OR(H146="",I146="",L146="",M146="",K146="")),"已裁定缺结果、依据或签核","格式已填；仍须人工复核")))</x:f>
      </x:c>
    </x:row>
    <x:row r="147" ht="44" customHeight="1">
      <x:c r="A147" s="9"/>
      <x:c r="B147" s="9"/>
      <x:c r="C147" s="9"/>
      <x:c r="D147" s="9"/>
      <x:c r="E147" s="9"/>
      <x:c r="F147" s="9"/>
      <x:c r="G147" s="9"/>
      <x:c r="H147" s="9"/>
      <x:c r="I147" s="9"/>
      <x:c r="J147" s="9"/>
      <x:c r="K147" s="9"/>
      <x:c r="L147" s="9"/>
      <x:c r="M147" s="9"/>
      <x:c r="N147" s="9"/>
      <x:c r="O147" s="9"/>
      <x:c r="P147" s="12" t="str">
        <x:f>IF(A147="","",IF(COUNTIF($A$6:$A$205,A147)&gt;1,"记录ID重复",IF(AND(O147="已裁定",OR(H147="",I147="",L147="",M147="",K147="")),"已裁定缺结果、依据或签核","格式已填；仍须人工复核")))</x:f>
      </x:c>
    </x:row>
    <x:row r="148" ht="44" customHeight="1">
      <x:c r="A148" s="9"/>
      <x:c r="B148" s="9"/>
      <x:c r="C148" s="9"/>
      <x:c r="D148" s="9"/>
      <x:c r="E148" s="9"/>
      <x:c r="F148" s="9"/>
      <x:c r="G148" s="9"/>
      <x:c r="H148" s="9"/>
      <x:c r="I148" s="9"/>
      <x:c r="J148" s="9"/>
      <x:c r="K148" s="9"/>
      <x:c r="L148" s="9"/>
      <x:c r="M148" s="9"/>
      <x:c r="N148" s="9"/>
      <x:c r="O148" s="9"/>
      <x:c r="P148" s="12" t="str">
        <x:f>IF(A148="","",IF(COUNTIF($A$6:$A$205,A148)&gt;1,"记录ID重复",IF(AND(O148="已裁定",OR(H148="",I148="",L148="",M148="",K148="")),"已裁定缺结果、依据或签核","格式已填；仍须人工复核")))</x:f>
      </x:c>
    </x:row>
    <x:row r="149" ht="44" customHeight="1">
      <x:c r="A149" s="9"/>
      <x:c r="B149" s="9"/>
      <x:c r="C149" s="9"/>
      <x:c r="D149" s="9"/>
      <x:c r="E149" s="9"/>
      <x:c r="F149" s="9"/>
      <x:c r="G149" s="9"/>
      <x:c r="H149" s="9"/>
      <x:c r="I149" s="9"/>
      <x:c r="J149" s="9"/>
      <x:c r="K149" s="9"/>
      <x:c r="L149" s="9"/>
      <x:c r="M149" s="9"/>
      <x:c r="N149" s="9"/>
      <x:c r="O149" s="9"/>
      <x:c r="P149" s="12" t="str">
        <x:f>IF(A149="","",IF(COUNTIF($A$6:$A$205,A149)&gt;1,"记录ID重复",IF(AND(O149="已裁定",OR(H149="",I149="",L149="",M149="",K149="")),"已裁定缺结果、依据或签核","格式已填；仍须人工复核")))</x:f>
      </x:c>
    </x:row>
    <x:row r="150" ht="44" customHeight="1">
      <x:c r="A150" s="9"/>
      <x:c r="B150" s="9"/>
      <x:c r="C150" s="9"/>
      <x:c r="D150" s="9"/>
      <x:c r="E150" s="9"/>
      <x:c r="F150" s="9"/>
      <x:c r="G150" s="9"/>
      <x:c r="H150" s="9"/>
      <x:c r="I150" s="9"/>
      <x:c r="J150" s="9"/>
      <x:c r="K150" s="9"/>
      <x:c r="L150" s="9"/>
      <x:c r="M150" s="9"/>
      <x:c r="N150" s="9"/>
      <x:c r="O150" s="9"/>
      <x:c r="P150" s="12" t="str">
        <x:f>IF(A150="","",IF(COUNTIF($A$6:$A$205,A150)&gt;1,"记录ID重复",IF(AND(O150="已裁定",OR(H150="",I150="",L150="",M150="",K150="")),"已裁定缺结果、依据或签核","格式已填；仍须人工复核")))</x:f>
      </x:c>
    </x:row>
    <x:row r="151" ht="44" customHeight="1">
      <x:c r="A151" s="9"/>
      <x:c r="B151" s="9"/>
      <x:c r="C151" s="9"/>
      <x:c r="D151" s="9"/>
      <x:c r="E151" s="9"/>
      <x:c r="F151" s="9"/>
      <x:c r="G151" s="9"/>
      <x:c r="H151" s="9"/>
      <x:c r="I151" s="9"/>
      <x:c r="J151" s="9"/>
      <x:c r="K151" s="9"/>
      <x:c r="L151" s="9"/>
      <x:c r="M151" s="9"/>
      <x:c r="N151" s="9"/>
      <x:c r="O151" s="9"/>
      <x:c r="P151" s="12" t="str">
        <x:f>IF(A151="","",IF(COUNTIF($A$6:$A$205,A151)&gt;1,"记录ID重复",IF(AND(O151="已裁定",OR(H151="",I151="",L151="",M151="",K151="")),"已裁定缺结果、依据或签核","格式已填；仍须人工复核")))</x:f>
      </x:c>
    </x:row>
    <x:row r="152" ht="44" customHeight="1">
      <x:c r="A152" s="9"/>
      <x:c r="B152" s="9"/>
      <x:c r="C152" s="9"/>
      <x:c r="D152" s="9"/>
      <x:c r="E152" s="9"/>
      <x:c r="F152" s="9"/>
      <x:c r="G152" s="9"/>
      <x:c r="H152" s="9"/>
      <x:c r="I152" s="9"/>
      <x:c r="J152" s="9"/>
      <x:c r="K152" s="9"/>
      <x:c r="L152" s="9"/>
      <x:c r="M152" s="9"/>
      <x:c r="N152" s="9"/>
      <x:c r="O152" s="9"/>
      <x:c r="P152" s="12" t="str">
        <x:f>IF(A152="","",IF(COUNTIF($A$6:$A$205,A152)&gt;1,"记录ID重复",IF(AND(O152="已裁定",OR(H152="",I152="",L152="",M152="",K152="")),"已裁定缺结果、依据或签核","格式已填；仍须人工复核")))</x:f>
      </x:c>
    </x:row>
    <x:row r="153" ht="44" customHeight="1">
      <x:c r="A153" s="9"/>
      <x:c r="B153" s="9"/>
      <x:c r="C153" s="9"/>
      <x:c r="D153" s="9"/>
      <x:c r="E153" s="9"/>
      <x:c r="F153" s="9"/>
      <x:c r="G153" s="9"/>
      <x:c r="H153" s="9"/>
      <x:c r="I153" s="9"/>
      <x:c r="J153" s="9"/>
      <x:c r="K153" s="9"/>
      <x:c r="L153" s="9"/>
      <x:c r="M153" s="9"/>
      <x:c r="N153" s="9"/>
      <x:c r="O153" s="9"/>
      <x:c r="P153" s="12" t="str">
        <x:f>IF(A153="","",IF(COUNTIF($A$6:$A$205,A153)&gt;1,"记录ID重复",IF(AND(O153="已裁定",OR(H153="",I153="",L153="",M153="",K153="")),"已裁定缺结果、依据或签核","格式已填；仍须人工复核")))</x:f>
      </x:c>
    </x:row>
    <x:row r="154" ht="44" customHeight="1">
      <x:c r="A154" s="9"/>
      <x:c r="B154" s="9"/>
      <x:c r="C154" s="9"/>
      <x:c r="D154" s="9"/>
      <x:c r="E154" s="9"/>
      <x:c r="F154" s="9"/>
      <x:c r="G154" s="9"/>
      <x:c r="H154" s="9"/>
      <x:c r="I154" s="9"/>
      <x:c r="J154" s="9"/>
      <x:c r="K154" s="9"/>
      <x:c r="L154" s="9"/>
      <x:c r="M154" s="9"/>
      <x:c r="N154" s="9"/>
      <x:c r="O154" s="9"/>
      <x:c r="P154" s="12" t="str">
        <x:f>IF(A154="","",IF(COUNTIF($A$6:$A$205,A154)&gt;1,"记录ID重复",IF(AND(O154="已裁定",OR(H154="",I154="",L154="",M154="",K154="")),"已裁定缺结果、依据或签核","格式已填；仍须人工复核")))</x:f>
      </x:c>
    </x:row>
    <x:row r="155" ht="44" customHeight="1">
      <x:c r="A155" s="9"/>
      <x:c r="B155" s="9"/>
      <x:c r="C155" s="9"/>
      <x:c r="D155" s="9"/>
      <x:c r="E155" s="9"/>
      <x:c r="F155" s="9"/>
      <x:c r="G155" s="9"/>
      <x:c r="H155" s="9"/>
      <x:c r="I155" s="9"/>
      <x:c r="J155" s="9"/>
      <x:c r="K155" s="9"/>
      <x:c r="L155" s="9"/>
      <x:c r="M155" s="9"/>
      <x:c r="N155" s="9"/>
      <x:c r="O155" s="9"/>
      <x:c r="P155" s="12" t="str">
        <x:f>IF(A155="","",IF(COUNTIF($A$6:$A$205,A155)&gt;1,"记录ID重复",IF(AND(O155="已裁定",OR(H155="",I155="",L155="",M155="",K155="")),"已裁定缺结果、依据或签核","格式已填；仍须人工复核")))</x:f>
      </x:c>
    </x:row>
    <x:row r="156" ht="44" customHeight="1">
      <x:c r="A156" s="9"/>
      <x:c r="B156" s="9"/>
      <x:c r="C156" s="9"/>
      <x:c r="D156" s="9"/>
      <x:c r="E156" s="9"/>
      <x:c r="F156" s="9"/>
      <x:c r="G156" s="9"/>
      <x:c r="H156" s="9"/>
      <x:c r="I156" s="9"/>
      <x:c r="J156" s="9"/>
      <x:c r="K156" s="9"/>
      <x:c r="L156" s="9"/>
      <x:c r="M156" s="9"/>
      <x:c r="N156" s="9"/>
      <x:c r="O156" s="9"/>
      <x:c r="P156" s="12" t="str">
        <x:f>IF(A156="","",IF(COUNTIF($A$6:$A$205,A156)&gt;1,"记录ID重复",IF(AND(O156="已裁定",OR(H156="",I156="",L156="",M156="",K156="")),"已裁定缺结果、依据或签核","格式已填；仍须人工复核")))</x:f>
      </x:c>
    </x:row>
    <x:row r="157" ht="44" customHeight="1">
      <x:c r="A157" s="9"/>
      <x:c r="B157" s="9"/>
      <x:c r="C157" s="9"/>
      <x:c r="D157" s="9"/>
      <x:c r="E157" s="9"/>
      <x:c r="F157" s="9"/>
      <x:c r="G157" s="9"/>
      <x:c r="H157" s="9"/>
      <x:c r="I157" s="9"/>
      <x:c r="J157" s="9"/>
      <x:c r="K157" s="9"/>
      <x:c r="L157" s="9"/>
      <x:c r="M157" s="9"/>
      <x:c r="N157" s="9"/>
      <x:c r="O157" s="9"/>
      <x:c r="P157" s="12" t="str">
        <x:f>IF(A157="","",IF(COUNTIF($A$6:$A$205,A157)&gt;1,"记录ID重复",IF(AND(O157="已裁定",OR(H157="",I157="",L157="",M157="",K157="")),"已裁定缺结果、依据或签核","格式已填；仍须人工复核")))</x:f>
      </x:c>
    </x:row>
    <x:row r="158" ht="44" customHeight="1">
      <x:c r="A158" s="9"/>
      <x:c r="B158" s="9"/>
      <x:c r="C158" s="9"/>
      <x:c r="D158" s="9"/>
      <x:c r="E158" s="9"/>
      <x:c r="F158" s="9"/>
      <x:c r="G158" s="9"/>
      <x:c r="H158" s="9"/>
      <x:c r="I158" s="9"/>
      <x:c r="J158" s="9"/>
      <x:c r="K158" s="9"/>
      <x:c r="L158" s="9"/>
      <x:c r="M158" s="9"/>
      <x:c r="N158" s="9"/>
      <x:c r="O158" s="9"/>
      <x:c r="P158" s="12" t="str">
        <x:f>IF(A158="","",IF(COUNTIF($A$6:$A$205,A158)&gt;1,"记录ID重复",IF(AND(O158="已裁定",OR(H158="",I158="",L158="",M158="",K158="")),"已裁定缺结果、依据或签核","格式已填；仍须人工复核")))</x:f>
      </x:c>
    </x:row>
    <x:row r="159" ht="44" customHeight="1">
      <x:c r="A159" s="9"/>
      <x:c r="B159" s="9"/>
      <x:c r="C159" s="9"/>
      <x:c r="D159" s="9"/>
      <x:c r="E159" s="9"/>
      <x:c r="F159" s="9"/>
      <x:c r="G159" s="9"/>
      <x:c r="H159" s="9"/>
      <x:c r="I159" s="9"/>
      <x:c r="J159" s="9"/>
      <x:c r="K159" s="9"/>
      <x:c r="L159" s="9"/>
      <x:c r="M159" s="9"/>
      <x:c r="N159" s="9"/>
      <x:c r="O159" s="9"/>
      <x:c r="P159" s="12" t="str">
        <x:f>IF(A159="","",IF(COUNTIF($A$6:$A$205,A159)&gt;1,"记录ID重复",IF(AND(O159="已裁定",OR(H159="",I159="",L159="",M159="",K159="")),"已裁定缺结果、依据或签核","格式已填；仍须人工复核")))</x:f>
      </x:c>
    </x:row>
    <x:row r="160" ht="44" customHeight="1">
      <x:c r="A160" s="9"/>
      <x:c r="B160" s="9"/>
      <x:c r="C160" s="9"/>
      <x:c r="D160" s="9"/>
      <x:c r="E160" s="9"/>
      <x:c r="F160" s="9"/>
      <x:c r="G160" s="9"/>
      <x:c r="H160" s="9"/>
      <x:c r="I160" s="9"/>
      <x:c r="J160" s="9"/>
      <x:c r="K160" s="9"/>
      <x:c r="L160" s="9"/>
      <x:c r="M160" s="9"/>
      <x:c r="N160" s="9"/>
      <x:c r="O160" s="9"/>
      <x:c r="P160" s="12" t="str">
        <x:f>IF(A160="","",IF(COUNTIF($A$6:$A$205,A160)&gt;1,"记录ID重复",IF(AND(O160="已裁定",OR(H160="",I160="",L160="",M160="",K160="")),"已裁定缺结果、依据或签核","格式已填；仍须人工复核")))</x:f>
      </x:c>
    </x:row>
    <x:row r="161" ht="44" customHeight="1">
      <x:c r="A161" s="9"/>
      <x:c r="B161" s="9"/>
      <x:c r="C161" s="9"/>
      <x:c r="D161" s="9"/>
      <x:c r="E161" s="9"/>
      <x:c r="F161" s="9"/>
      <x:c r="G161" s="9"/>
      <x:c r="H161" s="9"/>
      <x:c r="I161" s="9"/>
      <x:c r="J161" s="9"/>
      <x:c r="K161" s="9"/>
      <x:c r="L161" s="9"/>
      <x:c r="M161" s="9"/>
      <x:c r="N161" s="9"/>
      <x:c r="O161" s="9"/>
      <x:c r="P161" s="12" t="str">
        <x:f>IF(A161="","",IF(COUNTIF($A$6:$A$205,A161)&gt;1,"记录ID重复",IF(AND(O161="已裁定",OR(H161="",I161="",L161="",M161="",K161="")),"已裁定缺结果、依据或签核","格式已填；仍须人工复核")))</x:f>
      </x:c>
    </x:row>
    <x:row r="162" ht="44" customHeight="1">
      <x:c r="A162" s="9"/>
      <x:c r="B162" s="9"/>
      <x:c r="C162" s="9"/>
      <x:c r="D162" s="9"/>
      <x:c r="E162" s="9"/>
      <x:c r="F162" s="9"/>
      <x:c r="G162" s="9"/>
      <x:c r="H162" s="9"/>
      <x:c r="I162" s="9"/>
      <x:c r="J162" s="9"/>
      <x:c r="K162" s="9"/>
      <x:c r="L162" s="9"/>
      <x:c r="M162" s="9"/>
      <x:c r="N162" s="9"/>
      <x:c r="O162" s="9"/>
      <x:c r="P162" s="12" t="str">
        <x:f>IF(A162="","",IF(COUNTIF($A$6:$A$205,A162)&gt;1,"记录ID重复",IF(AND(O162="已裁定",OR(H162="",I162="",L162="",M162="",K162="")),"已裁定缺结果、依据或签核","格式已填；仍须人工复核")))</x:f>
      </x:c>
    </x:row>
    <x:row r="163" ht="44" customHeight="1">
      <x:c r="A163" s="9"/>
      <x:c r="B163" s="9"/>
      <x:c r="C163" s="9"/>
      <x:c r="D163" s="9"/>
      <x:c r="E163" s="9"/>
      <x:c r="F163" s="9"/>
      <x:c r="G163" s="9"/>
      <x:c r="H163" s="9"/>
      <x:c r="I163" s="9"/>
      <x:c r="J163" s="9"/>
      <x:c r="K163" s="9"/>
      <x:c r="L163" s="9"/>
      <x:c r="M163" s="9"/>
      <x:c r="N163" s="9"/>
      <x:c r="O163" s="9"/>
      <x:c r="P163" s="12" t="str">
        <x:f>IF(A163="","",IF(COUNTIF($A$6:$A$205,A163)&gt;1,"记录ID重复",IF(AND(O163="已裁定",OR(H163="",I163="",L163="",M163="",K163="")),"已裁定缺结果、依据或签核","格式已填；仍须人工复核")))</x:f>
      </x:c>
    </x:row>
    <x:row r="164" ht="44" customHeight="1">
      <x:c r="A164" s="9"/>
      <x:c r="B164" s="9"/>
      <x:c r="C164" s="9"/>
      <x:c r="D164" s="9"/>
      <x:c r="E164" s="9"/>
      <x:c r="F164" s="9"/>
      <x:c r="G164" s="9"/>
      <x:c r="H164" s="9"/>
      <x:c r="I164" s="9"/>
      <x:c r="J164" s="9"/>
      <x:c r="K164" s="9"/>
      <x:c r="L164" s="9"/>
      <x:c r="M164" s="9"/>
      <x:c r="N164" s="9"/>
      <x:c r="O164" s="9"/>
      <x:c r="P164" s="12" t="str">
        <x:f>IF(A164="","",IF(COUNTIF($A$6:$A$205,A164)&gt;1,"记录ID重复",IF(AND(O164="已裁定",OR(H164="",I164="",L164="",M164="",K164="")),"已裁定缺结果、依据或签核","格式已填；仍须人工复核")))</x:f>
      </x:c>
    </x:row>
    <x:row r="165" ht="44" customHeight="1">
      <x:c r="A165" s="9"/>
      <x:c r="B165" s="9"/>
      <x:c r="C165" s="9"/>
      <x:c r="D165" s="9"/>
      <x:c r="E165" s="9"/>
      <x:c r="F165" s="9"/>
      <x:c r="G165" s="9"/>
      <x:c r="H165" s="9"/>
      <x:c r="I165" s="9"/>
      <x:c r="J165" s="9"/>
      <x:c r="K165" s="9"/>
      <x:c r="L165" s="9"/>
      <x:c r="M165" s="9"/>
      <x:c r="N165" s="9"/>
      <x:c r="O165" s="9"/>
      <x:c r="P165" s="12" t="str">
        <x:f>IF(A165="","",IF(COUNTIF($A$6:$A$205,A165)&gt;1,"记录ID重复",IF(AND(O165="已裁定",OR(H165="",I165="",L165="",M165="",K165="")),"已裁定缺结果、依据或签核","格式已填；仍须人工复核")))</x:f>
      </x:c>
    </x:row>
    <x:row r="166" ht="44" customHeight="1">
      <x:c r="A166" s="9"/>
      <x:c r="B166" s="9"/>
      <x:c r="C166" s="9"/>
      <x:c r="D166" s="9"/>
      <x:c r="E166" s="9"/>
      <x:c r="F166" s="9"/>
      <x:c r="G166" s="9"/>
      <x:c r="H166" s="9"/>
      <x:c r="I166" s="9"/>
      <x:c r="J166" s="9"/>
      <x:c r="K166" s="9"/>
      <x:c r="L166" s="9"/>
      <x:c r="M166" s="9"/>
      <x:c r="N166" s="9"/>
      <x:c r="O166" s="9"/>
      <x:c r="P166" s="12" t="str">
        <x:f>IF(A166="","",IF(COUNTIF($A$6:$A$205,A166)&gt;1,"记录ID重复",IF(AND(O166="已裁定",OR(H166="",I166="",L166="",M166="",K166="")),"已裁定缺结果、依据或签核","格式已填；仍须人工复核")))</x:f>
      </x:c>
    </x:row>
    <x:row r="167" ht="44" customHeight="1">
      <x:c r="A167" s="9"/>
      <x:c r="B167" s="9"/>
      <x:c r="C167" s="9"/>
      <x:c r="D167" s="9"/>
      <x:c r="E167" s="9"/>
      <x:c r="F167" s="9"/>
      <x:c r="G167" s="9"/>
      <x:c r="H167" s="9"/>
      <x:c r="I167" s="9"/>
      <x:c r="J167" s="9"/>
      <x:c r="K167" s="9"/>
      <x:c r="L167" s="9"/>
      <x:c r="M167" s="9"/>
      <x:c r="N167" s="9"/>
      <x:c r="O167" s="9"/>
      <x:c r="P167" s="12" t="str">
        <x:f>IF(A167="","",IF(COUNTIF($A$6:$A$205,A167)&gt;1,"记录ID重复",IF(AND(O167="已裁定",OR(H167="",I167="",L167="",M167="",K167="")),"已裁定缺结果、依据或签核","格式已填；仍须人工复核")))</x:f>
      </x:c>
    </x:row>
    <x:row r="168" ht="44" customHeight="1">
      <x:c r="A168" s="9"/>
      <x:c r="B168" s="9"/>
      <x:c r="C168" s="9"/>
      <x:c r="D168" s="9"/>
      <x:c r="E168" s="9"/>
      <x:c r="F168" s="9"/>
      <x:c r="G168" s="9"/>
      <x:c r="H168" s="9"/>
      <x:c r="I168" s="9"/>
      <x:c r="J168" s="9"/>
      <x:c r="K168" s="9"/>
      <x:c r="L168" s="9"/>
      <x:c r="M168" s="9"/>
      <x:c r="N168" s="9"/>
      <x:c r="O168" s="9"/>
      <x:c r="P168" s="12" t="str">
        <x:f>IF(A168="","",IF(COUNTIF($A$6:$A$205,A168)&gt;1,"记录ID重复",IF(AND(O168="已裁定",OR(H168="",I168="",L168="",M168="",K168="")),"已裁定缺结果、依据或签核","格式已填；仍须人工复核")))</x:f>
      </x:c>
    </x:row>
    <x:row r="169" ht="44" customHeight="1">
      <x:c r="A169" s="9"/>
      <x:c r="B169" s="9"/>
      <x:c r="C169" s="9"/>
      <x:c r="D169" s="9"/>
      <x:c r="E169" s="9"/>
      <x:c r="F169" s="9"/>
      <x:c r="G169" s="9"/>
      <x:c r="H169" s="9"/>
      <x:c r="I169" s="9"/>
      <x:c r="J169" s="9"/>
      <x:c r="K169" s="9"/>
      <x:c r="L169" s="9"/>
      <x:c r="M169" s="9"/>
      <x:c r="N169" s="9"/>
      <x:c r="O169" s="9"/>
      <x:c r="P169" s="12" t="str">
        <x:f>IF(A169="","",IF(COUNTIF($A$6:$A$205,A169)&gt;1,"记录ID重复",IF(AND(O169="已裁定",OR(H169="",I169="",L169="",M169="",K169="")),"已裁定缺结果、依据或签核","格式已填；仍须人工复核")))</x:f>
      </x:c>
    </x:row>
    <x:row r="170" ht="44" customHeight="1">
      <x:c r="A170" s="9"/>
      <x:c r="B170" s="9"/>
      <x:c r="C170" s="9"/>
      <x:c r="D170" s="9"/>
      <x:c r="E170" s="9"/>
      <x:c r="F170" s="9"/>
      <x:c r="G170" s="9"/>
      <x:c r="H170" s="9"/>
      <x:c r="I170" s="9"/>
      <x:c r="J170" s="9"/>
      <x:c r="K170" s="9"/>
      <x:c r="L170" s="9"/>
      <x:c r="M170" s="9"/>
      <x:c r="N170" s="9"/>
      <x:c r="O170" s="9"/>
      <x:c r="P170" s="12" t="str">
        <x:f>IF(A170="","",IF(COUNTIF($A$6:$A$205,A170)&gt;1,"记录ID重复",IF(AND(O170="已裁定",OR(H170="",I170="",L170="",M170="",K170="")),"已裁定缺结果、依据或签核","格式已填；仍须人工复核")))</x:f>
      </x:c>
    </x:row>
    <x:row r="171" ht="44" customHeight="1">
      <x:c r="A171" s="9"/>
      <x:c r="B171" s="9"/>
      <x:c r="C171" s="9"/>
      <x:c r="D171" s="9"/>
      <x:c r="E171" s="9"/>
      <x:c r="F171" s="9"/>
      <x:c r="G171" s="9"/>
      <x:c r="H171" s="9"/>
      <x:c r="I171" s="9"/>
      <x:c r="J171" s="9"/>
      <x:c r="K171" s="9"/>
      <x:c r="L171" s="9"/>
      <x:c r="M171" s="9"/>
      <x:c r="N171" s="9"/>
      <x:c r="O171" s="9"/>
      <x:c r="P171" s="12" t="str">
        <x:f>IF(A171="","",IF(COUNTIF($A$6:$A$205,A171)&gt;1,"记录ID重复",IF(AND(O171="已裁定",OR(H171="",I171="",L171="",M171="",K171="")),"已裁定缺结果、依据或签核","格式已填；仍须人工复核")))</x:f>
      </x:c>
    </x:row>
    <x:row r="172" ht="44" customHeight="1">
      <x:c r="A172" s="9"/>
      <x:c r="B172" s="9"/>
      <x:c r="C172" s="9"/>
      <x:c r="D172" s="9"/>
      <x:c r="E172" s="9"/>
      <x:c r="F172" s="9"/>
      <x:c r="G172" s="9"/>
      <x:c r="H172" s="9"/>
      <x:c r="I172" s="9"/>
      <x:c r="J172" s="9"/>
      <x:c r="K172" s="9"/>
      <x:c r="L172" s="9"/>
      <x:c r="M172" s="9"/>
      <x:c r="N172" s="9"/>
      <x:c r="O172" s="9"/>
      <x:c r="P172" s="12" t="str">
        <x:f>IF(A172="","",IF(COUNTIF($A$6:$A$205,A172)&gt;1,"记录ID重复",IF(AND(O172="已裁定",OR(H172="",I172="",L172="",M172="",K172="")),"已裁定缺结果、依据或签核","格式已填；仍须人工复核")))</x:f>
      </x:c>
    </x:row>
    <x:row r="173" ht="44" customHeight="1">
      <x:c r="A173" s="9"/>
      <x:c r="B173" s="9"/>
      <x:c r="C173" s="9"/>
      <x:c r="D173" s="9"/>
      <x:c r="E173" s="9"/>
      <x:c r="F173" s="9"/>
      <x:c r="G173" s="9"/>
      <x:c r="H173" s="9"/>
      <x:c r="I173" s="9"/>
      <x:c r="J173" s="9"/>
      <x:c r="K173" s="9"/>
      <x:c r="L173" s="9"/>
      <x:c r="M173" s="9"/>
      <x:c r="N173" s="9"/>
      <x:c r="O173" s="9"/>
      <x:c r="P173" s="12" t="str">
        <x:f>IF(A173="","",IF(COUNTIF($A$6:$A$205,A173)&gt;1,"记录ID重复",IF(AND(O173="已裁定",OR(H173="",I173="",L173="",M173="",K173="")),"已裁定缺结果、依据或签核","格式已填；仍须人工复核")))</x:f>
      </x:c>
    </x:row>
    <x:row r="174" ht="44" customHeight="1">
      <x:c r="A174" s="9"/>
      <x:c r="B174" s="9"/>
      <x:c r="C174" s="9"/>
      <x:c r="D174" s="9"/>
      <x:c r="E174" s="9"/>
      <x:c r="F174" s="9"/>
      <x:c r="G174" s="9"/>
      <x:c r="H174" s="9"/>
      <x:c r="I174" s="9"/>
      <x:c r="J174" s="9"/>
      <x:c r="K174" s="9"/>
      <x:c r="L174" s="9"/>
      <x:c r="M174" s="9"/>
      <x:c r="N174" s="9"/>
      <x:c r="O174" s="9"/>
      <x:c r="P174" s="12" t="str">
        <x:f>IF(A174="","",IF(COUNTIF($A$6:$A$205,A174)&gt;1,"记录ID重复",IF(AND(O174="已裁定",OR(H174="",I174="",L174="",M174="",K174="")),"已裁定缺结果、依据或签核","格式已填；仍须人工复核")))</x:f>
      </x:c>
    </x:row>
    <x:row r="175" ht="44" customHeight="1">
      <x:c r="A175" s="9"/>
      <x:c r="B175" s="9"/>
      <x:c r="C175" s="9"/>
      <x:c r="D175" s="9"/>
      <x:c r="E175" s="9"/>
      <x:c r="F175" s="9"/>
      <x:c r="G175" s="9"/>
      <x:c r="H175" s="9"/>
      <x:c r="I175" s="9"/>
      <x:c r="J175" s="9"/>
      <x:c r="K175" s="9"/>
      <x:c r="L175" s="9"/>
      <x:c r="M175" s="9"/>
      <x:c r="N175" s="9"/>
      <x:c r="O175" s="9"/>
      <x:c r="P175" s="12" t="str">
        <x:f>IF(A175="","",IF(COUNTIF($A$6:$A$205,A175)&gt;1,"记录ID重复",IF(AND(O175="已裁定",OR(H175="",I175="",L175="",M175="",K175="")),"已裁定缺结果、依据或签核","格式已填；仍须人工复核")))</x:f>
      </x:c>
    </x:row>
    <x:row r="176" ht="44" customHeight="1">
      <x:c r="A176" s="9"/>
      <x:c r="B176" s="9"/>
      <x:c r="C176" s="9"/>
      <x:c r="D176" s="9"/>
      <x:c r="E176" s="9"/>
      <x:c r="F176" s="9"/>
      <x:c r="G176" s="9"/>
      <x:c r="H176" s="9"/>
      <x:c r="I176" s="9"/>
      <x:c r="J176" s="9"/>
      <x:c r="K176" s="9"/>
      <x:c r="L176" s="9"/>
      <x:c r="M176" s="9"/>
      <x:c r="N176" s="9"/>
      <x:c r="O176" s="9"/>
      <x:c r="P176" s="12" t="str">
        <x:f>IF(A176="","",IF(COUNTIF($A$6:$A$205,A176)&gt;1,"记录ID重复",IF(AND(O176="已裁定",OR(H176="",I176="",L176="",M176="",K176="")),"已裁定缺结果、依据或签核","格式已填；仍须人工复核")))</x:f>
      </x:c>
    </x:row>
    <x:row r="177" ht="44" customHeight="1">
      <x:c r="A177" s="9"/>
      <x:c r="B177" s="9"/>
      <x:c r="C177" s="9"/>
      <x:c r="D177" s="9"/>
      <x:c r="E177" s="9"/>
      <x:c r="F177" s="9"/>
      <x:c r="G177" s="9"/>
      <x:c r="H177" s="9"/>
      <x:c r="I177" s="9"/>
      <x:c r="J177" s="9"/>
      <x:c r="K177" s="9"/>
      <x:c r="L177" s="9"/>
      <x:c r="M177" s="9"/>
      <x:c r="N177" s="9"/>
      <x:c r="O177" s="9"/>
      <x:c r="P177" s="12" t="str">
        <x:f>IF(A177="","",IF(COUNTIF($A$6:$A$205,A177)&gt;1,"记录ID重复",IF(AND(O177="已裁定",OR(H177="",I177="",L177="",M177="",K177="")),"已裁定缺结果、依据或签核","格式已填；仍须人工复核")))</x:f>
      </x:c>
    </x:row>
    <x:row r="178" ht="44" customHeight="1">
      <x:c r="A178" s="9"/>
      <x:c r="B178" s="9"/>
      <x:c r="C178" s="9"/>
      <x:c r="D178" s="9"/>
      <x:c r="E178" s="9"/>
      <x:c r="F178" s="9"/>
      <x:c r="G178" s="9"/>
      <x:c r="H178" s="9"/>
      <x:c r="I178" s="9"/>
      <x:c r="J178" s="9"/>
      <x:c r="K178" s="9"/>
      <x:c r="L178" s="9"/>
      <x:c r="M178" s="9"/>
      <x:c r="N178" s="9"/>
      <x:c r="O178" s="9"/>
      <x:c r="P178" s="12" t="str">
        <x:f>IF(A178="","",IF(COUNTIF($A$6:$A$205,A178)&gt;1,"记录ID重复",IF(AND(O178="已裁定",OR(H178="",I178="",L178="",M178="",K178="")),"已裁定缺结果、依据或签核","格式已填；仍须人工复核")))</x:f>
      </x:c>
    </x:row>
    <x:row r="179" ht="44" customHeight="1">
      <x:c r="A179" s="9"/>
      <x:c r="B179" s="9"/>
      <x:c r="C179" s="9"/>
      <x:c r="D179" s="9"/>
      <x:c r="E179" s="9"/>
      <x:c r="F179" s="9"/>
      <x:c r="G179" s="9"/>
      <x:c r="H179" s="9"/>
      <x:c r="I179" s="9"/>
      <x:c r="J179" s="9"/>
      <x:c r="K179" s="9"/>
      <x:c r="L179" s="9"/>
      <x:c r="M179" s="9"/>
      <x:c r="N179" s="9"/>
      <x:c r="O179" s="9"/>
      <x:c r="P179" s="12" t="str">
        <x:f>IF(A179="","",IF(COUNTIF($A$6:$A$205,A179)&gt;1,"记录ID重复",IF(AND(O179="已裁定",OR(H179="",I179="",L179="",M179="",K179="")),"已裁定缺结果、依据或签核","格式已填；仍须人工复核")))</x:f>
      </x:c>
    </x:row>
    <x:row r="180" ht="44" customHeight="1">
      <x:c r="A180" s="9"/>
      <x:c r="B180" s="9"/>
      <x:c r="C180" s="9"/>
      <x:c r="D180" s="9"/>
      <x:c r="E180" s="9"/>
      <x:c r="F180" s="9"/>
      <x:c r="G180" s="9"/>
      <x:c r="H180" s="9"/>
      <x:c r="I180" s="9"/>
      <x:c r="J180" s="9"/>
      <x:c r="K180" s="9"/>
      <x:c r="L180" s="9"/>
      <x:c r="M180" s="9"/>
      <x:c r="N180" s="9"/>
      <x:c r="O180" s="9"/>
      <x:c r="P180" s="12" t="str">
        <x:f>IF(A180="","",IF(COUNTIF($A$6:$A$205,A180)&gt;1,"记录ID重复",IF(AND(O180="已裁定",OR(H180="",I180="",L180="",M180="",K180="")),"已裁定缺结果、依据或签核","格式已填；仍须人工复核")))</x:f>
      </x:c>
    </x:row>
    <x:row r="181" ht="44" customHeight="1">
      <x:c r="A181" s="9"/>
      <x:c r="B181" s="9"/>
      <x:c r="C181" s="9"/>
      <x:c r="D181" s="9"/>
      <x:c r="E181" s="9"/>
      <x:c r="F181" s="9"/>
      <x:c r="G181" s="9"/>
      <x:c r="H181" s="9"/>
      <x:c r="I181" s="9"/>
      <x:c r="J181" s="9"/>
      <x:c r="K181" s="9"/>
      <x:c r="L181" s="9"/>
      <x:c r="M181" s="9"/>
      <x:c r="N181" s="9"/>
      <x:c r="O181" s="9"/>
      <x:c r="P181" s="12" t="str">
        <x:f>IF(A181="","",IF(COUNTIF($A$6:$A$205,A181)&gt;1,"记录ID重复",IF(AND(O181="已裁定",OR(H181="",I181="",L181="",M181="",K181="")),"已裁定缺结果、依据或签核","格式已填；仍须人工复核")))</x:f>
      </x:c>
    </x:row>
    <x:row r="182" ht="44" customHeight="1">
      <x:c r="A182" s="9"/>
      <x:c r="B182" s="9"/>
      <x:c r="C182" s="9"/>
      <x:c r="D182" s="9"/>
      <x:c r="E182" s="9"/>
      <x:c r="F182" s="9"/>
      <x:c r="G182" s="9"/>
      <x:c r="H182" s="9"/>
      <x:c r="I182" s="9"/>
      <x:c r="J182" s="9"/>
      <x:c r="K182" s="9"/>
      <x:c r="L182" s="9"/>
      <x:c r="M182" s="9"/>
      <x:c r="N182" s="9"/>
      <x:c r="O182" s="9"/>
      <x:c r="P182" s="12" t="str">
        <x:f>IF(A182="","",IF(COUNTIF($A$6:$A$205,A182)&gt;1,"记录ID重复",IF(AND(O182="已裁定",OR(H182="",I182="",L182="",M182="",K182="")),"已裁定缺结果、依据或签核","格式已填；仍须人工复核")))</x:f>
      </x:c>
    </x:row>
    <x:row r="183" ht="44" customHeight="1">
      <x:c r="A183" s="9"/>
      <x:c r="B183" s="9"/>
      <x:c r="C183" s="9"/>
      <x:c r="D183" s="9"/>
      <x:c r="E183" s="9"/>
      <x:c r="F183" s="9"/>
      <x:c r="G183" s="9"/>
      <x:c r="H183" s="9"/>
      <x:c r="I183" s="9"/>
      <x:c r="J183" s="9"/>
      <x:c r="K183" s="9"/>
      <x:c r="L183" s="9"/>
      <x:c r="M183" s="9"/>
      <x:c r="N183" s="9"/>
      <x:c r="O183" s="9"/>
      <x:c r="P183" s="12" t="str">
        <x:f>IF(A183="","",IF(COUNTIF($A$6:$A$205,A183)&gt;1,"记录ID重复",IF(AND(O183="已裁定",OR(H183="",I183="",L183="",M183="",K183="")),"已裁定缺结果、依据或签核","格式已填；仍须人工复核")))</x:f>
      </x:c>
    </x:row>
    <x:row r="184" ht="44" customHeight="1">
      <x:c r="A184" s="9"/>
      <x:c r="B184" s="9"/>
      <x:c r="C184" s="9"/>
      <x:c r="D184" s="9"/>
      <x:c r="E184" s="9"/>
      <x:c r="F184" s="9"/>
      <x:c r="G184" s="9"/>
      <x:c r="H184" s="9"/>
      <x:c r="I184" s="9"/>
      <x:c r="J184" s="9"/>
      <x:c r="K184" s="9"/>
      <x:c r="L184" s="9"/>
      <x:c r="M184" s="9"/>
      <x:c r="N184" s="9"/>
      <x:c r="O184" s="9"/>
      <x:c r="P184" s="12" t="str">
        <x:f>IF(A184="","",IF(COUNTIF($A$6:$A$205,A184)&gt;1,"记录ID重复",IF(AND(O184="已裁定",OR(H184="",I184="",L184="",M184="",K184="")),"已裁定缺结果、依据或签核","格式已填；仍须人工复核")))</x:f>
      </x:c>
    </x:row>
    <x:row r="185" ht="44" customHeight="1">
      <x:c r="A185" s="9"/>
      <x:c r="B185" s="9"/>
      <x:c r="C185" s="9"/>
      <x:c r="D185" s="9"/>
      <x:c r="E185" s="9"/>
      <x:c r="F185" s="9"/>
      <x:c r="G185" s="9"/>
      <x:c r="H185" s="9"/>
      <x:c r="I185" s="9"/>
      <x:c r="J185" s="9"/>
      <x:c r="K185" s="9"/>
      <x:c r="L185" s="9"/>
      <x:c r="M185" s="9"/>
      <x:c r="N185" s="9"/>
      <x:c r="O185" s="9"/>
      <x:c r="P185" s="12" t="str">
        <x:f>IF(A185="","",IF(COUNTIF($A$6:$A$205,A185)&gt;1,"记录ID重复",IF(AND(O185="已裁定",OR(H185="",I185="",L185="",M185="",K185="")),"已裁定缺结果、依据或签核","格式已填；仍须人工复核")))</x:f>
      </x:c>
    </x:row>
    <x:row r="186" ht="44" customHeight="1">
      <x:c r="A186" s="9"/>
      <x:c r="B186" s="9"/>
      <x:c r="C186" s="9"/>
      <x:c r="D186" s="9"/>
      <x:c r="E186" s="9"/>
      <x:c r="F186" s="9"/>
      <x:c r="G186" s="9"/>
      <x:c r="H186" s="9"/>
      <x:c r="I186" s="9"/>
      <x:c r="J186" s="9"/>
      <x:c r="K186" s="9"/>
      <x:c r="L186" s="9"/>
      <x:c r="M186" s="9"/>
      <x:c r="N186" s="9"/>
      <x:c r="O186" s="9"/>
      <x:c r="P186" s="12" t="str">
        <x:f>IF(A186="","",IF(COUNTIF($A$6:$A$205,A186)&gt;1,"记录ID重复",IF(AND(O186="已裁定",OR(H186="",I186="",L186="",M186="",K186="")),"已裁定缺结果、依据或签核","格式已填；仍须人工复核")))</x:f>
      </x:c>
    </x:row>
    <x:row r="187" ht="44" customHeight="1">
      <x:c r="A187" s="9"/>
      <x:c r="B187" s="9"/>
      <x:c r="C187" s="9"/>
      <x:c r="D187" s="9"/>
      <x:c r="E187" s="9"/>
      <x:c r="F187" s="9"/>
      <x:c r="G187" s="9"/>
      <x:c r="H187" s="9"/>
      <x:c r="I187" s="9"/>
      <x:c r="J187" s="9"/>
      <x:c r="K187" s="9"/>
      <x:c r="L187" s="9"/>
      <x:c r="M187" s="9"/>
      <x:c r="N187" s="9"/>
      <x:c r="O187" s="9"/>
      <x:c r="P187" s="12" t="str">
        <x:f>IF(A187="","",IF(COUNTIF($A$6:$A$205,A187)&gt;1,"记录ID重复",IF(AND(O187="已裁定",OR(H187="",I187="",L187="",M187="",K187="")),"已裁定缺结果、依据或签核","格式已填；仍须人工复核")))</x:f>
      </x:c>
    </x:row>
    <x:row r="188" ht="44" customHeight="1">
      <x:c r="A188" s="9"/>
      <x:c r="B188" s="9"/>
      <x:c r="C188" s="9"/>
      <x:c r="D188" s="9"/>
      <x:c r="E188" s="9"/>
      <x:c r="F188" s="9"/>
      <x:c r="G188" s="9"/>
      <x:c r="H188" s="9"/>
      <x:c r="I188" s="9"/>
      <x:c r="J188" s="9"/>
      <x:c r="K188" s="9"/>
      <x:c r="L188" s="9"/>
      <x:c r="M188" s="9"/>
      <x:c r="N188" s="9"/>
      <x:c r="O188" s="9"/>
      <x:c r="P188" s="12" t="str">
        <x:f>IF(A188="","",IF(COUNTIF($A$6:$A$205,A188)&gt;1,"记录ID重复",IF(AND(O188="已裁定",OR(H188="",I188="",L188="",M188="",K188="")),"已裁定缺结果、依据或签核","格式已填；仍须人工复核")))</x:f>
      </x:c>
    </x:row>
    <x:row r="189" ht="44" customHeight="1">
      <x:c r="A189" s="9"/>
      <x:c r="B189" s="9"/>
      <x:c r="C189" s="9"/>
      <x:c r="D189" s="9"/>
      <x:c r="E189" s="9"/>
      <x:c r="F189" s="9"/>
      <x:c r="G189" s="9"/>
      <x:c r="H189" s="9"/>
      <x:c r="I189" s="9"/>
      <x:c r="J189" s="9"/>
      <x:c r="K189" s="9"/>
      <x:c r="L189" s="9"/>
      <x:c r="M189" s="9"/>
      <x:c r="N189" s="9"/>
      <x:c r="O189" s="9"/>
      <x:c r="P189" s="12" t="str">
        <x:f>IF(A189="","",IF(COUNTIF($A$6:$A$205,A189)&gt;1,"记录ID重复",IF(AND(O189="已裁定",OR(H189="",I189="",L189="",M189="",K189="")),"已裁定缺结果、依据或签核","格式已填；仍须人工复核")))</x:f>
      </x:c>
    </x:row>
    <x:row r="190" ht="44" customHeight="1">
      <x:c r="A190" s="9"/>
      <x:c r="B190" s="9"/>
      <x:c r="C190" s="9"/>
      <x:c r="D190" s="9"/>
      <x:c r="E190" s="9"/>
      <x:c r="F190" s="9"/>
      <x:c r="G190" s="9"/>
      <x:c r="H190" s="9"/>
      <x:c r="I190" s="9"/>
      <x:c r="J190" s="9"/>
      <x:c r="K190" s="9"/>
      <x:c r="L190" s="9"/>
      <x:c r="M190" s="9"/>
      <x:c r="N190" s="9"/>
      <x:c r="O190" s="9"/>
      <x:c r="P190" s="12" t="str">
        <x:f>IF(A190="","",IF(COUNTIF($A$6:$A$205,A190)&gt;1,"记录ID重复",IF(AND(O190="已裁定",OR(H190="",I190="",L190="",M190="",K190="")),"已裁定缺结果、依据或签核","格式已填；仍须人工复核")))</x:f>
      </x:c>
    </x:row>
    <x:row r="191" ht="44" customHeight="1">
      <x:c r="A191" s="9"/>
      <x:c r="B191" s="9"/>
      <x:c r="C191" s="9"/>
      <x:c r="D191" s="9"/>
      <x:c r="E191" s="9"/>
      <x:c r="F191" s="9"/>
      <x:c r="G191" s="9"/>
      <x:c r="H191" s="9"/>
      <x:c r="I191" s="9"/>
      <x:c r="J191" s="9"/>
      <x:c r="K191" s="9"/>
      <x:c r="L191" s="9"/>
      <x:c r="M191" s="9"/>
      <x:c r="N191" s="9"/>
      <x:c r="O191" s="9"/>
      <x:c r="P191" s="12" t="str">
        <x:f>IF(A191="","",IF(COUNTIF($A$6:$A$205,A191)&gt;1,"记录ID重复",IF(AND(O191="已裁定",OR(H191="",I191="",L191="",M191="",K191="")),"已裁定缺结果、依据或签核","格式已填；仍须人工复核")))</x:f>
      </x:c>
    </x:row>
    <x:row r="192" ht="44" customHeight="1">
      <x:c r="A192" s="9"/>
      <x:c r="B192" s="9"/>
      <x:c r="C192" s="9"/>
      <x:c r="D192" s="9"/>
      <x:c r="E192" s="9"/>
      <x:c r="F192" s="9"/>
      <x:c r="G192" s="9"/>
      <x:c r="H192" s="9"/>
      <x:c r="I192" s="9"/>
      <x:c r="J192" s="9"/>
      <x:c r="K192" s="9"/>
      <x:c r="L192" s="9"/>
      <x:c r="M192" s="9"/>
      <x:c r="N192" s="9"/>
      <x:c r="O192" s="9"/>
      <x:c r="P192" s="12" t="str">
        <x:f>IF(A192="","",IF(COUNTIF($A$6:$A$205,A192)&gt;1,"记录ID重复",IF(AND(O192="已裁定",OR(H192="",I192="",L192="",M192="",K192="")),"已裁定缺结果、依据或签核","格式已填；仍须人工复核")))</x:f>
      </x:c>
    </x:row>
    <x:row r="193" ht="44" customHeight="1">
      <x:c r="A193" s="9"/>
      <x:c r="B193" s="9"/>
      <x:c r="C193" s="9"/>
      <x:c r="D193" s="9"/>
      <x:c r="E193" s="9"/>
      <x:c r="F193" s="9"/>
      <x:c r="G193" s="9"/>
      <x:c r="H193" s="9"/>
      <x:c r="I193" s="9"/>
      <x:c r="J193" s="9"/>
      <x:c r="K193" s="9"/>
      <x:c r="L193" s="9"/>
      <x:c r="M193" s="9"/>
      <x:c r="N193" s="9"/>
      <x:c r="O193" s="9"/>
      <x:c r="P193" s="12" t="str">
        <x:f>IF(A193="","",IF(COUNTIF($A$6:$A$205,A193)&gt;1,"记录ID重复",IF(AND(O193="已裁定",OR(H193="",I193="",L193="",M193="",K193="")),"已裁定缺结果、依据或签核","格式已填；仍须人工复核")))</x:f>
      </x:c>
    </x:row>
    <x:row r="194" ht="44" customHeight="1">
      <x:c r="A194" s="9"/>
      <x:c r="B194" s="9"/>
      <x:c r="C194" s="9"/>
      <x:c r="D194" s="9"/>
      <x:c r="E194" s="9"/>
      <x:c r="F194" s="9"/>
      <x:c r="G194" s="9"/>
      <x:c r="H194" s="9"/>
      <x:c r="I194" s="9"/>
      <x:c r="J194" s="9"/>
      <x:c r="K194" s="9"/>
      <x:c r="L194" s="9"/>
      <x:c r="M194" s="9"/>
      <x:c r="N194" s="9"/>
      <x:c r="O194" s="9"/>
      <x:c r="P194" s="12" t="str">
        <x:f>IF(A194="","",IF(COUNTIF($A$6:$A$205,A194)&gt;1,"记录ID重复",IF(AND(O194="已裁定",OR(H194="",I194="",L194="",M194="",K194="")),"已裁定缺结果、依据或签核","格式已填；仍须人工复核")))</x:f>
      </x:c>
    </x:row>
    <x:row r="195" ht="44" customHeight="1">
      <x:c r="A195" s="9"/>
      <x:c r="B195" s="9"/>
      <x:c r="C195" s="9"/>
      <x:c r="D195" s="9"/>
      <x:c r="E195" s="9"/>
      <x:c r="F195" s="9"/>
      <x:c r="G195" s="9"/>
      <x:c r="H195" s="9"/>
      <x:c r="I195" s="9"/>
      <x:c r="J195" s="9"/>
      <x:c r="K195" s="9"/>
      <x:c r="L195" s="9"/>
      <x:c r="M195" s="9"/>
      <x:c r="N195" s="9"/>
      <x:c r="O195" s="9"/>
      <x:c r="P195" s="12" t="str">
        <x:f>IF(A195="","",IF(COUNTIF($A$6:$A$205,A195)&gt;1,"记录ID重复",IF(AND(O195="已裁定",OR(H195="",I195="",L195="",M195="",K195="")),"已裁定缺结果、依据或签核","格式已填；仍须人工复核")))</x:f>
      </x:c>
    </x:row>
    <x:row r="196" ht="44" customHeight="1">
      <x:c r="A196" s="9"/>
      <x:c r="B196" s="9"/>
      <x:c r="C196" s="9"/>
      <x:c r="D196" s="9"/>
      <x:c r="E196" s="9"/>
      <x:c r="F196" s="9"/>
      <x:c r="G196" s="9"/>
      <x:c r="H196" s="9"/>
      <x:c r="I196" s="9"/>
      <x:c r="J196" s="9"/>
      <x:c r="K196" s="9"/>
      <x:c r="L196" s="9"/>
      <x:c r="M196" s="9"/>
      <x:c r="N196" s="9"/>
      <x:c r="O196" s="9"/>
      <x:c r="P196" s="12" t="str">
        <x:f>IF(A196="","",IF(COUNTIF($A$6:$A$205,A196)&gt;1,"记录ID重复",IF(AND(O196="已裁定",OR(H196="",I196="",L196="",M196="",K196="")),"已裁定缺结果、依据或签核","格式已填；仍须人工复核")))</x:f>
      </x:c>
    </x:row>
    <x:row r="197" ht="44" customHeight="1">
      <x:c r="A197" s="9"/>
      <x:c r="B197" s="9"/>
      <x:c r="C197" s="9"/>
      <x:c r="D197" s="9"/>
      <x:c r="E197" s="9"/>
      <x:c r="F197" s="9"/>
      <x:c r="G197" s="9"/>
      <x:c r="H197" s="9"/>
      <x:c r="I197" s="9"/>
      <x:c r="J197" s="9"/>
      <x:c r="K197" s="9"/>
      <x:c r="L197" s="9"/>
      <x:c r="M197" s="9"/>
      <x:c r="N197" s="9"/>
      <x:c r="O197" s="9"/>
      <x:c r="P197" s="12" t="str">
        <x:f>IF(A197="","",IF(COUNTIF($A$6:$A$205,A197)&gt;1,"记录ID重复",IF(AND(O197="已裁定",OR(H197="",I197="",L197="",M197="",K197="")),"已裁定缺结果、依据或签核","格式已填；仍须人工复核")))</x:f>
      </x:c>
    </x:row>
    <x:row r="198" ht="44" customHeight="1">
      <x:c r="A198" s="9"/>
      <x:c r="B198" s="9"/>
      <x:c r="C198" s="9"/>
      <x:c r="D198" s="9"/>
      <x:c r="E198" s="9"/>
      <x:c r="F198" s="9"/>
      <x:c r="G198" s="9"/>
      <x:c r="H198" s="9"/>
      <x:c r="I198" s="9"/>
      <x:c r="J198" s="9"/>
      <x:c r="K198" s="9"/>
      <x:c r="L198" s="9"/>
      <x:c r="M198" s="9"/>
      <x:c r="N198" s="9"/>
      <x:c r="O198" s="9"/>
      <x:c r="P198" s="12" t="str">
        <x:f>IF(A198="","",IF(COUNTIF($A$6:$A$205,A198)&gt;1,"记录ID重复",IF(AND(O198="已裁定",OR(H198="",I198="",L198="",M198="",K198="")),"已裁定缺结果、依据或签核","格式已填；仍须人工复核")))</x:f>
      </x:c>
    </x:row>
    <x:row r="199" ht="44" customHeight="1">
      <x:c r="A199" s="9"/>
      <x:c r="B199" s="9"/>
      <x:c r="C199" s="9"/>
      <x:c r="D199" s="9"/>
      <x:c r="E199" s="9"/>
      <x:c r="F199" s="9"/>
      <x:c r="G199" s="9"/>
      <x:c r="H199" s="9"/>
      <x:c r="I199" s="9"/>
      <x:c r="J199" s="9"/>
      <x:c r="K199" s="9"/>
      <x:c r="L199" s="9"/>
      <x:c r="M199" s="9"/>
      <x:c r="N199" s="9"/>
      <x:c r="O199" s="9"/>
      <x:c r="P199" s="12" t="str">
        <x:f>IF(A199="","",IF(COUNTIF($A$6:$A$205,A199)&gt;1,"记录ID重复",IF(AND(O199="已裁定",OR(H199="",I199="",L199="",M199="",K199="")),"已裁定缺结果、依据或签核","格式已填；仍须人工复核")))</x:f>
      </x:c>
    </x:row>
    <x:row r="200" ht="44" customHeight="1">
      <x:c r="A200" s="9"/>
      <x:c r="B200" s="9"/>
      <x:c r="C200" s="9"/>
      <x:c r="D200" s="9"/>
      <x:c r="E200" s="9"/>
      <x:c r="F200" s="9"/>
      <x:c r="G200" s="9"/>
      <x:c r="H200" s="9"/>
      <x:c r="I200" s="9"/>
      <x:c r="J200" s="9"/>
      <x:c r="K200" s="9"/>
      <x:c r="L200" s="9"/>
      <x:c r="M200" s="9"/>
      <x:c r="N200" s="9"/>
      <x:c r="O200" s="9"/>
      <x:c r="P200" s="12" t="str">
        <x:f>IF(A200="","",IF(COUNTIF($A$6:$A$205,A200)&gt;1,"记录ID重复",IF(AND(O200="已裁定",OR(H200="",I200="",L200="",M200="",K200="")),"已裁定缺结果、依据或签核","格式已填；仍须人工复核")))</x:f>
      </x:c>
    </x:row>
    <x:row r="201" ht="44" customHeight="1">
      <x:c r="A201" s="9"/>
      <x:c r="B201" s="9"/>
      <x:c r="C201" s="9"/>
      <x:c r="D201" s="9"/>
      <x:c r="E201" s="9"/>
      <x:c r="F201" s="9"/>
      <x:c r="G201" s="9"/>
      <x:c r="H201" s="9"/>
      <x:c r="I201" s="9"/>
      <x:c r="J201" s="9"/>
      <x:c r="K201" s="9"/>
      <x:c r="L201" s="9"/>
      <x:c r="M201" s="9"/>
      <x:c r="N201" s="9"/>
      <x:c r="O201" s="9"/>
      <x:c r="P201" s="12" t="str">
        <x:f>IF(A201="","",IF(COUNTIF($A$6:$A$205,A201)&gt;1,"记录ID重复",IF(AND(O201="已裁定",OR(H201="",I201="",L201="",M201="",K201="")),"已裁定缺结果、依据或签核","格式已填；仍须人工复核")))</x:f>
      </x:c>
    </x:row>
    <x:row r="202" ht="44" customHeight="1">
      <x:c r="A202" s="9"/>
      <x:c r="B202" s="9"/>
      <x:c r="C202" s="9"/>
      <x:c r="D202" s="9"/>
      <x:c r="E202" s="9"/>
      <x:c r="F202" s="9"/>
      <x:c r="G202" s="9"/>
      <x:c r="H202" s="9"/>
      <x:c r="I202" s="9"/>
      <x:c r="J202" s="9"/>
      <x:c r="K202" s="9"/>
      <x:c r="L202" s="9"/>
      <x:c r="M202" s="9"/>
      <x:c r="N202" s="9"/>
      <x:c r="O202" s="9"/>
      <x:c r="P202" s="12" t="str">
        <x:f>IF(A202="","",IF(COUNTIF($A$6:$A$205,A202)&gt;1,"记录ID重复",IF(AND(O202="已裁定",OR(H202="",I202="",L202="",M202="",K202="")),"已裁定缺结果、依据或签核","格式已填；仍须人工复核")))</x:f>
      </x:c>
    </x:row>
    <x:row r="203" ht="44" customHeight="1">
      <x:c r="A203" s="9"/>
      <x:c r="B203" s="9"/>
      <x:c r="C203" s="9"/>
      <x:c r="D203" s="9"/>
      <x:c r="E203" s="9"/>
      <x:c r="F203" s="9"/>
      <x:c r="G203" s="9"/>
      <x:c r="H203" s="9"/>
      <x:c r="I203" s="9"/>
      <x:c r="J203" s="9"/>
      <x:c r="K203" s="9"/>
      <x:c r="L203" s="9"/>
      <x:c r="M203" s="9"/>
      <x:c r="N203" s="9"/>
      <x:c r="O203" s="9"/>
      <x:c r="P203" s="12" t="str">
        <x:f>IF(A203="","",IF(COUNTIF($A$6:$A$205,A203)&gt;1,"记录ID重复",IF(AND(O203="已裁定",OR(H203="",I203="",L203="",M203="",K203="")),"已裁定缺结果、依据或签核","格式已填；仍须人工复核")))</x:f>
      </x:c>
    </x:row>
    <x:row r="204" ht="44" customHeight="1">
      <x:c r="A204" s="9"/>
      <x:c r="B204" s="9"/>
      <x:c r="C204" s="9"/>
      <x:c r="D204" s="9"/>
      <x:c r="E204" s="9"/>
      <x:c r="F204" s="9"/>
      <x:c r="G204" s="9"/>
      <x:c r="H204" s="9"/>
      <x:c r="I204" s="9"/>
      <x:c r="J204" s="9"/>
      <x:c r="K204" s="9"/>
      <x:c r="L204" s="9"/>
      <x:c r="M204" s="9"/>
      <x:c r="N204" s="9"/>
      <x:c r="O204" s="9"/>
      <x:c r="P204" s="12" t="str">
        <x:f>IF(A204="","",IF(COUNTIF($A$6:$A$205,A204)&gt;1,"记录ID重复",IF(AND(O204="已裁定",OR(H204="",I204="",L204="",M204="",K204="")),"已裁定缺结果、依据或签核","格式已填；仍须人工复核")))</x:f>
      </x:c>
    </x:row>
    <x:row r="205" ht="44" customHeight="1">
      <x:c r="A205" s="9"/>
      <x:c r="B205" s="9"/>
      <x:c r="C205" s="9"/>
      <x:c r="D205" s="9"/>
      <x:c r="E205" s="9"/>
      <x:c r="F205" s="9"/>
      <x:c r="G205" s="9"/>
      <x:c r="H205" s="9"/>
      <x:c r="I205" s="9"/>
      <x:c r="J205" s="9"/>
      <x:c r="K205" s="9"/>
      <x:c r="L205" s="9"/>
      <x:c r="M205" s="9"/>
      <x:c r="N205" s="9"/>
      <x:c r="O205" s="9"/>
      <x:c r="P205" s="12" t="str">
        <x:f>IF(A205="","",IF(COUNTIF($A$6:$A$205,A205)&gt;1,"记录ID重复",IF(AND(O205="已裁定",OR(H205="",I205="",L205="",M205="",K205="")),"已裁定缺结果、依据或签核","格式已填；仍须人工复核")))</x:f>
      </x:c>
    </x:row>
  </x:sheetData>
  <x:mergeCells>
    <x:mergeCell ref="A1:H1"/>
    <x:mergeCell ref="A2:L2"/>
    <x:mergeCell ref="A3:L3"/>
  </x:mergeCells>
  <x:conditionalFormatting sqref="P6:P205">
    <x:cfRule type="containsText" dxfId="3" priority="1" operator="containsText" text="须"/>
  </x:conditionalFormatting>
  <x:dataValidations count="1">
    <x:dataValidation type="list" sqref="O6:O205">
      <x:formula1>'标注选项'!$B$88:$B$91</x:formula1>
    </x:dataValidation>
  </x:dataValidations>
  <x:pageMargins left="0.7" right="0.7" top="0.75" bottom="0.75" header="0.3" footer="0.3"/>
  <x:legacyDrawing xmlns:r="http://schemas.openxmlformats.org/officeDocument/2006/relationships" r:id="Re8095111ccca470a"/>
  <x:tableParts count="1">
    <x:tablePart xmlns:r="http://schemas.openxmlformats.org/officeDocument/2006/relationships" r:id="R4bea7980af1d4e93"/>
  </x:tableParts>
</x:worksheet>
</file>

<file path=xl/worksheets/sheet8.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22" hidden="0" customWidth="1"/>
    <x:col min="4" max="4" width="38" hidden="0" customWidth="1"/>
    <x:col min="5" max="5" width="22" hidden="0" customWidth="1"/>
    <x:col min="6" max="6" width="58" hidden="0" customWidth="1"/>
    <x:col min="7" max="7" width="38" hidden="0" customWidth="1"/>
    <x:col min="8" max="8" width="38" hidden="0" customWidth="1"/>
    <x:col min="9" max="9" width="38" hidden="0" customWidth="1"/>
    <x:col min="10" max="10" width="58" hidden="0" customWidth="1"/>
    <x:col min="11" max="11" width="22" hidden="0" customWidth="1"/>
    <x:col min="12" max="12" width="38" hidden="0" customWidth="1"/>
    <x:col min="13" max="13" width="38" hidden="0" customWidth="1"/>
    <x:col min="14" max="14" width="40" hidden="0" customWidth="1"/>
  </x:cols>
  <x:sheetData>
    <x:row r="1" ht="38" customHeight="1">
      <x:c r="A1" s="5" t="str">
        <x:v>摘要验收</x:v>
      </x:c>
      <x:c r="B1" s="5"/>
      <x:c r="C1" s="5"/>
      <x:c r="D1" s="5"/>
      <x:c r="E1" s="5"/>
      <x:c r="F1" s="5"/>
      <x:c r="G1" s="5"/>
      <x:c r="H1" s="5"/>
      <x:c r="I1" s="3"/>
      <x:c r="J1" s="3"/>
      <x:c r="K1" s="3"/>
      <x:c r="L1" s="3"/>
      <x:c r="M1" s="3"/>
      <x:c r="N1" s="3"/>
    </x:row>
    <x:row r="2" ht="36" customHeight="1">
      <x:c r="A2" s="6" t="str">
        <x:v>先写期望要求，真实试跑后再填实际输出；不同运行ID分别记录，不能覆盖。</x:v>
      </x:c>
      <x:c r="B2" s="6"/>
      <x:c r="C2" s="6"/>
      <x:c r="D2" s="6"/>
      <x:c r="E2" s="6"/>
      <x:c r="F2" s="6"/>
      <x:c r="G2" s="6"/>
      <x:c r="H2" s="6"/>
      <x:c r="I2" s="6"/>
      <x:c r="J2" s="6"/>
      <x:c r="K2" s="6"/>
      <x:c r="L2" s="6"/>
      <x:c r="M2" s="6"/>
      <x:c r="N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row>
    <x:row r="4" ht="44" customHeight="1">
      <x:c r="A4" s="3"/>
      <x:c r="B4" s="3"/>
      <x:c r="C4" s="3"/>
      <x:c r="D4" s="3"/>
      <x:c r="E4" s="3"/>
      <x:c r="F4" s="3"/>
      <x:c r="G4" s="3"/>
      <x:c r="H4" s="3"/>
      <x:c r="I4" s="3"/>
      <x:c r="J4" s="3"/>
      <x:c r="K4" s="3"/>
      <x:c r="L4" s="3"/>
      <x:c r="M4" s="3"/>
      <x:c r="N4" s="3"/>
    </x:row>
    <x:row r="5" ht="48" customHeight="1">
      <x:c r="A5" s="10" t="str">
        <x:v>验收记录ID</x:v>
      </x:c>
      <x:c r="B5" s="10" t="str">
        <x:v>案件ID</x:v>
      </x:c>
      <x:c r="C5" s="10" t="str">
        <x:v>运行ID</x:v>
      </x:c>
      <x:c r="D5" s="10" t="str">
        <x:v>验收维度</x:v>
      </x:c>
      <x:c r="E5" s="10" t="str">
        <x:v>关联金标准事实ID</x:v>
      </x:c>
      <x:c r="F5" s="10" t="str">
        <x:v>期望要求与允许表达</x:v>
      </x:c>
      <x:c r="G5" s="10" t="str">
        <x:v>参考摘要位置与版本</x:v>
      </x:c>
      <x:c r="H5" s="10" t="str">
        <x:v>实际输出位置及片段</x:v>
      </x:c>
      <x:c r="I5" s="10" t="str">
        <x:v>实测结论</x:v>
      </x:c>
      <x:c r="J5" s="10" t="str">
        <x:v>错误及理由</x:v>
      </x:c>
      <x:c r="K5" s="10" t="str">
        <x:v>关联反馈ID</x:v>
      </x:c>
      <x:c r="L5" s="10" t="str">
        <x:v>评价人</x:v>
      </x:c>
      <x:c r="M5" s="10" t="str">
        <x:v>指南与规则版本</x:v>
      </x:c>
      <x:c r="N5" s="10" t="str">
        <x:v>质检提示</x:v>
      </x:c>
    </x:row>
    <x:row r="6" ht="44" customHeight="1">
      <x:c r="A6" s="9"/>
      <x:c r="B6" s="9"/>
      <x:c r="C6" s="9"/>
      <x:c r="D6" s="9"/>
      <x:c r="E6" s="9"/>
      <x:c r="F6" s="9"/>
      <x:c r="G6" s="9"/>
      <x:c r="H6" s="9"/>
      <x:c r="I6" s="9"/>
      <x:c r="J6" s="9"/>
      <x:c r="K6" s="9"/>
      <x:c r="L6" s="9"/>
      <x:c r="M6" s="9"/>
      <x:c r="N6" s="12" t="str">
        <x:f>IF(A6="","",IF(COUNTIF($A$6:$A$305,A6)&gt;1,"记录ID重复",IF(COUNTIF('案件索引'!$A$6:$A$105,B6)=0,"案件ID未登记",IF(AND(I6="通过",OR(C6="",H6="",L6="")),"通过须有运行、输出和评价人","格式已填；仍须人工复核"))))</x:f>
      </x:c>
    </x:row>
    <x:row r="7" ht="44" customHeight="1">
      <x:c r="A7" s="9"/>
      <x:c r="B7" s="9"/>
      <x:c r="C7" s="9"/>
      <x:c r="D7" s="9"/>
      <x:c r="E7" s="9"/>
      <x:c r="F7" s="9"/>
      <x:c r="G7" s="9"/>
      <x:c r="H7" s="9"/>
      <x:c r="I7" s="9"/>
      <x:c r="J7" s="9"/>
      <x:c r="K7" s="9"/>
      <x:c r="L7" s="9"/>
      <x:c r="M7" s="9"/>
      <x:c r="N7" s="12" t="str">
        <x:f>IF(A7="","",IF(COUNTIF($A$6:$A$305,A7)&gt;1,"记录ID重复",IF(COUNTIF('案件索引'!$A$6:$A$105,B7)=0,"案件ID未登记",IF(AND(I7="通过",OR(C7="",H7="",L7="")),"通过须有运行、输出和评价人","格式已填；仍须人工复核"))))</x:f>
      </x:c>
    </x:row>
    <x:row r="8" ht="44" customHeight="1">
      <x:c r="A8" s="9"/>
      <x:c r="B8" s="9"/>
      <x:c r="C8" s="9"/>
      <x:c r="D8" s="9"/>
      <x:c r="E8" s="9"/>
      <x:c r="F8" s="9"/>
      <x:c r="G8" s="9"/>
      <x:c r="H8" s="9"/>
      <x:c r="I8" s="9"/>
      <x:c r="J8" s="9"/>
      <x:c r="K8" s="9"/>
      <x:c r="L8" s="9"/>
      <x:c r="M8" s="9"/>
      <x:c r="N8" s="12" t="str">
        <x:f>IF(A8="","",IF(COUNTIF($A$6:$A$305,A8)&gt;1,"记录ID重复",IF(COUNTIF('案件索引'!$A$6:$A$105,B8)=0,"案件ID未登记",IF(AND(I8="通过",OR(C8="",H8="",L8="")),"通过须有运行、输出和评价人","格式已填；仍须人工复核"))))</x:f>
      </x:c>
    </x:row>
    <x:row r="9" ht="44" customHeight="1">
      <x:c r="A9" s="9"/>
      <x:c r="B9" s="9"/>
      <x:c r="C9" s="9"/>
      <x:c r="D9" s="9"/>
      <x:c r="E9" s="9"/>
      <x:c r="F9" s="9"/>
      <x:c r="G9" s="9"/>
      <x:c r="H9" s="9"/>
      <x:c r="I9" s="9"/>
      <x:c r="J9" s="9"/>
      <x:c r="K9" s="9"/>
      <x:c r="L9" s="9"/>
      <x:c r="M9" s="9"/>
      <x:c r="N9" s="12" t="str">
        <x:f>IF(A9="","",IF(COUNTIF($A$6:$A$305,A9)&gt;1,"记录ID重复",IF(COUNTIF('案件索引'!$A$6:$A$105,B9)=0,"案件ID未登记",IF(AND(I9="通过",OR(C9="",H9="",L9="")),"通过须有运行、输出和评价人","格式已填；仍须人工复核"))))</x:f>
      </x:c>
    </x:row>
    <x:row r="10" ht="44" customHeight="1">
      <x:c r="A10" s="9"/>
      <x:c r="B10" s="9"/>
      <x:c r="C10" s="9"/>
      <x:c r="D10" s="9"/>
      <x:c r="E10" s="9"/>
      <x:c r="F10" s="9"/>
      <x:c r="G10" s="9"/>
      <x:c r="H10" s="9"/>
      <x:c r="I10" s="9"/>
      <x:c r="J10" s="9"/>
      <x:c r="K10" s="9"/>
      <x:c r="L10" s="9"/>
      <x:c r="M10" s="9"/>
      <x:c r="N10" s="12" t="str">
        <x:f>IF(A10="","",IF(COUNTIF($A$6:$A$305,A10)&gt;1,"记录ID重复",IF(COUNTIF('案件索引'!$A$6:$A$105,B10)=0,"案件ID未登记",IF(AND(I10="通过",OR(C10="",H10="",L10="")),"通过须有运行、输出和评价人","格式已填；仍须人工复核"))))</x:f>
      </x:c>
    </x:row>
    <x:row r="11" ht="44" customHeight="1">
      <x:c r="A11" s="9"/>
      <x:c r="B11" s="9"/>
      <x:c r="C11" s="9"/>
      <x:c r="D11" s="9"/>
      <x:c r="E11" s="9"/>
      <x:c r="F11" s="9"/>
      <x:c r="G11" s="9"/>
      <x:c r="H11" s="9"/>
      <x:c r="I11" s="9"/>
      <x:c r="J11" s="9"/>
      <x:c r="K11" s="9"/>
      <x:c r="L11" s="9"/>
      <x:c r="M11" s="9"/>
      <x:c r="N11" s="12" t="str">
        <x:f>IF(A11="","",IF(COUNTIF($A$6:$A$305,A11)&gt;1,"记录ID重复",IF(COUNTIF('案件索引'!$A$6:$A$105,B11)=0,"案件ID未登记",IF(AND(I11="通过",OR(C11="",H11="",L11="")),"通过须有运行、输出和评价人","格式已填；仍须人工复核"))))</x:f>
      </x:c>
    </x:row>
    <x:row r="12" ht="44" customHeight="1">
      <x:c r="A12" s="9"/>
      <x:c r="B12" s="9"/>
      <x:c r="C12" s="9"/>
      <x:c r="D12" s="9"/>
      <x:c r="E12" s="9"/>
      <x:c r="F12" s="9"/>
      <x:c r="G12" s="9"/>
      <x:c r="H12" s="9"/>
      <x:c r="I12" s="9"/>
      <x:c r="J12" s="9"/>
      <x:c r="K12" s="9"/>
      <x:c r="L12" s="9"/>
      <x:c r="M12" s="9"/>
      <x:c r="N12" s="12" t="str">
        <x:f>IF(A12="","",IF(COUNTIF($A$6:$A$305,A12)&gt;1,"记录ID重复",IF(COUNTIF('案件索引'!$A$6:$A$105,B12)=0,"案件ID未登记",IF(AND(I12="通过",OR(C12="",H12="",L12="")),"通过须有运行、输出和评价人","格式已填；仍须人工复核"))))</x:f>
      </x:c>
    </x:row>
    <x:row r="13" ht="44" customHeight="1">
      <x:c r="A13" s="9"/>
      <x:c r="B13" s="9"/>
      <x:c r="C13" s="9"/>
      <x:c r="D13" s="9"/>
      <x:c r="E13" s="9"/>
      <x:c r="F13" s="9"/>
      <x:c r="G13" s="9"/>
      <x:c r="H13" s="9"/>
      <x:c r="I13" s="9"/>
      <x:c r="J13" s="9"/>
      <x:c r="K13" s="9"/>
      <x:c r="L13" s="9"/>
      <x:c r="M13" s="9"/>
      <x:c r="N13" s="12" t="str">
        <x:f>IF(A13="","",IF(COUNTIF($A$6:$A$305,A13)&gt;1,"记录ID重复",IF(COUNTIF('案件索引'!$A$6:$A$105,B13)=0,"案件ID未登记",IF(AND(I13="通过",OR(C13="",H13="",L13="")),"通过须有运行、输出和评价人","格式已填；仍须人工复核"))))</x:f>
      </x:c>
    </x:row>
    <x:row r="14" ht="44" customHeight="1">
      <x:c r="A14" s="9"/>
      <x:c r="B14" s="9"/>
      <x:c r="C14" s="9"/>
      <x:c r="D14" s="9"/>
      <x:c r="E14" s="9"/>
      <x:c r="F14" s="9"/>
      <x:c r="G14" s="9"/>
      <x:c r="H14" s="9"/>
      <x:c r="I14" s="9"/>
      <x:c r="J14" s="9"/>
      <x:c r="K14" s="9"/>
      <x:c r="L14" s="9"/>
      <x:c r="M14" s="9"/>
      <x:c r="N14" s="12" t="str">
        <x:f>IF(A14="","",IF(COUNTIF($A$6:$A$305,A14)&gt;1,"记录ID重复",IF(COUNTIF('案件索引'!$A$6:$A$105,B14)=0,"案件ID未登记",IF(AND(I14="通过",OR(C14="",H14="",L14="")),"通过须有运行、输出和评价人","格式已填；仍须人工复核"))))</x:f>
      </x:c>
    </x:row>
    <x:row r="15" ht="44" customHeight="1">
      <x:c r="A15" s="9"/>
      <x:c r="B15" s="9"/>
      <x:c r="C15" s="9"/>
      <x:c r="D15" s="9"/>
      <x:c r="E15" s="9"/>
      <x:c r="F15" s="9"/>
      <x:c r="G15" s="9"/>
      <x:c r="H15" s="9"/>
      <x:c r="I15" s="9"/>
      <x:c r="J15" s="9"/>
      <x:c r="K15" s="9"/>
      <x:c r="L15" s="9"/>
      <x:c r="M15" s="9"/>
      <x:c r="N15" s="12" t="str">
        <x:f>IF(A15="","",IF(COUNTIF($A$6:$A$305,A15)&gt;1,"记录ID重复",IF(COUNTIF('案件索引'!$A$6:$A$105,B15)=0,"案件ID未登记",IF(AND(I15="通过",OR(C15="",H15="",L15="")),"通过须有运行、输出和评价人","格式已填；仍须人工复核"))))</x:f>
      </x:c>
    </x:row>
    <x:row r="16" ht="44" customHeight="1">
      <x:c r="A16" s="9"/>
      <x:c r="B16" s="9"/>
      <x:c r="C16" s="9"/>
      <x:c r="D16" s="9"/>
      <x:c r="E16" s="9"/>
      <x:c r="F16" s="9"/>
      <x:c r="G16" s="9"/>
      <x:c r="H16" s="9"/>
      <x:c r="I16" s="9"/>
      <x:c r="J16" s="9"/>
      <x:c r="K16" s="9"/>
      <x:c r="L16" s="9"/>
      <x:c r="M16" s="9"/>
      <x:c r="N16" s="12" t="str">
        <x:f>IF(A16="","",IF(COUNTIF($A$6:$A$305,A16)&gt;1,"记录ID重复",IF(COUNTIF('案件索引'!$A$6:$A$105,B16)=0,"案件ID未登记",IF(AND(I16="通过",OR(C16="",H16="",L16="")),"通过须有运行、输出和评价人","格式已填；仍须人工复核"))))</x:f>
      </x:c>
    </x:row>
    <x:row r="17" ht="44" customHeight="1">
      <x:c r="A17" s="9"/>
      <x:c r="B17" s="9"/>
      <x:c r="C17" s="9"/>
      <x:c r="D17" s="9"/>
      <x:c r="E17" s="9"/>
      <x:c r="F17" s="9"/>
      <x:c r="G17" s="9"/>
      <x:c r="H17" s="9"/>
      <x:c r="I17" s="9"/>
      <x:c r="J17" s="9"/>
      <x:c r="K17" s="9"/>
      <x:c r="L17" s="9"/>
      <x:c r="M17" s="9"/>
      <x:c r="N17" s="12" t="str">
        <x:f>IF(A17="","",IF(COUNTIF($A$6:$A$305,A17)&gt;1,"记录ID重复",IF(COUNTIF('案件索引'!$A$6:$A$105,B17)=0,"案件ID未登记",IF(AND(I17="通过",OR(C17="",H17="",L17="")),"通过须有运行、输出和评价人","格式已填；仍须人工复核"))))</x:f>
      </x:c>
    </x:row>
    <x:row r="18" ht="44" customHeight="1">
      <x:c r="A18" s="9"/>
      <x:c r="B18" s="9"/>
      <x:c r="C18" s="9"/>
      <x:c r="D18" s="9"/>
      <x:c r="E18" s="9"/>
      <x:c r="F18" s="9"/>
      <x:c r="G18" s="9"/>
      <x:c r="H18" s="9"/>
      <x:c r="I18" s="9"/>
      <x:c r="J18" s="9"/>
      <x:c r="K18" s="9"/>
      <x:c r="L18" s="9"/>
      <x:c r="M18" s="9"/>
      <x:c r="N18" s="12" t="str">
        <x:f>IF(A18="","",IF(COUNTIF($A$6:$A$305,A18)&gt;1,"记录ID重复",IF(COUNTIF('案件索引'!$A$6:$A$105,B18)=0,"案件ID未登记",IF(AND(I18="通过",OR(C18="",H18="",L18="")),"通过须有运行、输出和评价人","格式已填；仍须人工复核"))))</x:f>
      </x:c>
    </x:row>
    <x:row r="19" ht="44" customHeight="1">
      <x:c r="A19" s="9"/>
      <x:c r="B19" s="9"/>
      <x:c r="C19" s="9"/>
      <x:c r="D19" s="9"/>
      <x:c r="E19" s="9"/>
      <x:c r="F19" s="9"/>
      <x:c r="G19" s="9"/>
      <x:c r="H19" s="9"/>
      <x:c r="I19" s="9"/>
      <x:c r="J19" s="9"/>
      <x:c r="K19" s="9"/>
      <x:c r="L19" s="9"/>
      <x:c r="M19" s="9"/>
      <x:c r="N19" s="12" t="str">
        <x:f>IF(A19="","",IF(COUNTIF($A$6:$A$305,A19)&gt;1,"记录ID重复",IF(COUNTIF('案件索引'!$A$6:$A$105,B19)=0,"案件ID未登记",IF(AND(I19="通过",OR(C19="",H19="",L19="")),"通过须有运行、输出和评价人","格式已填；仍须人工复核"))))</x:f>
      </x:c>
    </x:row>
    <x:row r="20" ht="44" customHeight="1">
      <x:c r="A20" s="9"/>
      <x:c r="B20" s="9"/>
      <x:c r="C20" s="9"/>
      <x:c r="D20" s="9"/>
      <x:c r="E20" s="9"/>
      <x:c r="F20" s="9"/>
      <x:c r="G20" s="9"/>
      <x:c r="H20" s="9"/>
      <x:c r="I20" s="9"/>
      <x:c r="J20" s="9"/>
      <x:c r="K20" s="9"/>
      <x:c r="L20" s="9"/>
      <x:c r="M20" s="9"/>
      <x:c r="N20" s="12" t="str">
        <x:f>IF(A20="","",IF(COUNTIF($A$6:$A$305,A20)&gt;1,"记录ID重复",IF(COUNTIF('案件索引'!$A$6:$A$105,B20)=0,"案件ID未登记",IF(AND(I20="通过",OR(C20="",H20="",L20="")),"通过须有运行、输出和评价人","格式已填；仍须人工复核"))))</x:f>
      </x:c>
    </x:row>
    <x:row r="21" ht="44" customHeight="1">
      <x:c r="A21" s="9"/>
      <x:c r="B21" s="9"/>
      <x:c r="C21" s="9"/>
      <x:c r="D21" s="9"/>
      <x:c r="E21" s="9"/>
      <x:c r="F21" s="9"/>
      <x:c r="G21" s="9"/>
      <x:c r="H21" s="9"/>
      <x:c r="I21" s="9"/>
      <x:c r="J21" s="9"/>
      <x:c r="K21" s="9"/>
      <x:c r="L21" s="9"/>
      <x:c r="M21" s="9"/>
      <x:c r="N21" s="12" t="str">
        <x:f>IF(A21="","",IF(COUNTIF($A$6:$A$305,A21)&gt;1,"记录ID重复",IF(COUNTIF('案件索引'!$A$6:$A$105,B21)=0,"案件ID未登记",IF(AND(I21="通过",OR(C21="",H21="",L21="")),"通过须有运行、输出和评价人","格式已填；仍须人工复核"))))</x:f>
      </x:c>
    </x:row>
    <x:row r="22" ht="44" customHeight="1">
      <x:c r="A22" s="9"/>
      <x:c r="B22" s="9"/>
      <x:c r="C22" s="9"/>
      <x:c r="D22" s="9"/>
      <x:c r="E22" s="9"/>
      <x:c r="F22" s="9"/>
      <x:c r="G22" s="9"/>
      <x:c r="H22" s="9"/>
      <x:c r="I22" s="9"/>
      <x:c r="J22" s="9"/>
      <x:c r="K22" s="9"/>
      <x:c r="L22" s="9"/>
      <x:c r="M22" s="9"/>
      <x:c r="N22" s="12" t="str">
        <x:f>IF(A22="","",IF(COUNTIF($A$6:$A$305,A22)&gt;1,"记录ID重复",IF(COUNTIF('案件索引'!$A$6:$A$105,B22)=0,"案件ID未登记",IF(AND(I22="通过",OR(C22="",H22="",L22="")),"通过须有运行、输出和评价人","格式已填；仍须人工复核"))))</x:f>
      </x:c>
    </x:row>
    <x:row r="23" ht="44" customHeight="1">
      <x:c r="A23" s="9"/>
      <x:c r="B23" s="9"/>
      <x:c r="C23" s="9"/>
      <x:c r="D23" s="9"/>
      <x:c r="E23" s="9"/>
      <x:c r="F23" s="9"/>
      <x:c r="G23" s="9"/>
      <x:c r="H23" s="9"/>
      <x:c r="I23" s="9"/>
      <x:c r="J23" s="9"/>
      <x:c r="K23" s="9"/>
      <x:c r="L23" s="9"/>
      <x:c r="M23" s="9"/>
      <x:c r="N23" s="12" t="str">
        <x:f>IF(A23="","",IF(COUNTIF($A$6:$A$305,A23)&gt;1,"记录ID重复",IF(COUNTIF('案件索引'!$A$6:$A$105,B23)=0,"案件ID未登记",IF(AND(I23="通过",OR(C23="",H23="",L23="")),"通过须有运行、输出和评价人","格式已填；仍须人工复核"))))</x:f>
      </x:c>
    </x:row>
    <x:row r="24" ht="44" customHeight="1">
      <x:c r="A24" s="9"/>
      <x:c r="B24" s="9"/>
      <x:c r="C24" s="9"/>
      <x:c r="D24" s="9"/>
      <x:c r="E24" s="9"/>
      <x:c r="F24" s="9"/>
      <x:c r="G24" s="9"/>
      <x:c r="H24" s="9"/>
      <x:c r="I24" s="9"/>
      <x:c r="J24" s="9"/>
      <x:c r="K24" s="9"/>
      <x:c r="L24" s="9"/>
      <x:c r="M24" s="9"/>
      <x:c r="N24" s="12" t="str">
        <x:f>IF(A24="","",IF(COUNTIF($A$6:$A$305,A24)&gt;1,"记录ID重复",IF(COUNTIF('案件索引'!$A$6:$A$105,B24)=0,"案件ID未登记",IF(AND(I24="通过",OR(C24="",H24="",L24="")),"通过须有运行、输出和评价人","格式已填；仍须人工复核"))))</x:f>
      </x:c>
    </x:row>
    <x:row r="25" ht="44" customHeight="1">
      <x:c r="A25" s="9"/>
      <x:c r="B25" s="9"/>
      <x:c r="C25" s="9"/>
      <x:c r="D25" s="9"/>
      <x:c r="E25" s="9"/>
      <x:c r="F25" s="9"/>
      <x:c r="G25" s="9"/>
      <x:c r="H25" s="9"/>
      <x:c r="I25" s="9"/>
      <x:c r="J25" s="9"/>
      <x:c r="K25" s="9"/>
      <x:c r="L25" s="9"/>
      <x:c r="M25" s="9"/>
      <x:c r="N25" s="12" t="str">
        <x:f>IF(A25="","",IF(COUNTIF($A$6:$A$305,A25)&gt;1,"记录ID重复",IF(COUNTIF('案件索引'!$A$6:$A$105,B25)=0,"案件ID未登记",IF(AND(I25="通过",OR(C25="",H25="",L25="")),"通过须有运行、输出和评价人","格式已填；仍须人工复核"))))</x:f>
      </x:c>
    </x:row>
    <x:row r="26" ht="44" customHeight="1">
      <x:c r="A26" s="9"/>
      <x:c r="B26" s="9"/>
      <x:c r="C26" s="9"/>
      <x:c r="D26" s="9"/>
      <x:c r="E26" s="9"/>
      <x:c r="F26" s="9"/>
      <x:c r="G26" s="9"/>
      <x:c r="H26" s="9"/>
      <x:c r="I26" s="9"/>
      <x:c r="J26" s="9"/>
      <x:c r="K26" s="9"/>
      <x:c r="L26" s="9"/>
      <x:c r="M26" s="9"/>
      <x:c r="N26" s="12" t="str">
        <x:f>IF(A26="","",IF(COUNTIF($A$6:$A$305,A26)&gt;1,"记录ID重复",IF(COUNTIF('案件索引'!$A$6:$A$105,B26)=0,"案件ID未登记",IF(AND(I26="通过",OR(C26="",H26="",L26="")),"通过须有运行、输出和评价人","格式已填；仍须人工复核"))))</x:f>
      </x:c>
    </x:row>
    <x:row r="27" ht="44" customHeight="1">
      <x:c r="A27" s="9"/>
      <x:c r="B27" s="9"/>
      <x:c r="C27" s="9"/>
      <x:c r="D27" s="9"/>
      <x:c r="E27" s="9"/>
      <x:c r="F27" s="9"/>
      <x:c r="G27" s="9"/>
      <x:c r="H27" s="9"/>
      <x:c r="I27" s="9"/>
      <x:c r="J27" s="9"/>
      <x:c r="K27" s="9"/>
      <x:c r="L27" s="9"/>
      <x:c r="M27" s="9"/>
      <x:c r="N27" s="12" t="str">
        <x:f>IF(A27="","",IF(COUNTIF($A$6:$A$305,A27)&gt;1,"记录ID重复",IF(COUNTIF('案件索引'!$A$6:$A$105,B27)=0,"案件ID未登记",IF(AND(I27="通过",OR(C27="",H27="",L27="")),"通过须有运行、输出和评价人","格式已填；仍须人工复核"))))</x:f>
      </x:c>
    </x:row>
    <x:row r="28" ht="44" customHeight="1">
      <x:c r="A28" s="9"/>
      <x:c r="B28" s="9"/>
      <x:c r="C28" s="9"/>
      <x:c r="D28" s="9"/>
      <x:c r="E28" s="9"/>
      <x:c r="F28" s="9"/>
      <x:c r="G28" s="9"/>
      <x:c r="H28" s="9"/>
      <x:c r="I28" s="9"/>
      <x:c r="J28" s="9"/>
      <x:c r="K28" s="9"/>
      <x:c r="L28" s="9"/>
      <x:c r="M28" s="9"/>
      <x:c r="N28" s="12" t="str">
        <x:f>IF(A28="","",IF(COUNTIF($A$6:$A$305,A28)&gt;1,"记录ID重复",IF(COUNTIF('案件索引'!$A$6:$A$105,B28)=0,"案件ID未登记",IF(AND(I28="通过",OR(C28="",H28="",L28="")),"通过须有运行、输出和评价人","格式已填；仍须人工复核"))))</x:f>
      </x:c>
    </x:row>
    <x:row r="29" ht="44" customHeight="1">
      <x:c r="A29" s="9"/>
      <x:c r="B29" s="9"/>
      <x:c r="C29" s="9"/>
      <x:c r="D29" s="9"/>
      <x:c r="E29" s="9"/>
      <x:c r="F29" s="9"/>
      <x:c r="G29" s="9"/>
      <x:c r="H29" s="9"/>
      <x:c r="I29" s="9"/>
      <x:c r="J29" s="9"/>
      <x:c r="K29" s="9"/>
      <x:c r="L29" s="9"/>
      <x:c r="M29" s="9"/>
      <x:c r="N29" s="12" t="str">
        <x:f>IF(A29="","",IF(COUNTIF($A$6:$A$305,A29)&gt;1,"记录ID重复",IF(COUNTIF('案件索引'!$A$6:$A$105,B29)=0,"案件ID未登记",IF(AND(I29="通过",OR(C29="",H29="",L29="")),"通过须有运行、输出和评价人","格式已填；仍须人工复核"))))</x:f>
      </x:c>
    </x:row>
    <x:row r="30" ht="44" customHeight="1">
      <x:c r="A30" s="9"/>
      <x:c r="B30" s="9"/>
      <x:c r="C30" s="9"/>
      <x:c r="D30" s="9"/>
      <x:c r="E30" s="9"/>
      <x:c r="F30" s="9"/>
      <x:c r="G30" s="9"/>
      <x:c r="H30" s="9"/>
      <x:c r="I30" s="9"/>
      <x:c r="J30" s="9"/>
      <x:c r="K30" s="9"/>
      <x:c r="L30" s="9"/>
      <x:c r="M30" s="9"/>
      <x:c r="N30" s="12" t="str">
        <x:f>IF(A30="","",IF(COUNTIF($A$6:$A$305,A30)&gt;1,"记录ID重复",IF(COUNTIF('案件索引'!$A$6:$A$105,B30)=0,"案件ID未登记",IF(AND(I30="通过",OR(C30="",H30="",L30="")),"通过须有运行、输出和评价人","格式已填；仍须人工复核"))))</x:f>
      </x:c>
    </x:row>
    <x:row r="31" ht="44" customHeight="1">
      <x:c r="A31" s="9"/>
      <x:c r="B31" s="9"/>
      <x:c r="C31" s="9"/>
      <x:c r="D31" s="9"/>
      <x:c r="E31" s="9"/>
      <x:c r="F31" s="9"/>
      <x:c r="G31" s="9"/>
      <x:c r="H31" s="9"/>
      <x:c r="I31" s="9"/>
      <x:c r="J31" s="9"/>
      <x:c r="K31" s="9"/>
      <x:c r="L31" s="9"/>
      <x:c r="M31" s="9"/>
      <x:c r="N31" s="12" t="str">
        <x:f>IF(A31="","",IF(COUNTIF($A$6:$A$305,A31)&gt;1,"记录ID重复",IF(COUNTIF('案件索引'!$A$6:$A$105,B31)=0,"案件ID未登记",IF(AND(I31="通过",OR(C31="",H31="",L31="")),"通过须有运行、输出和评价人","格式已填；仍须人工复核"))))</x:f>
      </x:c>
    </x:row>
    <x:row r="32" ht="44" customHeight="1">
      <x:c r="A32" s="9"/>
      <x:c r="B32" s="9"/>
      <x:c r="C32" s="9"/>
      <x:c r="D32" s="9"/>
      <x:c r="E32" s="9"/>
      <x:c r="F32" s="9"/>
      <x:c r="G32" s="9"/>
      <x:c r="H32" s="9"/>
      <x:c r="I32" s="9"/>
      <x:c r="J32" s="9"/>
      <x:c r="K32" s="9"/>
      <x:c r="L32" s="9"/>
      <x:c r="M32" s="9"/>
      <x:c r="N32" s="12" t="str">
        <x:f>IF(A32="","",IF(COUNTIF($A$6:$A$305,A32)&gt;1,"记录ID重复",IF(COUNTIF('案件索引'!$A$6:$A$105,B32)=0,"案件ID未登记",IF(AND(I32="通过",OR(C32="",H32="",L32="")),"通过须有运行、输出和评价人","格式已填；仍须人工复核"))))</x:f>
      </x:c>
    </x:row>
    <x:row r="33" ht="44" customHeight="1">
      <x:c r="A33" s="9"/>
      <x:c r="B33" s="9"/>
      <x:c r="C33" s="9"/>
      <x:c r="D33" s="9"/>
      <x:c r="E33" s="9"/>
      <x:c r="F33" s="9"/>
      <x:c r="G33" s="9"/>
      <x:c r="H33" s="9"/>
      <x:c r="I33" s="9"/>
      <x:c r="J33" s="9"/>
      <x:c r="K33" s="9"/>
      <x:c r="L33" s="9"/>
      <x:c r="M33" s="9"/>
      <x:c r="N33" s="12" t="str">
        <x:f>IF(A33="","",IF(COUNTIF($A$6:$A$305,A33)&gt;1,"记录ID重复",IF(COUNTIF('案件索引'!$A$6:$A$105,B33)=0,"案件ID未登记",IF(AND(I33="通过",OR(C33="",H33="",L33="")),"通过须有运行、输出和评价人","格式已填；仍须人工复核"))))</x:f>
      </x:c>
    </x:row>
    <x:row r="34" ht="44" customHeight="1">
      <x:c r="A34" s="9"/>
      <x:c r="B34" s="9"/>
      <x:c r="C34" s="9"/>
      <x:c r="D34" s="9"/>
      <x:c r="E34" s="9"/>
      <x:c r="F34" s="9"/>
      <x:c r="G34" s="9"/>
      <x:c r="H34" s="9"/>
      <x:c r="I34" s="9"/>
      <x:c r="J34" s="9"/>
      <x:c r="K34" s="9"/>
      <x:c r="L34" s="9"/>
      <x:c r="M34" s="9"/>
      <x:c r="N34" s="12" t="str">
        <x:f>IF(A34="","",IF(COUNTIF($A$6:$A$305,A34)&gt;1,"记录ID重复",IF(COUNTIF('案件索引'!$A$6:$A$105,B34)=0,"案件ID未登记",IF(AND(I34="通过",OR(C34="",H34="",L34="")),"通过须有运行、输出和评价人","格式已填；仍须人工复核"))))</x:f>
      </x:c>
    </x:row>
    <x:row r="35" ht="44" customHeight="1">
      <x:c r="A35" s="9"/>
      <x:c r="B35" s="9"/>
      <x:c r="C35" s="9"/>
      <x:c r="D35" s="9"/>
      <x:c r="E35" s="9"/>
      <x:c r="F35" s="9"/>
      <x:c r="G35" s="9"/>
      <x:c r="H35" s="9"/>
      <x:c r="I35" s="9"/>
      <x:c r="J35" s="9"/>
      <x:c r="K35" s="9"/>
      <x:c r="L35" s="9"/>
      <x:c r="M35" s="9"/>
      <x:c r="N35" s="12" t="str">
        <x:f>IF(A35="","",IF(COUNTIF($A$6:$A$305,A35)&gt;1,"记录ID重复",IF(COUNTIF('案件索引'!$A$6:$A$105,B35)=0,"案件ID未登记",IF(AND(I35="通过",OR(C35="",H35="",L35="")),"通过须有运行、输出和评价人","格式已填；仍须人工复核"))))</x:f>
      </x:c>
    </x:row>
    <x:row r="36" ht="44" customHeight="1">
      <x:c r="A36" s="9"/>
      <x:c r="B36" s="9"/>
      <x:c r="C36" s="9"/>
      <x:c r="D36" s="9"/>
      <x:c r="E36" s="9"/>
      <x:c r="F36" s="9"/>
      <x:c r="G36" s="9"/>
      <x:c r="H36" s="9"/>
      <x:c r="I36" s="9"/>
      <x:c r="J36" s="9"/>
      <x:c r="K36" s="9"/>
      <x:c r="L36" s="9"/>
      <x:c r="M36" s="9"/>
      <x:c r="N36" s="12" t="str">
        <x:f>IF(A36="","",IF(COUNTIF($A$6:$A$305,A36)&gt;1,"记录ID重复",IF(COUNTIF('案件索引'!$A$6:$A$105,B36)=0,"案件ID未登记",IF(AND(I36="通过",OR(C36="",H36="",L36="")),"通过须有运行、输出和评价人","格式已填；仍须人工复核"))))</x:f>
      </x:c>
    </x:row>
    <x:row r="37" ht="44" customHeight="1">
      <x:c r="A37" s="9"/>
      <x:c r="B37" s="9"/>
      <x:c r="C37" s="9"/>
      <x:c r="D37" s="9"/>
      <x:c r="E37" s="9"/>
      <x:c r="F37" s="9"/>
      <x:c r="G37" s="9"/>
      <x:c r="H37" s="9"/>
      <x:c r="I37" s="9"/>
      <x:c r="J37" s="9"/>
      <x:c r="K37" s="9"/>
      <x:c r="L37" s="9"/>
      <x:c r="M37" s="9"/>
      <x:c r="N37" s="12" t="str">
        <x:f>IF(A37="","",IF(COUNTIF($A$6:$A$305,A37)&gt;1,"记录ID重复",IF(COUNTIF('案件索引'!$A$6:$A$105,B37)=0,"案件ID未登记",IF(AND(I37="通过",OR(C37="",H37="",L37="")),"通过须有运行、输出和评价人","格式已填；仍须人工复核"))))</x:f>
      </x:c>
    </x:row>
    <x:row r="38" ht="44" customHeight="1">
      <x:c r="A38" s="9"/>
      <x:c r="B38" s="9"/>
      <x:c r="C38" s="9"/>
      <x:c r="D38" s="9"/>
      <x:c r="E38" s="9"/>
      <x:c r="F38" s="9"/>
      <x:c r="G38" s="9"/>
      <x:c r="H38" s="9"/>
      <x:c r="I38" s="9"/>
      <x:c r="J38" s="9"/>
      <x:c r="K38" s="9"/>
      <x:c r="L38" s="9"/>
      <x:c r="M38" s="9"/>
      <x:c r="N38" s="12" t="str">
        <x:f>IF(A38="","",IF(COUNTIF($A$6:$A$305,A38)&gt;1,"记录ID重复",IF(COUNTIF('案件索引'!$A$6:$A$105,B38)=0,"案件ID未登记",IF(AND(I38="通过",OR(C38="",H38="",L38="")),"通过须有运行、输出和评价人","格式已填；仍须人工复核"))))</x:f>
      </x:c>
    </x:row>
    <x:row r="39" ht="44" customHeight="1">
      <x:c r="A39" s="9"/>
      <x:c r="B39" s="9"/>
      <x:c r="C39" s="9"/>
      <x:c r="D39" s="9"/>
      <x:c r="E39" s="9"/>
      <x:c r="F39" s="9"/>
      <x:c r="G39" s="9"/>
      <x:c r="H39" s="9"/>
      <x:c r="I39" s="9"/>
      <x:c r="J39" s="9"/>
      <x:c r="K39" s="9"/>
      <x:c r="L39" s="9"/>
      <x:c r="M39" s="9"/>
      <x:c r="N39" s="12" t="str">
        <x:f>IF(A39="","",IF(COUNTIF($A$6:$A$305,A39)&gt;1,"记录ID重复",IF(COUNTIF('案件索引'!$A$6:$A$105,B39)=0,"案件ID未登记",IF(AND(I39="通过",OR(C39="",H39="",L39="")),"通过须有运行、输出和评价人","格式已填；仍须人工复核"))))</x:f>
      </x:c>
    </x:row>
    <x:row r="40" ht="44" customHeight="1">
      <x:c r="A40" s="9"/>
      <x:c r="B40" s="9"/>
      <x:c r="C40" s="9"/>
      <x:c r="D40" s="9"/>
      <x:c r="E40" s="9"/>
      <x:c r="F40" s="9"/>
      <x:c r="G40" s="9"/>
      <x:c r="H40" s="9"/>
      <x:c r="I40" s="9"/>
      <x:c r="J40" s="9"/>
      <x:c r="K40" s="9"/>
      <x:c r="L40" s="9"/>
      <x:c r="M40" s="9"/>
      <x:c r="N40" s="12" t="str">
        <x:f>IF(A40="","",IF(COUNTIF($A$6:$A$305,A40)&gt;1,"记录ID重复",IF(COUNTIF('案件索引'!$A$6:$A$105,B40)=0,"案件ID未登记",IF(AND(I40="通过",OR(C40="",H40="",L40="")),"通过须有运行、输出和评价人","格式已填；仍须人工复核"))))</x:f>
      </x:c>
    </x:row>
    <x:row r="41" ht="44" customHeight="1">
      <x:c r="A41" s="9"/>
      <x:c r="B41" s="9"/>
      <x:c r="C41" s="9"/>
      <x:c r="D41" s="9"/>
      <x:c r="E41" s="9"/>
      <x:c r="F41" s="9"/>
      <x:c r="G41" s="9"/>
      <x:c r="H41" s="9"/>
      <x:c r="I41" s="9"/>
      <x:c r="J41" s="9"/>
      <x:c r="K41" s="9"/>
      <x:c r="L41" s="9"/>
      <x:c r="M41" s="9"/>
      <x:c r="N41" s="12" t="str">
        <x:f>IF(A41="","",IF(COUNTIF($A$6:$A$305,A41)&gt;1,"记录ID重复",IF(COUNTIF('案件索引'!$A$6:$A$105,B41)=0,"案件ID未登记",IF(AND(I41="通过",OR(C41="",H41="",L41="")),"通过须有运行、输出和评价人","格式已填；仍须人工复核"))))</x:f>
      </x:c>
    </x:row>
    <x:row r="42" ht="44" customHeight="1">
      <x:c r="A42" s="9"/>
      <x:c r="B42" s="9"/>
      <x:c r="C42" s="9"/>
      <x:c r="D42" s="9"/>
      <x:c r="E42" s="9"/>
      <x:c r="F42" s="9"/>
      <x:c r="G42" s="9"/>
      <x:c r="H42" s="9"/>
      <x:c r="I42" s="9"/>
      <x:c r="J42" s="9"/>
      <x:c r="K42" s="9"/>
      <x:c r="L42" s="9"/>
      <x:c r="M42" s="9"/>
      <x:c r="N42" s="12" t="str">
        <x:f>IF(A42="","",IF(COUNTIF($A$6:$A$305,A42)&gt;1,"记录ID重复",IF(COUNTIF('案件索引'!$A$6:$A$105,B42)=0,"案件ID未登记",IF(AND(I42="通过",OR(C42="",H42="",L42="")),"通过须有运行、输出和评价人","格式已填；仍须人工复核"))))</x:f>
      </x:c>
    </x:row>
    <x:row r="43" ht="44" customHeight="1">
      <x:c r="A43" s="9"/>
      <x:c r="B43" s="9"/>
      <x:c r="C43" s="9"/>
      <x:c r="D43" s="9"/>
      <x:c r="E43" s="9"/>
      <x:c r="F43" s="9"/>
      <x:c r="G43" s="9"/>
      <x:c r="H43" s="9"/>
      <x:c r="I43" s="9"/>
      <x:c r="J43" s="9"/>
      <x:c r="K43" s="9"/>
      <x:c r="L43" s="9"/>
      <x:c r="M43" s="9"/>
      <x:c r="N43" s="12" t="str">
        <x:f>IF(A43="","",IF(COUNTIF($A$6:$A$305,A43)&gt;1,"记录ID重复",IF(COUNTIF('案件索引'!$A$6:$A$105,B43)=0,"案件ID未登记",IF(AND(I43="通过",OR(C43="",H43="",L43="")),"通过须有运行、输出和评价人","格式已填；仍须人工复核"))))</x:f>
      </x:c>
    </x:row>
    <x:row r="44" ht="44" customHeight="1">
      <x:c r="A44" s="9"/>
      <x:c r="B44" s="9"/>
      <x:c r="C44" s="9"/>
      <x:c r="D44" s="9"/>
      <x:c r="E44" s="9"/>
      <x:c r="F44" s="9"/>
      <x:c r="G44" s="9"/>
      <x:c r="H44" s="9"/>
      <x:c r="I44" s="9"/>
      <x:c r="J44" s="9"/>
      <x:c r="K44" s="9"/>
      <x:c r="L44" s="9"/>
      <x:c r="M44" s="9"/>
      <x:c r="N44" s="12" t="str">
        <x:f>IF(A44="","",IF(COUNTIF($A$6:$A$305,A44)&gt;1,"记录ID重复",IF(COUNTIF('案件索引'!$A$6:$A$105,B44)=0,"案件ID未登记",IF(AND(I44="通过",OR(C44="",H44="",L44="")),"通过须有运行、输出和评价人","格式已填；仍须人工复核"))))</x:f>
      </x:c>
    </x:row>
    <x:row r="45" ht="44" customHeight="1">
      <x:c r="A45" s="9"/>
      <x:c r="B45" s="9"/>
      <x:c r="C45" s="9"/>
      <x:c r="D45" s="9"/>
      <x:c r="E45" s="9"/>
      <x:c r="F45" s="9"/>
      <x:c r="G45" s="9"/>
      <x:c r="H45" s="9"/>
      <x:c r="I45" s="9"/>
      <x:c r="J45" s="9"/>
      <x:c r="K45" s="9"/>
      <x:c r="L45" s="9"/>
      <x:c r="M45" s="9"/>
      <x:c r="N45" s="12" t="str">
        <x:f>IF(A45="","",IF(COUNTIF($A$6:$A$305,A45)&gt;1,"记录ID重复",IF(COUNTIF('案件索引'!$A$6:$A$105,B45)=0,"案件ID未登记",IF(AND(I45="通过",OR(C45="",H45="",L45="")),"通过须有运行、输出和评价人","格式已填；仍须人工复核"))))</x:f>
      </x:c>
    </x:row>
    <x:row r="46" ht="44" customHeight="1">
      <x:c r="A46" s="9"/>
      <x:c r="B46" s="9"/>
      <x:c r="C46" s="9"/>
      <x:c r="D46" s="9"/>
      <x:c r="E46" s="9"/>
      <x:c r="F46" s="9"/>
      <x:c r="G46" s="9"/>
      <x:c r="H46" s="9"/>
      <x:c r="I46" s="9"/>
      <x:c r="J46" s="9"/>
      <x:c r="K46" s="9"/>
      <x:c r="L46" s="9"/>
      <x:c r="M46" s="9"/>
      <x:c r="N46" s="12" t="str">
        <x:f>IF(A46="","",IF(COUNTIF($A$6:$A$305,A46)&gt;1,"记录ID重复",IF(COUNTIF('案件索引'!$A$6:$A$105,B46)=0,"案件ID未登记",IF(AND(I46="通过",OR(C46="",H46="",L46="")),"通过须有运行、输出和评价人","格式已填；仍须人工复核"))))</x:f>
      </x:c>
    </x:row>
    <x:row r="47" ht="44" customHeight="1">
      <x:c r="A47" s="9"/>
      <x:c r="B47" s="9"/>
      <x:c r="C47" s="9"/>
      <x:c r="D47" s="9"/>
      <x:c r="E47" s="9"/>
      <x:c r="F47" s="9"/>
      <x:c r="G47" s="9"/>
      <x:c r="H47" s="9"/>
      <x:c r="I47" s="9"/>
      <x:c r="J47" s="9"/>
      <x:c r="K47" s="9"/>
      <x:c r="L47" s="9"/>
      <x:c r="M47" s="9"/>
      <x:c r="N47" s="12" t="str">
        <x:f>IF(A47="","",IF(COUNTIF($A$6:$A$305,A47)&gt;1,"记录ID重复",IF(COUNTIF('案件索引'!$A$6:$A$105,B47)=0,"案件ID未登记",IF(AND(I47="通过",OR(C47="",H47="",L47="")),"通过须有运行、输出和评价人","格式已填；仍须人工复核"))))</x:f>
      </x:c>
    </x:row>
    <x:row r="48" ht="44" customHeight="1">
      <x:c r="A48" s="9"/>
      <x:c r="B48" s="9"/>
      <x:c r="C48" s="9"/>
      <x:c r="D48" s="9"/>
      <x:c r="E48" s="9"/>
      <x:c r="F48" s="9"/>
      <x:c r="G48" s="9"/>
      <x:c r="H48" s="9"/>
      <x:c r="I48" s="9"/>
      <x:c r="J48" s="9"/>
      <x:c r="K48" s="9"/>
      <x:c r="L48" s="9"/>
      <x:c r="M48" s="9"/>
      <x:c r="N48" s="12" t="str">
        <x:f>IF(A48="","",IF(COUNTIF($A$6:$A$305,A48)&gt;1,"记录ID重复",IF(COUNTIF('案件索引'!$A$6:$A$105,B48)=0,"案件ID未登记",IF(AND(I48="通过",OR(C48="",H48="",L48="")),"通过须有运行、输出和评价人","格式已填；仍须人工复核"))))</x:f>
      </x:c>
    </x:row>
    <x:row r="49" ht="44" customHeight="1">
      <x:c r="A49" s="9"/>
      <x:c r="B49" s="9"/>
      <x:c r="C49" s="9"/>
      <x:c r="D49" s="9"/>
      <x:c r="E49" s="9"/>
      <x:c r="F49" s="9"/>
      <x:c r="G49" s="9"/>
      <x:c r="H49" s="9"/>
      <x:c r="I49" s="9"/>
      <x:c r="J49" s="9"/>
      <x:c r="K49" s="9"/>
      <x:c r="L49" s="9"/>
      <x:c r="M49" s="9"/>
      <x:c r="N49" s="12" t="str">
        <x:f>IF(A49="","",IF(COUNTIF($A$6:$A$305,A49)&gt;1,"记录ID重复",IF(COUNTIF('案件索引'!$A$6:$A$105,B49)=0,"案件ID未登记",IF(AND(I49="通过",OR(C49="",H49="",L49="")),"通过须有运行、输出和评价人","格式已填；仍须人工复核"))))</x:f>
      </x:c>
    </x:row>
    <x:row r="50" ht="44" customHeight="1">
      <x:c r="A50" s="9"/>
      <x:c r="B50" s="9"/>
      <x:c r="C50" s="9"/>
      <x:c r="D50" s="9"/>
      <x:c r="E50" s="9"/>
      <x:c r="F50" s="9"/>
      <x:c r="G50" s="9"/>
      <x:c r="H50" s="9"/>
      <x:c r="I50" s="9"/>
      <x:c r="J50" s="9"/>
      <x:c r="K50" s="9"/>
      <x:c r="L50" s="9"/>
      <x:c r="M50" s="9"/>
      <x:c r="N50" s="12" t="str">
        <x:f>IF(A50="","",IF(COUNTIF($A$6:$A$305,A50)&gt;1,"记录ID重复",IF(COUNTIF('案件索引'!$A$6:$A$105,B50)=0,"案件ID未登记",IF(AND(I50="通过",OR(C50="",H50="",L50="")),"通过须有运行、输出和评价人","格式已填；仍须人工复核"))))</x:f>
      </x:c>
    </x:row>
    <x:row r="51" ht="44" customHeight="1">
      <x:c r="A51" s="9"/>
      <x:c r="B51" s="9"/>
      <x:c r="C51" s="9"/>
      <x:c r="D51" s="9"/>
      <x:c r="E51" s="9"/>
      <x:c r="F51" s="9"/>
      <x:c r="G51" s="9"/>
      <x:c r="H51" s="9"/>
      <x:c r="I51" s="9"/>
      <x:c r="J51" s="9"/>
      <x:c r="K51" s="9"/>
      <x:c r="L51" s="9"/>
      <x:c r="M51" s="9"/>
      <x:c r="N51" s="12" t="str">
        <x:f>IF(A51="","",IF(COUNTIF($A$6:$A$305,A51)&gt;1,"记录ID重复",IF(COUNTIF('案件索引'!$A$6:$A$105,B51)=0,"案件ID未登记",IF(AND(I51="通过",OR(C51="",H51="",L51="")),"通过须有运行、输出和评价人","格式已填；仍须人工复核"))))</x:f>
      </x:c>
    </x:row>
    <x:row r="52" ht="44" customHeight="1">
      <x:c r="A52" s="9"/>
      <x:c r="B52" s="9"/>
      <x:c r="C52" s="9"/>
      <x:c r="D52" s="9"/>
      <x:c r="E52" s="9"/>
      <x:c r="F52" s="9"/>
      <x:c r="G52" s="9"/>
      <x:c r="H52" s="9"/>
      <x:c r="I52" s="9"/>
      <x:c r="J52" s="9"/>
      <x:c r="K52" s="9"/>
      <x:c r="L52" s="9"/>
      <x:c r="M52" s="9"/>
      <x:c r="N52" s="12" t="str">
        <x:f>IF(A52="","",IF(COUNTIF($A$6:$A$305,A52)&gt;1,"记录ID重复",IF(COUNTIF('案件索引'!$A$6:$A$105,B52)=0,"案件ID未登记",IF(AND(I52="通过",OR(C52="",H52="",L52="")),"通过须有运行、输出和评价人","格式已填；仍须人工复核"))))</x:f>
      </x:c>
    </x:row>
    <x:row r="53" ht="44" customHeight="1">
      <x:c r="A53" s="9"/>
      <x:c r="B53" s="9"/>
      <x:c r="C53" s="9"/>
      <x:c r="D53" s="9"/>
      <x:c r="E53" s="9"/>
      <x:c r="F53" s="9"/>
      <x:c r="G53" s="9"/>
      <x:c r="H53" s="9"/>
      <x:c r="I53" s="9"/>
      <x:c r="J53" s="9"/>
      <x:c r="K53" s="9"/>
      <x:c r="L53" s="9"/>
      <x:c r="M53" s="9"/>
      <x:c r="N53" s="12" t="str">
        <x:f>IF(A53="","",IF(COUNTIF($A$6:$A$305,A53)&gt;1,"记录ID重复",IF(COUNTIF('案件索引'!$A$6:$A$105,B53)=0,"案件ID未登记",IF(AND(I53="通过",OR(C53="",H53="",L53="")),"通过须有运行、输出和评价人","格式已填；仍须人工复核"))))</x:f>
      </x:c>
    </x:row>
    <x:row r="54" ht="44" customHeight="1">
      <x:c r="A54" s="9"/>
      <x:c r="B54" s="9"/>
      <x:c r="C54" s="9"/>
      <x:c r="D54" s="9"/>
      <x:c r="E54" s="9"/>
      <x:c r="F54" s="9"/>
      <x:c r="G54" s="9"/>
      <x:c r="H54" s="9"/>
      <x:c r="I54" s="9"/>
      <x:c r="J54" s="9"/>
      <x:c r="K54" s="9"/>
      <x:c r="L54" s="9"/>
      <x:c r="M54" s="9"/>
      <x:c r="N54" s="12" t="str">
        <x:f>IF(A54="","",IF(COUNTIF($A$6:$A$305,A54)&gt;1,"记录ID重复",IF(COUNTIF('案件索引'!$A$6:$A$105,B54)=0,"案件ID未登记",IF(AND(I54="通过",OR(C54="",H54="",L54="")),"通过须有运行、输出和评价人","格式已填；仍须人工复核"))))</x:f>
      </x:c>
    </x:row>
    <x:row r="55" ht="44" customHeight="1">
      <x:c r="A55" s="9"/>
      <x:c r="B55" s="9"/>
      <x:c r="C55" s="9"/>
      <x:c r="D55" s="9"/>
      <x:c r="E55" s="9"/>
      <x:c r="F55" s="9"/>
      <x:c r="G55" s="9"/>
      <x:c r="H55" s="9"/>
      <x:c r="I55" s="9"/>
      <x:c r="J55" s="9"/>
      <x:c r="K55" s="9"/>
      <x:c r="L55" s="9"/>
      <x:c r="M55" s="9"/>
      <x:c r="N55" s="12" t="str">
        <x:f>IF(A55="","",IF(COUNTIF($A$6:$A$305,A55)&gt;1,"记录ID重复",IF(COUNTIF('案件索引'!$A$6:$A$105,B55)=0,"案件ID未登记",IF(AND(I55="通过",OR(C55="",H55="",L55="")),"通过须有运行、输出和评价人","格式已填；仍须人工复核"))))</x:f>
      </x:c>
    </x:row>
    <x:row r="56" ht="44" customHeight="1">
      <x:c r="A56" s="9"/>
      <x:c r="B56" s="9"/>
      <x:c r="C56" s="9"/>
      <x:c r="D56" s="9"/>
      <x:c r="E56" s="9"/>
      <x:c r="F56" s="9"/>
      <x:c r="G56" s="9"/>
      <x:c r="H56" s="9"/>
      <x:c r="I56" s="9"/>
      <x:c r="J56" s="9"/>
      <x:c r="K56" s="9"/>
      <x:c r="L56" s="9"/>
      <x:c r="M56" s="9"/>
      <x:c r="N56" s="12" t="str">
        <x:f>IF(A56="","",IF(COUNTIF($A$6:$A$305,A56)&gt;1,"记录ID重复",IF(COUNTIF('案件索引'!$A$6:$A$105,B56)=0,"案件ID未登记",IF(AND(I56="通过",OR(C56="",H56="",L56="")),"通过须有运行、输出和评价人","格式已填；仍须人工复核"))))</x:f>
      </x:c>
    </x:row>
    <x:row r="57" ht="44" customHeight="1">
      <x:c r="A57" s="9"/>
      <x:c r="B57" s="9"/>
      <x:c r="C57" s="9"/>
      <x:c r="D57" s="9"/>
      <x:c r="E57" s="9"/>
      <x:c r="F57" s="9"/>
      <x:c r="G57" s="9"/>
      <x:c r="H57" s="9"/>
      <x:c r="I57" s="9"/>
      <x:c r="J57" s="9"/>
      <x:c r="K57" s="9"/>
      <x:c r="L57" s="9"/>
      <x:c r="M57" s="9"/>
      <x:c r="N57" s="12" t="str">
        <x:f>IF(A57="","",IF(COUNTIF($A$6:$A$305,A57)&gt;1,"记录ID重复",IF(COUNTIF('案件索引'!$A$6:$A$105,B57)=0,"案件ID未登记",IF(AND(I57="通过",OR(C57="",H57="",L57="")),"通过须有运行、输出和评价人","格式已填；仍须人工复核"))))</x:f>
      </x:c>
    </x:row>
    <x:row r="58" ht="44" customHeight="1">
      <x:c r="A58" s="9"/>
      <x:c r="B58" s="9"/>
      <x:c r="C58" s="9"/>
      <x:c r="D58" s="9"/>
      <x:c r="E58" s="9"/>
      <x:c r="F58" s="9"/>
      <x:c r="G58" s="9"/>
      <x:c r="H58" s="9"/>
      <x:c r="I58" s="9"/>
      <x:c r="J58" s="9"/>
      <x:c r="K58" s="9"/>
      <x:c r="L58" s="9"/>
      <x:c r="M58" s="9"/>
      <x:c r="N58" s="12" t="str">
        <x:f>IF(A58="","",IF(COUNTIF($A$6:$A$305,A58)&gt;1,"记录ID重复",IF(COUNTIF('案件索引'!$A$6:$A$105,B58)=0,"案件ID未登记",IF(AND(I58="通过",OR(C58="",H58="",L58="")),"通过须有运行、输出和评价人","格式已填；仍须人工复核"))))</x:f>
      </x:c>
    </x:row>
    <x:row r="59" ht="44" customHeight="1">
      <x:c r="A59" s="9"/>
      <x:c r="B59" s="9"/>
      <x:c r="C59" s="9"/>
      <x:c r="D59" s="9"/>
      <x:c r="E59" s="9"/>
      <x:c r="F59" s="9"/>
      <x:c r="G59" s="9"/>
      <x:c r="H59" s="9"/>
      <x:c r="I59" s="9"/>
      <x:c r="J59" s="9"/>
      <x:c r="K59" s="9"/>
      <x:c r="L59" s="9"/>
      <x:c r="M59" s="9"/>
      <x:c r="N59" s="12" t="str">
        <x:f>IF(A59="","",IF(COUNTIF($A$6:$A$305,A59)&gt;1,"记录ID重复",IF(COUNTIF('案件索引'!$A$6:$A$105,B59)=0,"案件ID未登记",IF(AND(I59="通过",OR(C59="",H59="",L59="")),"通过须有运行、输出和评价人","格式已填；仍须人工复核"))))</x:f>
      </x:c>
    </x:row>
    <x:row r="60" ht="44" customHeight="1">
      <x:c r="A60" s="9"/>
      <x:c r="B60" s="9"/>
      <x:c r="C60" s="9"/>
      <x:c r="D60" s="9"/>
      <x:c r="E60" s="9"/>
      <x:c r="F60" s="9"/>
      <x:c r="G60" s="9"/>
      <x:c r="H60" s="9"/>
      <x:c r="I60" s="9"/>
      <x:c r="J60" s="9"/>
      <x:c r="K60" s="9"/>
      <x:c r="L60" s="9"/>
      <x:c r="M60" s="9"/>
      <x:c r="N60" s="12" t="str">
        <x:f>IF(A60="","",IF(COUNTIF($A$6:$A$305,A60)&gt;1,"记录ID重复",IF(COUNTIF('案件索引'!$A$6:$A$105,B60)=0,"案件ID未登记",IF(AND(I60="通过",OR(C60="",H60="",L60="")),"通过须有运行、输出和评价人","格式已填；仍须人工复核"))))</x:f>
      </x:c>
    </x:row>
    <x:row r="61" ht="44" customHeight="1">
      <x:c r="A61" s="9"/>
      <x:c r="B61" s="9"/>
      <x:c r="C61" s="9"/>
      <x:c r="D61" s="9"/>
      <x:c r="E61" s="9"/>
      <x:c r="F61" s="9"/>
      <x:c r="G61" s="9"/>
      <x:c r="H61" s="9"/>
      <x:c r="I61" s="9"/>
      <x:c r="J61" s="9"/>
      <x:c r="K61" s="9"/>
      <x:c r="L61" s="9"/>
      <x:c r="M61" s="9"/>
      <x:c r="N61" s="12" t="str">
        <x:f>IF(A61="","",IF(COUNTIF($A$6:$A$305,A61)&gt;1,"记录ID重复",IF(COUNTIF('案件索引'!$A$6:$A$105,B61)=0,"案件ID未登记",IF(AND(I61="通过",OR(C61="",H61="",L61="")),"通过须有运行、输出和评价人","格式已填；仍须人工复核"))))</x:f>
      </x:c>
    </x:row>
    <x:row r="62" ht="44" customHeight="1">
      <x:c r="A62" s="9"/>
      <x:c r="B62" s="9"/>
      <x:c r="C62" s="9"/>
      <x:c r="D62" s="9"/>
      <x:c r="E62" s="9"/>
      <x:c r="F62" s="9"/>
      <x:c r="G62" s="9"/>
      <x:c r="H62" s="9"/>
      <x:c r="I62" s="9"/>
      <x:c r="J62" s="9"/>
      <x:c r="K62" s="9"/>
      <x:c r="L62" s="9"/>
      <x:c r="M62" s="9"/>
      <x:c r="N62" s="12" t="str">
        <x:f>IF(A62="","",IF(COUNTIF($A$6:$A$305,A62)&gt;1,"记录ID重复",IF(COUNTIF('案件索引'!$A$6:$A$105,B62)=0,"案件ID未登记",IF(AND(I62="通过",OR(C62="",H62="",L62="")),"通过须有运行、输出和评价人","格式已填；仍须人工复核"))))</x:f>
      </x:c>
    </x:row>
    <x:row r="63" ht="44" customHeight="1">
      <x:c r="A63" s="9"/>
      <x:c r="B63" s="9"/>
      <x:c r="C63" s="9"/>
      <x:c r="D63" s="9"/>
      <x:c r="E63" s="9"/>
      <x:c r="F63" s="9"/>
      <x:c r="G63" s="9"/>
      <x:c r="H63" s="9"/>
      <x:c r="I63" s="9"/>
      <x:c r="J63" s="9"/>
      <x:c r="K63" s="9"/>
      <x:c r="L63" s="9"/>
      <x:c r="M63" s="9"/>
      <x:c r="N63" s="12" t="str">
        <x:f>IF(A63="","",IF(COUNTIF($A$6:$A$305,A63)&gt;1,"记录ID重复",IF(COUNTIF('案件索引'!$A$6:$A$105,B63)=0,"案件ID未登记",IF(AND(I63="通过",OR(C63="",H63="",L63="")),"通过须有运行、输出和评价人","格式已填；仍须人工复核"))))</x:f>
      </x:c>
    </x:row>
    <x:row r="64" ht="44" customHeight="1">
      <x:c r="A64" s="9"/>
      <x:c r="B64" s="9"/>
      <x:c r="C64" s="9"/>
      <x:c r="D64" s="9"/>
      <x:c r="E64" s="9"/>
      <x:c r="F64" s="9"/>
      <x:c r="G64" s="9"/>
      <x:c r="H64" s="9"/>
      <x:c r="I64" s="9"/>
      <x:c r="J64" s="9"/>
      <x:c r="K64" s="9"/>
      <x:c r="L64" s="9"/>
      <x:c r="M64" s="9"/>
      <x:c r="N64" s="12" t="str">
        <x:f>IF(A64="","",IF(COUNTIF($A$6:$A$305,A64)&gt;1,"记录ID重复",IF(COUNTIF('案件索引'!$A$6:$A$105,B64)=0,"案件ID未登记",IF(AND(I64="通过",OR(C64="",H64="",L64="")),"通过须有运行、输出和评价人","格式已填；仍须人工复核"))))</x:f>
      </x:c>
    </x:row>
    <x:row r="65" ht="44" customHeight="1">
      <x:c r="A65" s="9"/>
      <x:c r="B65" s="9"/>
      <x:c r="C65" s="9"/>
      <x:c r="D65" s="9"/>
      <x:c r="E65" s="9"/>
      <x:c r="F65" s="9"/>
      <x:c r="G65" s="9"/>
      <x:c r="H65" s="9"/>
      <x:c r="I65" s="9"/>
      <x:c r="J65" s="9"/>
      <x:c r="K65" s="9"/>
      <x:c r="L65" s="9"/>
      <x:c r="M65" s="9"/>
      <x:c r="N65" s="12" t="str">
        <x:f>IF(A65="","",IF(COUNTIF($A$6:$A$305,A65)&gt;1,"记录ID重复",IF(COUNTIF('案件索引'!$A$6:$A$105,B65)=0,"案件ID未登记",IF(AND(I65="通过",OR(C65="",H65="",L65="")),"通过须有运行、输出和评价人","格式已填；仍须人工复核"))))</x:f>
      </x:c>
    </x:row>
    <x:row r="66" ht="44" customHeight="1">
      <x:c r="A66" s="9"/>
      <x:c r="B66" s="9"/>
      <x:c r="C66" s="9"/>
      <x:c r="D66" s="9"/>
      <x:c r="E66" s="9"/>
      <x:c r="F66" s="9"/>
      <x:c r="G66" s="9"/>
      <x:c r="H66" s="9"/>
      <x:c r="I66" s="9"/>
      <x:c r="J66" s="9"/>
      <x:c r="K66" s="9"/>
      <x:c r="L66" s="9"/>
      <x:c r="M66" s="9"/>
      <x:c r="N66" s="12" t="str">
        <x:f>IF(A66="","",IF(COUNTIF($A$6:$A$305,A66)&gt;1,"记录ID重复",IF(COUNTIF('案件索引'!$A$6:$A$105,B66)=0,"案件ID未登记",IF(AND(I66="通过",OR(C66="",H66="",L66="")),"通过须有运行、输出和评价人","格式已填；仍须人工复核"))))</x:f>
      </x:c>
    </x:row>
    <x:row r="67" ht="44" customHeight="1">
      <x:c r="A67" s="9"/>
      <x:c r="B67" s="9"/>
      <x:c r="C67" s="9"/>
      <x:c r="D67" s="9"/>
      <x:c r="E67" s="9"/>
      <x:c r="F67" s="9"/>
      <x:c r="G67" s="9"/>
      <x:c r="H67" s="9"/>
      <x:c r="I67" s="9"/>
      <x:c r="J67" s="9"/>
      <x:c r="K67" s="9"/>
      <x:c r="L67" s="9"/>
      <x:c r="M67" s="9"/>
      <x:c r="N67" s="12" t="str">
        <x:f>IF(A67="","",IF(COUNTIF($A$6:$A$305,A67)&gt;1,"记录ID重复",IF(COUNTIF('案件索引'!$A$6:$A$105,B67)=0,"案件ID未登记",IF(AND(I67="通过",OR(C67="",H67="",L67="")),"通过须有运行、输出和评价人","格式已填；仍须人工复核"))))</x:f>
      </x:c>
    </x:row>
    <x:row r="68" ht="44" customHeight="1">
      <x:c r="A68" s="9"/>
      <x:c r="B68" s="9"/>
      <x:c r="C68" s="9"/>
      <x:c r="D68" s="9"/>
      <x:c r="E68" s="9"/>
      <x:c r="F68" s="9"/>
      <x:c r="G68" s="9"/>
      <x:c r="H68" s="9"/>
      <x:c r="I68" s="9"/>
      <x:c r="J68" s="9"/>
      <x:c r="K68" s="9"/>
      <x:c r="L68" s="9"/>
      <x:c r="M68" s="9"/>
      <x:c r="N68" s="12" t="str">
        <x:f>IF(A68="","",IF(COUNTIF($A$6:$A$305,A68)&gt;1,"记录ID重复",IF(COUNTIF('案件索引'!$A$6:$A$105,B68)=0,"案件ID未登记",IF(AND(I68="通过",OR(C68="",H68="",L68="")),"通过须有运行、输出和评价人","格式已填；仍须人工复核"))))</x:f>
      </x:c>
    </x:row>
    <x:row r="69" ht="44" customHeight="1">
      <x:c r="A69" s="9"/>
      <x:c r="B69" s="9"/>
      <x:c r="C69" s="9"/>
      <x:c r="D69" s="9"/>
      <x:c r="E69" s="9"/>
      <x:c r="F69" s="9"/>
      <x:c r="G69" s="9"/>
      <x:c r="H69" s="9"/>
      <x:c r="I69" s="9"/>
      <x:c r="J69" s="9"/>
      <x:c r="K69" s="9"/>
      <x:c r="L69" s="9"/>
      <x:c r="M69" s="9"/>
      <x:c r="N69" s="12" t="str">
        <x:f>IF(A69="","",IF(COUNTIF($A$6:$A$305,A69)&gt;1,"记录ID重复",IF(COUNTIF('案件索引'!$A$6:$A$105,B69)=0,"案件ID未登记",IF(AND(I69="通过",OR(C69="",H69="",L69="")),"通过须有运行、输出和评价人","格式已填；仍须人工复核"))))</x:f>
      </x:c>
    </x:row>
    <x:row r="70" ht="44" customHeight="1">
      <x:c r="A70" s="9"/>
      <x:c r="B70" s="9"/>
      <x:c r="C70" s="9"/>
      <x:c r="D70" s="9"/>
      <x:c r="E70" s="9"/>
      <x:c r="F70" s="9"/>
      <x:c r="G70" s="9"/>
      <x:c r="H70" s="9"/>
      <x:c r="I70" s="9"/>
      <x:c r="J70" s="9"/>
      <x:c r="K70" s="9"/>
      <x:c r="L70" s="9"/>
      <x:c r="M70" s="9"/>
      <x:c r="N70" s="12" t="str">
        <x:f>IF(A70="","",IF(COUNTIF($A$6:$A$305,A70)&gt;1,"记录ID重复",IF(COUNTIF('案件索引'!$A$6:$A$105,B70)=0,"案件ID未登记",IF(AND(I70="通过",OR(C70="",H70="",L70="")),"通过须有运行、输出和评价人","格式已填；仍须人工复核"))))</x:f>
      </x:c>
    </x:row>
    <x:row r="71" ht="44" customHeight="1">
      <x:c r="A71" s="9"/>
      <x:c r="B71" s="9"/>
      <x:c r="C71" s="9"/>
      <x:c r="D71" s="9"/>
      <x:c r="E71" s="9"/>
      <x:c r="F71" s="9"/>
      <x:c r="G71" s="9"/>
      <x:c r="H71" s="9"/>
      <x:c r="I71" s="9"/>
      <x:c r="J71" s="9"/>
      <x:c r="K71" s="9"/>
      <x:c r="L71" s="9"/>
      <x:c r="M71" s="9"/>
      <x:c r="N71" s="12" t="str">
        <x:f>IF(A71="","",IF(COUNTIF($A$6:$A$305,A71)&gt;1,"记录ID重复",IF(COUNTIF('案件索引'!$A$6:$A$105,B71)=0,"案件ID未登记",IF(AND(I71="通过",OR(C71="",H71="",L71="")),"通过须有运行、输出和评价人","格式已填；仍须人工复核"))))</x:f>
      </x:c>
    </x:row>
    <x:row r="72" ht="44" customHeight="1">
      <x:c r="A72" s="9"/>
      <x:c r="B72" s="9"/>
      <x:c r="C72" s="9"/>
      <x:c r="D72" s="9"/>
      <x:c r="E72" s="9"/>
      <x:c r="F72" s="9"/>
      <x:c r="G72" s="9"/>
      <x:c r="H72" s="9"/>
      <x:c r="I72" s="9"/>
      <x:c r="J72" s="9"/>
      <x:c r="K72" s="9"/>
      <x:c r="L72" s="9"/>
      <x:c r="M72" s="9"/>
      <x:c r="N72" s="12" t="str">
        <x:f>IF(A72="","",IF(COUNTIF($A$6:$A$305,A72)&gt;1,"记录ID重复",IF(COUNTIF('案件索引'!$A$6:$A$105,B72)=0,"案件ID未登记",IF(AND(I72="通过",OR(C72="",H72="",L72="")),"通过须有运行、输出和评价人","格式已填；仍须人工复核"))))</x:f>
      </x:c>
    </x:row>
    <x:row r="73" ht="44" customHeight="1">
      <x:c r="A73" s="9"/>
      <x:c r="B73" s="9"/>
      <x:c r="C73" s="9"/>
      <x:c r="D73" s="9"/>
      <x:c r="E73" s="9"/>
      <x:c r="F73" s="9"/>
      <x:c r="G73" s="9"/>
      <x:c r="H73" s="9"/>
      <x:c r="I73" s="9"/>
      <x:c r="J73" s="9"/>
      <x:c r="K73" s="9"/>
      <x:c r="L73" s="9"/>
      <x:c r="M73" s="9"/>
      <x:c r="N73" s="12" t="str">
        <x:f>IF(A73="","",IF(COUNTIF($A$6:$A$305,A73)&gt;1,"记录ID重复",IF(COUNTIF('案件索引'!$A$6:$A$105,B73)=0,"案件ID未登记",IF(AND(I73="通过",OR(C73="",H73="",L73="")),"通过须有运行、输出和评价人","格式已填；仍须人工复核"))))</x:f>
      </x:c>
    </x:row>
    <x:row r="74" ht="44" customHeight="1">
      <x:c r="A74" s="9"/>
      <x:c r="B74" s="9"/>
      <x:c r="C74" s="9"/>
      <x:c r="D74" s="9"/>
      <x:c r="E74" s="9"/>
      <x:c r="F74" s="9"/>
      <x:c r="G74" s="9"/>
      <x:c r="H74" s="9"/>
      <x:c r="I74" s="9"/>
      <x:c r="J74" s="9"/>
      <x:c r="K74" s="9"/>
      <x:c r="L74" s="9"/>
      <x:c r="M74" s="9"/>
      <x:c r="N74" s="12" t="str">
        <x:f>IF(A74="","",IF(COUNTIF($A$6:$A$305,A74)&gt;1,"记录ID重复",IF(COUNTIF('案件索引'!$A$6:$A$105,B74)=0,"案件ID未登记",IF(AND(I74="通过",OR(C74="",H74="",L74="")),"通过须有运行、输出和评价人","格式已填；仍须人工复核"))))</x:f>
      </x:c>
    </x:row>
    <x:row r="75" ht="44" customHeight="1">
      <x:c r="A75" s="9"/>
      <x:c r="B75" s="9"/>
      <x:c r="C75" s="9"/>
      <x:c r="D75" s="9"/>
      <x:c r="E75" s="9"/>
      <x:c r="F75" s="9"/>
      <x:c r="G75" s="9"/>
      <x:c r="H75" s="9"/>
      <x:c r="I75" s="9"/>
      <x:c r="J75" s="9"/>
      <x:c r="K75" s="9"/>
      <x:c r="L75" s="9"/>
      <x:c r="M75" s="9"/>
      <x:c r="N75" s="12" t="str">
        <x:f>IF(A75="","",IF(COUNTIF($A$6:$A$305,A75)&gt;1,"记录ID重复",IF(COUNTIF('案件索引'!$A$6:$A$105,B75)=0,"案件ID未登记",IF(AND(I75="通过",OR(C75="",H75="",L75="")),"通过须有运行、输出和评价人","格式已填；仍须人工复核"))))</x:f>
      </x:c>
    </x:row>
    <x:row r="76" ht="44" customHeight="1">
      <x:c r="A76" s="9"/>
      <x:c r="B76" s="9"/>
      <x:c r="C76" s="9"/>
      <x:c r="D76" s="9"/>
      <x:c r="E76" s="9"/>
      <x:c r="F76" s="9"/>
      <x:c r="G76" s="9"/>
      <x:c r="H76" s="9"/>
      <x:c r="I76" s="9"/>
      <x:c r="J76" s="9"/>
      <x:c r="K76" s="9"/>
      <x:c r="L76" s="9"/>
      <x:c r="M76" s="9"/>
      <x:c r="N76" s="12" t="str">
        <x:f>IF(A76="","",IF(COUNTIF($A$6:$A$305,A76)&gt;1,"记录ID重复",IF(COUNTIF('案件索引'!$A$6:$A$105,B76)=0,"案件ID未登记",IF(AND(I76="通过",OR(C76="",H76="",L76="")),"通过须有运行、输出和评价人","格式已填；仍须人工复核"))))</x:f>
      </x:c>
    </x:row>
    <x:row r="77" ht="44" customHeight="1">
      <x:c r="A77" s="9"/>
      <x:c r="B77" s="9"/>
      <x:c r="C77" s="9"/>
      <x:c r="D77" s="9"/>
      <x:c r="E77" s="9"/>
      <x:c r="F77" s="9"/>
      <x:c r="G77" s="9"/>
      <x:c r="H77" s="9"/>
      <x:c r="I77" s="9"/>
      <x:c r="J77" s="9"/>
      <x:c r="K77" s="9"/>
      <x:c r="L77" s="9"/>
      <x:c r="M77" s="9"/>
      <x:c r="N77" s="12" t="str">
        <x:f>IF(A77="","",IF(COUNTIF($A$6:$A$305,A77)&gt;1,"记录ID重复",IF(COUNTIF('案件索引'!$A$6:$A$105,B77)=0,"案件ID未登记",IF(AND(I77="通过",OR(C77="",H77="",L77="")),"通过须有运行、输出和评价人","格式已填；仍须人工复核"))))</x:f>
      </x:c>
    </x:row>
    <x:row r="78" ht="44" customHeight="1">
      <x:c r="A78" s="9"/>
      <x:c r="B78" s="9"/>
      <x:c r="C78" s="9"/>
      <x:c r="D78" s="9"/>
      <x:c r="E78" s="9"/>
      <x:c r="F78" s="9"/>
      <x:c r="G78" s="9"/>
      <x:c r="H78" s="9"/>
      <x:c r="I78" s="9"/>
      <x:c r="J78" s="9"/>
      <x:c r="K78" s="9"/>
      <x:c r="L78" s="9"/>
      <x:c r="M78" s="9"/>
      <x:c r="N78" s="12" t="str">
        <x:f>IF(A78="","",IF(COUNTIF($A$6:$A$305,A78)&gt;1,"记录ID重复",IF(COUNTIF('案件索引'!$A$6:$A$105,B78)=0,"案件ID未登记",IF(AND(I78="通过",OR(C78="",H78="",L78="")),"通过须有运行、输出和评价人","格式已填；仍须人工复核"))))</x:f>
      </x:c>
    </x:row>
    <x:row r="79" ht="44" customHeight="1">
      <x:c r="A79" s="9"/>
      <x:c r="B79" s="9"/>
      <x:c r="C79" s="9"/>
      <x:c r="D79" s="9"/>
      <x:c r="E79" s="9"/>
      <x:c r="F79" s="9"/>
      <x:c r="G79" s="9"/>
      <x:c r="H79" s="9"/>
      <x:c r="I79" s="9"/>
      <x:c r="J79" s="9"/>
      <x:c r="K79" s="9"/>
      <x:c r="L79" s="9"/>
      <x:c r="M79" s="9"/>
      <x:c r="N79" s="12" t="str">
        <x:f>IF(A79="","",IF(COUNTIF($A$6:$A$305,A79)&gt;1,"记录ID重复",IF(COUNTIF('案件索引'!$A$6:$A$105,B79)=0,"案件ID未登记",IF(AND(I79="通过",OR(C79="",H79="",L79="")),"通过须有运行、输出和评价人","格式已填；仍须人工复核"))))</x:f>
      </x:c>
    </x:row>
    <x:row r="80" ht="44" customHeight="1">
      <x:c r="A80" s="9"/>
      <x:c r="B80" s="9"/>
      <x:c r="C80" s="9"/>
      <x:c r="D80" s="9"/>
      <x:c r="E80" s="9"/>
      <x:c r="F80" s="9"/>
      <x:c r="G80" s="9"/>
      <x:c r="H80" s="9"/>
      <x:c r="I80" s="9"/>
      <x:c r="J80" s="9"/>
      <x:c r="K80" s="9"/>
      <x:c r="L80" s="9"/>
      <x:c r="M80" s="9"/>
      <x:c r="N80" s="12" t="str">
        <x:f>IF(A80="","",IF(COUNTIF($A$6:$A$305,A80)&gt;1,"记录ID重复",IF(COUNTIF('案件索引'!$A$6:$A$105,B80)=0,"案件ID未登记",IF(AND(I80="通过",OR(C80="",H80="",L80="")),"通过须有运行、输出和评价人","格式已填；仍须人工复核"))))</x:f>
      </x:c>
    </x:row>
    <x:row r="81" ht="44" customHeight="1">
      <x:c r="A81" s="9"/>
      <x:c r="B81" s="9"/>
      <x:c r="C81" s="9"/>
      <x:c r="D81" s="9"/>
      <x:c r="E81" s="9"/>
      <x:c r="F81" s="9"/>
      <x:c r="G81" s="9"/>
      <x:c r="H81" s="9"/>
      <x:c r="I81" s="9"/>
      <x:c r="J81" s="9"/>
      <x:c r="K81" s="9"/>
      <x:c r="L81" s="9"/>
      <x:c r="M81" s="9"/>
      <x:c r="N81" s="12" t="str">
        <x:f>IF(A81="","",IF(COUNTIF($A$6:$A$305,A81)&gt;1,"记录ID重复",IF(COUNTIF('案件索引'!$A$6:$A$105,B81)=0,"案件ID未登记",IF(AND(I81="通过",OR(C81="",H81="",L81="")),"通过须有运行、输出和评价人","格式已填；仍须人工复核"))))</x:f>
      </x:c>
    </x:row>
    <x:row r="82" ht="44" customHeight="1">
      <x:c r="A82" s="9"/>
      <x:c r="B82" s="9"/>
      <x:c r="C82" s="9"/>
      <x:c r="D82" s="9"/>
      <x:c r="E82" s="9"/>
      <x:c r="F82" s="9"/>
      <x:c r="G82" s="9"/>
      <x:c r="H82" s="9"/>
      <x:c r="I82" s="9"/>
      <x:c r="J82" s="9"/>
      <x:c r="K82" s="9"/>
      <x:c r="L82" s="9"/>
      <x:c r="M82" s="9"/>
      <x:c r="N82" s="12" t="str">
        <x:f>IF(A82="","",IF(COUNTIF($A$6:$A$305,A82)&gt;1,"记录ID重复",IF(COUNTIF('案件索引'!$A$6:$A$105,B82)=0,"案件ID未登记",IF(AND(I82="通过",OR(C82="",H82="",L82="")),"通过须有运行、输出和评价人","格式已填；仍须人工复核"))))</x:f>
      </x:c>
    </x:row>
    <x:row r="83" ht="44" customHeight="1">
      <x:c r="A83" s="9"/>
      <x:c r="B83" s="9"/>
      <x:c r="C83" s="9"/>
      <x:c r="D83" s="9"/>
      <x:c r="E83" s="9"/>
      <x:c r="F83" s="9"/>
      <x:c r="G83" s="9"/>
      <x:c r="H83" s="9"/>
      <x:c r="I83" s="9"/>
      <x:c r="J83" s="9"/>
      <x:c r="K83" s="9"/>
      <x:c r="L83" s="9"/>
      <x:c r="M83" s="9"/>
      <x:c r="N83" s="12" t="str">
        <x:f>IF(A83="","",IF(COUNTIF($A$6:$A$305,A83)&gt;1,"记录ID重复",IF(COUNTIF('案件索引'!$A$6:$A$105,B83)=0,"案件ID未登记",IF(AND(I83="通过",OR(C83="",H83="",L83="")),"通过须有运行、输出和评价人","格式已填；仍须人工复核"))))</x:f>
      </x:c>
    </x:row>
    <x:row r="84" ht="44" customHeight="1">
      <x:c r="A84" s="9"/>
      <x:c r="B84" s="9"/>
      <x:c r="C84" s="9"/>
      <x:c r="D84" s="9"/>
      <x:c r="E84" s="9"/>
      <x:c r="F84" s="9"/>
      <x:c r="G84" s="9"/>
      <x:c r="H84" s="9"/>
      <x:c r="I84" s="9"/>
      <x:c r="J84" s="9"/>
      <x:c r="K84" s="9"/>
      <x:c r="L84" s="9"/>
      <x:c r="M84" s="9"/>
      <x:c r="N84" s="12" t="str">
        <x:f>IF(A84="","",IF(COUNTIF($A$6:$A$305,A84)&gt;1,"记录ID重复",IF(COUNTIF('案件索引'!$A$6:$A$105,B84)=0,"案件ID未登记",IF(AND(I84="通过",OR(C84="",H84="",L84="")),"通过须有运行、输出和评价人","格式已填；仍须人工复核"))))</x:f>
      </x:c>
    </x:row>
    <x:row r="85" ht="44" customHeight="1">
      <x:c r="A85" s="9"/>
      <x:c r="B85" s="9"/>
      <x:c r="C85" s="9"/>
      <x:c r="D85" s="9"/>
      <x:c r="E85" s="9"/>
      <x:c r="F85" s="9"/>
      <x:c r="G85" s="9"/>
      <x:c r="H85" s="9"/>
      <x:c r="I85" s="9"/>
      <x:c r="J85" s="9"/>
      <x:c r="K85" s="9"/>
      <x:c r="L85" s="9"/>
      <x:c r="M85" s="9"/>
      <x:c r="N85" s="12" t="str">
        <x:f>IF(A85="","",IF(COUNTIF($A$6:$A$305,A85)&gt;1,"记录ID重复",IF(COUNTIF('案件索引'!$A$6:$A$105,B85)=0,"案件ID未登记",IF(AND(I85="通过",OR(C85="",H85="",L85="")),"通过须有运行、输出和评价人","格式已填；仍须人工复核"))))</x:f>
      </x:c>
    </x:row>
    <x:row r="86" ht="44" customHeight="1">
      <x:c r="A86" s="9"/>
      <x:c r="B86" s="9"/>
      <x:c r="C86" s="9"/>
      <x:c r="D86" s="9"/>
      <x:c r="E86" s="9"/>
      <x:c r="F86" s="9"/>
      <x:c r="G86" s="9"/>
      <x:c r="H86" s="9"/>
      <x:c r="I86" s="9"/>
      <x:c r="J86" s="9"/>
      <x:c r="K86" s="9"/>
      <x:c r="L86" s="9"/>
      <x:c r="M86" s="9"/>
      <x:c r="N86" s="12" t="str">
        <x:f>IF(A86="","",IF(COUNTIF($A$6:$A$305,A86)&gt;1,"记录ID重复",IF(COUNTIF('案件索引'!$A$6:$A$105,B86)=0,"案件ID未登记",IF(AND(I86="通过",OR(C86="",H86="",L86="")),"通过须有运行、输出和评价人","格式已填；仍须人工复核"))))</x:f>
      </x:c>
    </x:row>
    <x:row r="87" ht="44" customHeight="1">
      <x:c r="A87" s="9"/>
      <x:c r="B87" s="9"/>
      <x:c r="C87" s="9"/>
      <x:c r="D87" s="9"/>
      <x:c r="E87" s="9"/>
      <x:c r="F87" s="9"/>
      <x:c r="G87" s="9"/>
      <x:c r="H87" s="9"/>
      <x:c r="I87" s="9"/>
      <x:c r="J87" s="9"/>
      <x:c r="K87" s="9"/>
      <x:c r="L87" s="9"/>
      <x:c r="M87" s="9"/>
      <x:c r="N87" s="12" t="str">
        <x:f>IF(A87="","",IF(COUNTIF($A$6:$A$305,A87)&gt;1,"记录ID重复",IF(COUNTIF('案件索引'!$A$6:$A$105,B87)=0,"案件ID未登记",IF(AND(I87="通过",OR(C87="",H87="",L87="")),"通过须有运行、输出和评价人","格式已填；仍须人工复核"))))</x:f>
      </x:c>
    </x:row>
    <x:row r="88" ht="44" customHeight="1">
      <x:c r="A88" s="9"/>
      <x:c r="B88" s="9"/>
      <x:c r="C88" s="9"/>
      <x:c r="D88" s="9"/>
      <x:c r="E88" s="9"/>
      <x:c r="F88" s="9"/>
      <x:c r="G88" s="9"/>
      <x:c r="H88" s="9"/>
      <x:c r="I88" s="9"/>
      <x:c r="J88" s="9"/>
      <x:c r="K88" s="9"/>
      <x:c r="L88" s="9"/>
      <x:c r="M88" s="9"/>
      <x:c r="N88" s="12" t="str">
        <x:f>IF(A88="","",IF(COUNTIF($A$6:$A$305,A88)&gt;1,"记录ID重复",IF(COUNTIF('案件索引'!$A$6:$A$105,B88)=0,"案件ID未登记",IF(AND(I88="通过",OR(C88="",H88="",L88="")),"通过须有运行、输出和评价人","格式已填；仍须人工复核"))))</x:f>
      </x:c>
    </x:row>
    <x:row r="89" ht="44" customHeight="1">
      <x:c r="A89" s="9"/>
      <x:c r="B89" s="9"/>
      <x:c r="C89" s="9"/>
      <x:c r="D89" s="9"/>
      <x:c r="E89" s="9"/>
      <x:c r="F89" s="9"/>
      <x:c r="G89" s="9"/>
      <x:c r="H89" s="9"/>
      <x:c r="I89" s="9"/>
      <x:c r="J89" s="9"/>
      <x:c r="K89" s="9"/>
      <x:c r="L89" s="9"/>
      <x:c r="M89" s="9"/>
      <x:c r="N89" s="12" t="str">
        <x:f>IF(A89="","",IF(COUNTIF($A$6:$A$305,A89)&gt;1,"记录ID重复",IF(COUNTIF('案件索引'!$A$6:$A$105,B89)=0,"案件ID未登记",IF(AND(I89="通过",OR(C89="",H89="",L89="")),"通过须有运行、输出和评价人","格式已填；仍须人工复核"))))</x:f>
      </x:c>
    </x:row>
    <x:row r="90" ht="44" customHeight="1">
      <x:c r="A90" s="9"/>
      <x:c r="B90" s="9"/>
      <x:c r="C90" s="9"/>
      <x:c r="D90" s="9"/>
      <x:c r="E90" s="9"/>
      <x:c r="F90" s="9"/>
      <x:c r="G90" s="9"/>
      <x:c r="H90" s="9"/>
      <x:c r="I90" s="9"/>
      <x:c r="J90" s="9"/>
      <x:c r="K90" s="9"/>
      <x:c r="L90" s="9"/>
      <x:c r="M90" s="9"/>
      <x:c r="N90" s="12" t="str">
        <x:f>IF(A90="","",IF(COUNTIF($A$6:$A$305,A90)&gt;1,"记录ID重复",IF(COUNTIF('案件索引'!$A$6:$A$105,B90)=0,"案件ID未登记",IF(AND(I90="通过",OR(C90="",H90="",L90="")),"通过须有运行、输出和评价人","格式已填；仍须人工复核"))))</x:f>
      </x:c>
    </x:row>
    <x:row r="91" ht="44" customHeight="1">
      <x:c r="A91" s="9"/>
      <x:c r="B91" s="9"/>
      <x:c r="C91" s="9"/>
      <x:c r="D91" s="9"/>
      <x:c r="E91" s="9"/>
      <x:c r="F91" s="9"/>
      <x:c r="G91" s="9"/>
      <x:c r="H91" s="9"/>
      <x:c r="I91" s="9"/>
      <x:c r="J91" s="9"/>
      <x:c r="K91" s="9"/>
      <x:c r="L91" s="9"/>
      <x:c r="M91" s="9"/>
      <x:c r="N91" s="12" t="str">
        <x:f>IF(A91="","",IF(COUNTIF($A$6:$A$305,A91)&gt;1,"记录ID重复",IF(COUNTIF('案件索引'!$A$6:$A$105,B91)=0,"案件ID未登记",IF(AND(I91="通过",OR(C91="",H91="",L91="")),"通过须有运行、输出和评价人","格式已填；仍须人工复核"))))</x:f>
      </x:c>
    </x:row>
    <x:row r="92" ht="44" customHeight="1">
      <x:c r="A92" s="9"/>
      <x:c r="B92" s="9"/>
      <x:c r="C92" s="9"/>
      <x:c r="D92" s="9"/>
      <x:c r="E92" s="9"/>
      <x:c r="F92" s="9"/>
      <x:c r="G92" s="9"/>
      <x:c r="H92" s="9"/>
      <x:c r="I92" s="9"/>
      <x:c r="J92" s="9"/>
      <x:c r="K92" s="9"/>
      <x:c r="L92" s="9"/>
      <x:c r="M92" s="9"/>
      <x:c r="N92" s="12" t="str">
        <x:f>IF(A92="","",IF(COUNTIF($A$6:$A$305,A92)&gt;1,"记录ID重复",IF(COUNTIF('案件索引'!$A$6:$A$105,B92)=0,"案件ID未登记",IF(AND(I92="通过",OR(C92="",H92="",L92="")),"通过须有运行、输出和评价人","格式已填；仍须人工复核"))))</x:f>
      </x:c>
    </x:row>
    <x:row r="93" ht="44" customHeight="1">
      <x:c r="A93" s="9"/>
      <x:c r="B93" s="9"/>
      <x:c r="C93" s="9"/>
      <x:c r="D93" s="9"/>
      <x:c r="E93" s="9"/>
      <x:c r="F93" s="9"/>
      <x:c r="G93" s="9"/>
      <x:c r="H93" s="9"/>
      <x:c r="I93" s="9"/>
      <x:c r="J93" s="9"/>
      <x:c r="K93" s="9"/>
      <x:c r="L93" s="9"/>
      <x:c r="M93" s="9"/>
      <x:c r="N93" s="12" t="str">
        <x:f>IF(A93="","",IF(COUNTIF($A$6:$A$305,A93)&gt;1,"记录ID重复",IF(COUNTIF('案件索引'!$A$6:$A$105,B93)=0,"案件ID未登记",IF(AND(I93="通过",OR(C93="",H93="",L93="")),"通过须有运行、输出和评价人","格式已填；仍须人工复核"))))</x:f>
      </x:c>
    </x:row>
    <x:row r="94" ht="44" customHeight="1">
      <x:c r="A94" s="9"/>
      <x:c r="B94" s="9"/>
      <x:c r="C94" s="9"/>
      <x:c r="D94" s="9"/>
      <x:c r="E94" s="9"/>
      <x:c r="F94" s="9"/>
      <x:c r="G94" s="9"/>
      <x:c r="H94" s="9"/>
      <x:c r="I94" s="9"/>
      <x:c r="J94" s="9"/>
      <x:c r="K94" s="9"/>
      <x:c r="L94" s="9"/>
      <x:c r="M94" s="9"/>
      <x:c r="N94" s="12" t="str">
        <x:f>IF(A94="","",IF(COUNTIF($A$6:$A$305,A94)&gt;1,"记录ID重复",IF(COUNTIF('案件索引'!$A$6:$A$105,B94)=0,"案件ID未登记",IF(AND(I94="通过",OR(C94="",H94="",L94="")),"通过须有运行、输出和评价人","格式已填；仍须人工复核"))))</x:f>
      </x:c>
    </x:row>
    <x:row r="95" ht="44" customHeight="1">
      <x:c r="A95" s="9"/>
      <x:c r="B95" s="9"/>
      <x:c r="C95" s="9"/>
      <x:c r="D95" s="9"/>
      <x:c r="E95" s="9"/>
      <x:c r="F95" s="9"/>
      <x:c r="G95" s="9"/>
      <x:c r="H95" s="9"/>
      <x:c r="I95" s="9"/>
      <x:c r="J95" s="9"/>
      <x:c r="K95" s="9"/>
      <x:c r="L95" s="9"/>
      <x:c r="M95" s="9"/>
      <x:c r="N95" s="12" t="str">
        <x:f>IF(A95="","",IF(COUNTIF($A$6:$A$305,A95)&gt;1,"记录ID重复",IF(COUNTIF('案件索引'!$A$6:$A$105,B95)=0,"案件ID未登记",IF(AND(I95="通过",OR(C95="",H95="",L95="")),"通过须有运行、输出和评价人","格式已填；仍须人工复核"))))</x:f>
      </x:c>
    </x:row>
    <x:row r="96" ht="44" customHeight="1">
      <x:c r="A96" s="9"/>
      <x:c r="B96" s="9"/>
      <x:c r="C96" s="9"/>
      <x:c r="D96" s="9"/>
      <x:c r="E96" s="9"/>
      <x:c r="F96" s="9"/>
      <x:c r="G96" s="9"/>
      <x:c r="H96" s="9"/>
      <x:c r="I96" s="9"/>
      <x:c r="J96" s="9"/>
      <x:c r="K96" s="9"/>
      <x:c r="L96" s="9"/>
      <x:c r="M96" s="9"/>
      <x:c r="N96" s="12" t="str">
        <x:f>IF(A96="","",IF(COUNTIF($A$6:$A$305,A96)&gt;1,"记录ID重复",IF(COUNTIF('案件索引'!$A$6:$A$105,B96)=0,"案件ID未登记",IF(AND(I96="通过",OR(C96="",H96="",L96="")),"通过须有运行、输出和评价人","格式已填；仍须人工复核"))))</x:f>
      </x:c>
    </x:row>
    <x:row r="97" ht="44" customHeight="1">
      <x:c r="A97" s="9"/>
      <x:c r="B97" s="9"/>
      <x:c r="C97" s="9"/>
      <x:c r="D97" s="9"/>
      <x:c r="E97" s="9"/>
      <x:c r="F97" s="9"/>
      <x:c r="G97" s="9"/>
      <x:c r="H97" s="9"/>
      <x:c r="I97" s="9"/>
      <x:c r="J97" s="9"/>
      <x:c r="K97" s="9"/>
      <x:c r="L97" s="9"/>
      <x:c r="M97" s="9"/>
      <x:c r="N97" s="12" t="str">
        <x:f>IF(A97="","",IF(COUNTIF($A$6:$A$305,A97)&gt;1,"记录ID重复",IF(COUNTIF('案件索引'!$A$6:$A$105,B97)=0,"案件ID未登记",IF(AND(I97="通过",OR(C97="",H97="",L97="")),"通过须有运行、输出和评价人","格式已填；仍须人工复核"))))</x:f>
      </x:c>
    </x:row>
    <x:row r="98" ht="44" customHeight="1">
      <x:c r="A98" s="9"/>
      <x:c r="B98" s="9"/>
      <x:c r="C98" s="9"/>
      <x:c r="D98" s="9"/>
      <x:c r="E98" s="9"/>
      <x:c r="F98" s="9"/>
      <x:c r="G98" s="9"/>
      <x:c r="H98" s="9"/>
      <x:c r="I98" s="9"/>
      <x:c r="J98" s="9"/>
      <x:c r="K98" s="9"/>
      <x:c r="L98" s="9"/>
      <x:c r="M98" s="9"/>
      <x:c r="N98" s="12" t="str">
        <x:f>IF(A98="","",IF(COUNTIF($A$6:$A$305,A98)&gt;1,"记录ID重复",IF(COUNTIF('案件索引'!$A$6:$A$105,B98)=0,"案件ID未登记",IF(AND(I98="通过",OR(C98="",H98="",L98="")),"通过须有运行、输出和评价人","格式已填；仍须人工复核"))))</x:f>
      </x:c>
    </x:row>
    <x:row r="99" ht="44" customHeight="1">
      <x:c r="A99" s="9"/>
      <x:c r="B99" s="9"/>
      <x:c r="C99" s="9"/>
      <x:c r="D99" s="9"/>
      <x:c r="E99" s="9"/>
      <x:c r="F99" s="9"/>
      <x:c r="G99" s="9"/>
      <x:c r="H99" s="9"/>
      <x:c r="I99" s="9"/>
      <x:c r="J99" s="9"/>
      <x:c r="K99" s="9"/>
      <x:c r="L99" s="9"/>
      <x:c r="M99" s="9"/>
      <x:c r="N99" s="12" t="str">
        <x:f>IF(A99="","",IF(COUNTIF($A$6:$A$305,A99)&gt;1,"记录ID重复",IF(COUNTIF('案件索引'!$A$6:$A$105,B99)=0,"案件ID未登记",IF(AND(I99="通过",OR(C99="",H99="",L99="")),"通过须有运行、输出和评价人","格式已填；仍须人工复核"))))</x:f>
      </x:c>
    </x:row>
    <x:row r="100" ht="44" customHeight="1">
      <x:c r="A100" s="9"/>
      <x:c r="B100" s="9"/>
      <x:c r="C100" s="9"/>
      <x:c r="D100" s="9"/>
      <x:c r="E100" s="9"/>
      <x:c r="F100" s="9"/>
      <x:c r="G100" s="9"/>
      <x:c r="H100" s="9"/>
      <x:c r="I100" s="9"/>
      <x:c r="J100" s="9"/>
      <x:c r="K100" s="9"/>
      <x:c r="L100" s="9"/>
      <x:c r="M100" s="9"/>
      <x:c r="N100" s="12" t="str">
        <x:f>IF(A100="","",IF(COUNTIF($A$6:$A$305,A100)&gt;1,"记录ID重复",IF(COUNTIF('案件索引'!$A$6:$A$105,B100)=0,"案件ID未登记",IF(AND(I100="通过",OR(C100="",H100="",L100="")),"通过须有运行、输出和评价人","格式已填；仍须人工复核"))))</x:f>
      </x:c>
    </x:row>
    <x:row r="101" ht="44" customHeight="1">
      <x:c r="A101" s="9"/>
      <x:c r="B101" s="9"/>
      <x:c r="C101" s="9"/>
      <x:c r="D101" s="9"/>
      <x:c r="E101" s="9"/>
      <x:c r="F101" s="9"/>
      <x:c r="G101" s="9"/>
      <x:c r="H101" s="9"/>
      <x:c r="I101" s="9"/>
      <x:c r="J101" s="9"/>
      <x:c r="K101" s="9"/>
      <x:c r="L101" s="9"/>
      <x:c r="M101" s="9"/>
      <x:c r="N101" s="12" t="str">
        <x:f>IF(A101="","",IF(COUNTIF($A$6:$A$305,A101)&gt;1,"记录ID重复",IF(COUNTIF('案件索引'!$A$6:$A$105,B101)=0,"案件ID未登记",IF(AND(I101="通过",OR(C101="",H101="",L101="")),"通过须有运行、输出和评价人","格式已填；仍须人工复核"))))</x:f>
      </x:c>
    </x:row>
    <x:row r="102" ht="44" customHeight="1">
      <x:c r="A102" s="9"/>
      <x:c r="B102" s="9"/>
      <x:c r="C102" s="9"/>
      <x:c r="D102" s="9"/>
      <x:c r="E102" s="9"/>
      <x:c r="F102" s="9"/>
      <x:c r="G102" s="9"/>
      <x:c r="H102" s="9"/>
      <x:c r="I102" s="9"/>
      <x:c r="J102" s="9"/>
      <x:c r="K102" s="9"/>
      <x:c r="L102" s="9"/>
      <x:c r="M102" s="9"/>
      <x:c r="N102" s="12" t="str">
        <x:f>IF(A102="","",IF(COUNTIF($A$6:$A$305,A102)&gt;1,"记录ID重复",IF(COUNTIF('案件索引'!$A$6:$A$105,B102)=0,"案件ID未登记",IF(AND(I102="通过",OR(C102="",H102="",L102="")),"通过须有运行、输出和评价人","格式已填；仍须人工复核"))))</x:f>
      </x:c>
    </x:row>
    <x:row r="103" ht="44" customHeight="1">
      <x:c r="A103" s="9"/>
      <x:c r="B103" s="9"/>
      <x:c r="C103" s="9"/>
      <x:c r="D103" s="9"/>
      <x:c r="E103" s="9"/>
      <x:c r="F103" s="9"/>
      <x:c r="G103" s="9"/>
      <x:c r="H103" s="9"/>
      <x:c r="I103" s="9"/>
      <x:c r="J103" s="9"/>
      <x:c r="K103" s="9"/>
      <x:c r="L103" s="9"/>
      <x:c r="M103" s="9"/>
      <x:c r="N103" s="12" t="str">
        <x:f>IF(A103="","",IF(COUNTIF($A$6:$A$305,A103)&gt;1,"记录ID重复",IF(COUNTIF('案件索引'!$A$6:$A$105,B103)=0,"案件ID未登记",IF(AND(I103="通过",OR(C103="",H103="",L103="")),"通过须有运行、输出和评价人","格式已填；仍须人工复核"))))</x:f>
      </x:c>
    </x:row>
    <x:row r="104" ht="44" customHeight="1">
      <x:c r="A104" s="9"/>
      <x:c r="B104" s="9"/>
      <x:c r="C104" s="9"/>
      <x:c r="D104" s="9"/>
      <x:c r="E104" s="9"/>
      <x:c r="F104" s="9"/>
      <x:c r="G104" s="9"/>
      <x:c r="H104" s="9"/>
      <x:c r="I104" s="9"/>
      <x:c r="J104" s="9"/>
      <x:c r="K104" s="9"/>
      <x:c r="L104" s="9"/>
      <x:c r="M104" s="9"/>
      <x:c r="N104" s="12" t="str">
        <x:f>IF(A104="","",IF(COUNTIF($A$6:$A$305,A104)&gt;1,"记录ID重复",IF(COUNTIF('案件索引'!$A$6:$A$105,B104)=0,"案件ID未登记",IF(AND(I104="通过",OR(C104="",H104="",L104="")),"通过须有运行、输出和评价人","格式已填；仍须人工复核"))))</x:f>
      </x:c>
    </x:row>
    <x:row r="105" ht="44" customHeight="1">
      <x:c r="A105" s="9"/>
      <x:c r="B105" s="9"/>
      <x:c r="C105" s="9"/>
      <x:c r="D105" s="9"/>
      <x:c r="E105" s="9"/>
      <x:c r="F105" s="9"/>
      <x:c r="G105" s="9"/>
      <x:c r="H105" s="9"/>
      <x:c r="I105" s="9"/>
      <x:c r="J105" s="9"/>
      <x:c r="K105" s="9"/>
      <x:c r="L105" s="9"/>
      <x:c r="M105" s="9"/>
      <x:c r="N105" s="12" t="str">
        <x:f>IF(A105="","",IF(COUNTIF($A$6:$A$305,A105)&gt;1,"记录ID重复",IF(COUNTIF('案件索引'!$A$6:$A$105,B105)=0,"案件ID未登记",IF(AND(I105="通过",OR(C105="",H105="",L105="")),"通过须有运行、输出和评价人","格式已填；仍须人工复核"))))</x:f>
      </x:c>
    </x:row>
    <x:row r="106" ht="44" customHeight="1">
      <x:c r="A106" s="9"/>
      <x:c r="B106" s="9"/>
      <x:c r="C106" s="9"/>
      <x:c r="D106" s="9"/>
      <x:c r="E106" s="9"/>
      <x:c r="F106" s="9"/>
      <x:c r="G106" s="9"/>
      <x:c r="H106" s="9"/>
      <x:c r="I106" s="9"/>
      <x:c r="J106" s="9"/>
      <x:c r="K106" s="9"/>
      <x:c r="L106" s="9"/>
      <x:c r="M106" s="9"/>
      <x:c r="N106" s="12" t="str">
        <x:f>IF(A106="","",IF(COUNTIF($A$6:$A$305,A106)&gt;1,"记录ID重复",IF(COUNTIF('案件索引'!$A$6:$A$105,B106)=0,"案件ID未登记",IF(AND(I106="通过",OR(C106="",H106="",L106="")),"通过须有运行、输出和评价人","格式已填；仍须人工复核"))))</x:f>
      </x:c>
    </x:row>
    <x:row r="107" ht="44" customHeight="1">
      <x:c r="A107" s="9"/>
      <x:c r="B107" s="9"/>
      <x:c r="C107" s="9"/>
      <x:c r="D107" s="9"/>
      <x:c r="E107" s="9"/>
      <x:c r="F107" s="9"/>
      <x:c r="G107" s="9"/>
      <x:c r="H107" s="9"/>
      <x:c r="I107" s="9"/>
      <x:c r="J107" s="9"/>
      <x:c r="K107" s="9"/>
      <x:c r="L107" s="9"/>
      <x:c r="M107" s="9"/>
      <x:c r="N107" s="12" t="str">
        <x:f>IF(A107="","",IF(COUNTIF($A$6:$A$305,A107)&gt;1,"记录ID重复",IF(COUNTIF('案件索引'!$A$6:$A$105,B107)=0,"案件ID未登记",IF(AND(I107="通过",OR(C107="",H107="",L107="")),"通过须有运行、输出和评价人","格式已填；仍须人工复核"))))</x:f>
      </x:c>
    </x:row>
    <x:row r="108" ht="44" customHeight="1">
      <x:c r="A108" s="9"/>
      <x:c r="B108" s="9"/>
      <x:c r="C108" s="9"/>
      <x:c r="D108" s="9"/>
      <x:c r="E108" s="9"/>
      <x:c r="F108" s="9"/>
      <x:c r="G108" s="9"/>
      <x:c r="H108" s="9"/>
      <x:c r="I108" s="9"/>
      <x:c r="J108" s="9"/>
      <x:c r="K108" s="9"/>
      <x:c r="L108" s="9"/>
      <x:c r="M108" s="9"/>
      <x:c r="N108" s="12" t="str">
        <x:f>IF(A108="","",IF(COUNTIF($A$6:$A$305,A108)&gt;1,"记录ID重复",IF(COUNTIF('案件索引'!$A$6:$A$105,B108)=0,"案件ID未登记",IF(AND(I108="通过",OR(C108="",H108="",L108="")),"通过须有运行、输出和评价人","格式已填；仍须人工复核"))))</x:f>
      </x:c>
    </x:row>
    <x:row r="109" ht="44" customHeight="1">
      <x:c r="A109" s="9"/>
      <x:c r="B109" s="9"/>
      <x:c r="C109" s="9"/>
      <x:c r="D109" s="9"/>
      <x:c r="E109" s="9"/>
      <x:c r="F109" s="9"/>
      <x:c r="G109" s="9"/>
      <x:c r="H109" s="9"/>
      <x:c r="I109" s="9"/>
      <x:c r="J109" s="9"/>
      <x:c r="K109" s="9"/>
      <x:c r="L109" s="9"/>
      <x:c r="M109" s="9"/>
      <x:c r="N109" s="12" t="str">
        <x:f>IF(A109="","",IF(COUNTIF($A$6:$A$305,A109)&gt;1,"记录ID重复",IF(COUNTIF('案件索引'!$A$6:$A$105,B109)=0,"案件ID未登记",IF(AND(I109="通过",OR(C109="",H109="",L109="")),"通过须有运行、输出和评价人","格式已填；仍须人工复核"))))</x:f>
      </x:c>
    </x:row>
    <x:row r="110" ht="44" customHeight="1">
      <x:c r="A110" s="9"/>
      <x:c r="B110" s="9"/>
      <x:c r="C110" s="9"/>
      <x:c r="D110" s="9"/>
      <x:c r="E110" s="9"/>
      <x:c r="F110" s="9"/>
      <x:c r="G110" s="9"/>
      <x:c r="H110" s="9"/>
      <x:c r="I110" s="9"/>
      <x:c r="J110" s="9"/>
      <x:c r="K110" s="9"/>
      <x:c r="L110" s="9"/>
      <x:c r="M110" s="9"/>
      <x:c r="N110" s="12" t="str">
        <x:f>IF(A110="","",IF(COUNTIF($A$6:$A$305,A110)&gt;1,"记录ID重复",IF(COUNTIF('案件索引'!$A$6:$A$105,B110)=0,"案件ID未登记",IF(AND(I110="通过",OR(C110="",H110="",L110="")),"通过须有运行、输出和评价人","格式已填；仍须人工复核"))))</x:f>
      </x:c>
    </x:row>
    <x:row r="111" ht="44" customHeight="1">
      <x:c r="A111" s="9"/>
      <x:c r="B111" s="9"/>
      <x:c r="C111" s="9"/>
      <x:c r="D111" s="9"/>
      <x:c r="E111" s="9"/>
      <x:c r="F111" s="9"/>
      <x:c r="G111" s="9"/>
      <x:c r="H111" s="9"/>
      <x:c r="I111" s="9"/>
      <x:c r="J111" s="9"/>
      <x:c r="K111" s="9"/>
      <x:c r="L111" s="9"/>
      <x:c r="M111" s="9"/>
      <x:c r="N111" s="12" t="str">
        <x:f>IF(A111="","",IF(COUNTIF($A$6:$A$305,A111)&gt;1,"记录ID重复",IF(COUNTIF('案件索引'!$A$6:$A$105,B111)=0,"案件ID未登记",IF(AND(I111="通过",OR(C111="",H111="",L111="")),"通过须有运行、输出和评价人","格式已填；仍须人工复核"))))</x:f>
      </x:c>
    </x:row>
    <x:row r="112" ht="44" customHeight="1">
      <x:c r="A112" s="9"/>
      <x:c r="B112" s="9"/>
      <x:c r="C112" s="9"/>
      <x:c r="D112" s="9"/>
      <x:c r="E112" s="9"/>
      <x:c r="F112" s="9"/>
      <x:c r="G112" s="9"/>
      <x:c r="H112" s="9"/>
      <x:c r="I112" s="9"/>
      <x:c r="J112" s="9"/>
      <x:c r="K112" s="9"/>
      <x:c r="L112" s="9"/>
      <x:c r="M112" s="9"/>
      <x:c r="N112" s="12" t="str">
        <x:f>IF(A112="","",IF(COUNTIF($A$6:$A$305,A112)&gt;1,"记录ID重复",IF(COUNTIF('案件索引'!$A$6:$A$105,B112)=0,"案件ID未登记",IF(AND(I112="通过",OR(C112="",H112="",L112="")),"通过须有运行、输出和评价人","格式已填；仍须人工复核"))))</x:f>
      </x:c>
    </x:row>
    <x:row r="113" ht="44" customHeight="1">
      <x:c r="A113" s="9"/>
      <x:c r="B113" s="9"/>
      <x:c r="C113" s="9"/>
      <x:c r="D113" s="9"/>
      <x:c r="E113" s="9"/>
      <x:c r="F113" s="9"/>
      <x:c r="G113" s="9"/>
      <x:c r="H113" s="9"/>
      <x:c r="I113" s="9"/>
      <x:c r="J113" s="9"/>
      <x:c r="K113" s="9"/>
      <x:c r="L113" s="9"/>
      <x:c r="M113" s="9"/>
      <x:c r="N113" s="12" t="str">
        <x:f>IF(A113="","",IF(COUNTIF($A$6:$A$305,A113)&gt;1,"记录ID重复",IF(COUNTIF('案件索引'!$A$6:$A$105,B113)=0,"案件ID未登记",IF(AND(I113="通过",OR(C113="",H113="",L113="")),"通过须有运行、输出和评价人","格式已填；仍须人工复核"))))</x:f>
      </x:c>
    </x:row>
    <x:row r="114" ht="44" customHeight="1">
      <x:c r="A114" s="9"/>
      <x:c r="B114" s="9"/>
      <x:c r="C114" s="9"/>
      <x:c r="D114" s="9"/>
      <x:c r="E114" s="9"/>
      <x:c r="F114" s="9"/>
      <x:c r="G114" s="9"/>
      <x:c r="H114" s="9"/>
      <x:c r="I114" s="9"/>
      <x:c r="J114" s="9"/>
      <x:c r="K114" s="9"/>
      <x:c r="L114" s="9"/>
      <x:c r="M114" s="9"/>
      <x:c r="N114" s="12" t="str">
        <x:f>IF(A114="","",IF(COUNTIF($A$6:$A$305,A114)&gt;1,"记录ID重复",IF(COUNTIF('案件索引'!$A$6:$A$105,B114)=0,"案件ID未登记",IF(AND(I114="通过",OR(C114="",H114="",L114="")),"通过须有运行、输出和评价人","格式已填；仍须人工复核"))))</x:f>
      </x:c>
    </x:row>
    <x:row r="115" ht="44" customHeight="1">
      <x:c r="A115" s="9"/>
      <x:c r="B115" s="9"/>
      <x:c r="C115" s="9"/>
      <x:c r="D115" s="9"/>
      <x:c r="E115" s="9"/>
      <x:c r="F115" s="9"/>
      <x:c r="G115" s="9"/>
      <x:c r="H115" s="9"/>
      <x:c r="I115" s="9"/>
      <x:c r="J115" s="9"/>
      <x:c r="K115" s="9"/>
      <x:c r="L115" s="9"/>
      <x:c r="M115" s="9"/>
      <x:c r="N115" s="12" t="str">
        <x:f>IF(A115="","",IF(COUNTIF($A$6:$A$305,A115)&gt;1,"记录ID重复",IF(COUNTIF('案件索引'!$A$6:$A$105,B115)=0,"案件ID未登记",IF(AND(I115="通过",OR(C115="",H115="",L115="")),"通过须有运行、输出和评价人","格式已填；仍须人工复核"))))</x:f>
      </x:c>
    </x:row>
    <x:row r="116" ht="44" customHeight="1">
      <x:c r="A116" s="9"/>
      <x:c r="B116" s="9"/>
      <x:c r="C116" s="9"/>
      <x:c r="D116" s="9"/>
      <x:c r="E116" s="9"/>
      <x:c r="F116" s="9"/>
      <x:c r="G116" s="9"/>
      <x:c r="H116" s="9"/>
      <x:c r="I116" s="9"/>
      <x:c r="J116" s="9"/>
      <x:c r="K116" s="9"/>
      <x:c r="L116" s="9"/>
      <x:c r="M116" s="9"/>
      <x:c r="N116" s="12" t="str">
        <x:f>IF(A116="","",IF(COUNTIF($A$6:$A$305,A116)&gt;1,"记录ID重复",IF(COUNTIF('案件索引'!$A$6:$A$105,B116)=0,"案件ID未登记",IF(AND(I116="通过",OR(C116="",H116="",L116="")),"通过须有运行、输出和评价人","格式已填；仍须人工复核"))))</x:f>
      </x:c>
    </x:row>
    <x:row r="117" ht="44" customHeight="1">
      <x:c r="A117" s="9"/>
      <x:c r="B117" s="9"/>
      <x:c r="C117" s="9"/>
      <x:c r="D117" s="9"/>
      <x:c r="E117" s="9"/>
      <x:c r="F117" s="9"/>
      <x:c r="G117" s="9"/>
      <x:c r="H117" s="9"/>
      <x:c r="I117" s="9"/>
      <x:c r="J117" s="9"/>
      <x:c r="K117" s="9"/>
      <x:c r="L117" s="9"/>
      <x:c r="M117" s="9"/>
      <x:c r="N117" s="12" t="str">
        <x:f>IF(A117="","",IF(COUNTIF($A$6:$A$305,A117)&gt;1,"记录ID重复",IF(COUNTIF('案件索引'!$A$6:$A$105,B117)=0,"案件ID未登记",IF(AND(I117="通过",OR(C117="",H117="",L117="")),"通过须有运行、输出和评价人","格式已填；仍须人工复核"))))</x:f>
      </x:c>
    </x:row>
    <x:row r="118" ht="44" customHeight="1">
      <x:c r="A118" s="9"/>
      <x:c r="B118" s="9"/>
      <x:c r="C118" s="9"/>
      <x:c r="D118" s="9"/>
      <x:c r="E118" s="9"/>
      <x:c r="F118" s="9"/>
      <x:c r="G118" s="9"/>
      <x:c r="H118" s="9"/>
      <x:c r="I118" s="9"/>
      <x:c r="J118" s="9"/>
      <x:c r="K118" s="9"/>
      <x:c r="L118" s="9"/>
      <x:c r="M118" s="9"/>
      <x:c r="N118" s="12" t="str">
        <x:f>IF(A118="","",IF(COUNTIF($A$6:$A$305,A118)&gt;1,"记录ID重复",IF(COUNTIF('案件索引'!$A$6:$A$105,B118)=0,"案件ID未登记",IF(AND(I118="通过",OR(C118="",H118="",L118="")),"通过须有运行、输出和评价人","格式已填；仍须人工复核"))))</x:f>
      </x:c>
    </x:row>
    <x:row r="119" ht="44" customHeight="1">
      <x:c r="A119" s="9"/>
      <x:c r="B119" s="9"/>
      <x:c r="C119" s="9"/>
      <x:c r="D119" s="9"/>
      <x:c r="E119" s="9"/>
      <x:c r="F119" s="9"/>
      <x:c r="G119" s="9"/>
      <x:c r="H119" s="9"/>
      <x:c r="I119" s="9"/>
      <x:c r="J119" s="9"/>
      <x:c r="K119" s="9"/>
      <x:c r="L119" s="9"/>
      <x:c r="M119" s="9"/>
      <x:c r="N119" s="12" t="str">
        <x:f>IF(A119="","",IF(COUNTIF($A$6:$A$305,A119)&gt;1,"记录ID重复",IF(COUNTIF('案件索引'!$A$6:$A$105,B119)=0,"案件ID未登记",IF(AND(I119="通过",OR(C119="",H119="",L119="")),"通过须有运行、输出和评价人","格式已填；仍须人工复核"))))</x:f>
      </x:c>
    </x:row>
    <x:row r="120" ht="44" customHeight="1">
      <x:c r="A120" s="9"/>
      <x:c r="B120" s="9"/>
      <x:c r="C120" s="9"/>
      <x:c r="D120" s="9"/>
      <x:c r="E120" s="9"/>
      <x:c r="F120" s="9"/>
      <x:c r="G120" s="9"/>
      <x:c r="H120" s="9"/>
      <x:c r="I120" s="9"/>
      <x:c r="J120" s="9"/>
      <x:c r="K120" s="9"/>
      <x:c r="L120" s="9"/>
      <x:c r="M120" s="9"/>
      <x:c r="N120" s="12" t="str">
        <x:f>IF(A120="","",IF(COUNTIF($A$6:$A$305,A120)&gt;1,"记录ID重复",IF(COUNTIF('案件索引'!$A$6:$A$105,B120)=0,"案件ID未登记",IF(AND(I120="通过",OR(C120="",H120="",L120="")),"通过须有运行、输出和评价人","格式已填；仍须人工复核"))))</x:f>
      </x:c>
    </x:row>
    <x:row r="121" ht="44" customHeight="1">
      <x:c r="A121" s="9"/>
      <x:c r="B121" s="9"/>
      <x:c r="C121" s="9"/>
      <x:c r="D121" s="9"/>
      <x:c r="E121" s="9"/>
      <x:c r="F121" s="9"/>
      <x:c r="G121" s="9"/>
      <x:c r="H121" s="9"/>
      <x:c r="I121" s="9"/>
      <x:c r="J121" s="9"/>
      <x:c r="K121" s="9"/>
      <x:c r="L121" s="9"/>
      <x:c r="M121" s="9"/>
      <x:c r="N121" s="12" t="str">
        <x:f>IF(A121="","",IF(COUNTIF($A$6:$A$305,A121)&gt;1,"记录ID重复",IF(COUNTIF('案件索引'!$A$6:$A$105,B121)=0,"案件ID未登记",IF(AND(I121="通过",OR(C121="",H121="",L121="")),"通过须有运行、输出和评价人","格式已填；仍须人工复核"))))</x:f>
      </x:c>
    </x:row>
    <x:row r="122" ht="44" customHeight="1">
      <x:c r="A122" s="9"/>
      <x:c r="B122" s="9"/>
      <x:c r="C122" s="9"/>
      <x:c r="D122" s="9"/>
      <x:c r="E122" s="9"/>
      <x:c r="F122" s="9"/>
      <x:c r="G122" s="9"/>
      <x:c r="H122" s="9"/>
      <x:c r="I122" s="9"/>
      <x:c r="J122" s="9"/>
      <x:c r="K122" s="9"/>
      <x:c r="L122" s="9"/>
      <x:c r="M122" s="9"/>
      <x:c r="N122" s="12" t="str">
        <x:f>IF(A122="","",IF(COUNTIF($A$6:$A$305,A122)&gt;1,"记录ID重复",IF(COUNTIF('案件索引'!$A$6:$A$105,B122)=0,"案件ID未登记",IF(AND(I122="通过",OR(C122="",H122="",L122="")),"通过须有运行、输出和评价人","格式已填；仍须人工复核"))))</x:f>
      </x:c>
    </x:row>
    <x:row r="123" ht="44" customHeight="1">
      <x:c r="A123" s="9"/>
      <x:c r="B123" s="9"/>
      <x:c r="C123" s="9"/>
      <x:c r="D123" s="9"/>
      <x:c r="E123" s="9"/>
      <x:c r="F123" s="9"/>
      <x:c r="G123" s="9"/>
      <x:c r="H123" s="9"/>
      <x:c r="I123" s="9"/>
      <x:c r="J123" s="9"/>
      <x:c r="K123" s="9"/>
      <x:c r="L123" s="9"/>
      <x:c r="M123" s="9"/>
      <x:c r="N123" s="12" t="str">
        <x:f>IF(A123="","",IF(COUNTIF($A$6:$A$305,A123)&gt;1,"记录ID重复",IF(COUNTIF('案件索引'!$A$6:$A$105,B123)=0,"案件ID未登记",IF(AND(I123="通过",OR(C123="",H123="",L123="")),"通过须有运行、输出和评价人","格式已填；仍须人工复核"))))</x:f>
      </x:c>
    </x:row>
    <x:row r="124" ht="44" customHeight="1">
      <x:c r="A124" s="9"/>
      <x:c r="B124" s="9"/>
      <x:c r="C124" s="9"/>
      <x:c r="D124" s="9"/>
      <x:c r="E124" s="9"/>
      <x:c r="F124" s="9"/>
      <x:c r="G124" s="9"/>
      <x:c r="H124" s="9"/>
      <x:c r="I124" s="9"/>
      <x:c r="J124" s="9"/>
      <x:c r="K124" s="9"/>
      <x:c r="L124" s="9"/>
      <x:c r="M124" s="9"/>
      <x:c r="N124" s="12" t="str">
        <x:f>IF(A124="","",IF(COUNTIF($A$6:$A$305,A124)&gt;1,"记录ID重复",IF(COUNTIF('案件索引'!$A$6:$A$105,B124)=0,"案件ID未登记",IF(AND(I124="通过",OR(C124="",H124="",L124="")),"通过须有运行、输出和评价人","格式已填；仍须人工复核"))))</x:f>
      </x:c>
    </x:row>
    <x:row r="125" ht="44" customHeight="1">
      <x:c r="A125" s="9"/>
      <x:c r="B125" s="9"/>
      <x:c r="C125" s="9"/>
      <x:c r="D125" s="9"/>
      <x:c r="E125" s="9"/>
      <x:c r="F125" s="9"/>
      <x:c r="G125" s="9"/>
      <x:c r="H125" s="9"/>
      <x:c r="I125" s="9"/>
      <x:c r="J125" s="9"/>
      <x:c r="K125" s="9"/>
      <x:c r="L125" s="9"/>
      <x:c r="M125" s="9"/>
      <x:c r="N125" s="12" t="str">
        <x:f>IF(A125="","",IF(COUNTIF($A$6:$A$305,A125)&gt;1,"记录ID重复",IF(COUNTIF('案件索引'!$A$6:$A$105,B125)=0,"案件ID未登记",IF(AND(I125="通过",OR(C125="",H125="",L125="")),"通过须有运行、输出和评价人","格式已填；仍须人工复核"))))</x:f>
      </x:c>
    </x:row>
    <x:row r="126" ht="44" customHeight="1">
      <x:c r="A126" s="9"/>
      <x:c r="B126" s="9"/>
      <x:c r="C126" s="9"/>
      <x:c r="D126" s="9"/>
      <x:c r="E126" s="9"/>
      <x:c r="F126" s="9"/>
      <x:c r="G126" s="9"/>
      <x:c r="H126" s="9"/>
      <x:c r="I126" s="9"/>
      <x:c r="J126" s="9"/>
      <x:c r="K126" s="9"/>
      <x:c r="L126" s="9"/>
      <x:c r="M126" s="9"/>
      <x:c r="N126" s="12" t="str">
        <x:f>IF(A126="","",IF(COUNTIF($A$6:$A$305,A126)&gt;1,"记录ID重复",IF(COUNTIF('案件索引'!$A$6:$A$105,B126)=0,"案件ID未登记",IF(AND(I126="通过",OR(C126="",H126="",L126="")),"通过须有运行、输出和评价人","格式已填；仍须人工复核"))))</x:f>
      </x:c>
    </x:row>
    <x:row r="127" ht="44" customHeight="1">
      <x:c r="A127" s="9"/>
      <x:c r="B127" s="9"/>
      <x:c r="C127" s="9"/>
      <x:c r="D127" s="9"/>
      <x:c r="E127" s="9"/>
      <x:c r="F127" s="9"/>
      <x:c r="G127" s="9"/>
      <x:c r="H127" s="9"/>
      <x:c r="I127" s="9"/>
      <x:c r="J127" s="9"/>
      <x:c r="K127" s="9"/>
      <x:c r="L127" s="9"/>
      <x:c r="M127" s="9"/>
      <x:c r="N127" s="12" t="str">
        <x:f>IF(A127="","",IF(COUNTIF($A$6:$A$305,A127)&gt;1,"记录ID重复",IF(COUNTIF('案件索引'!$A$6:$A$105,B127)=0,"案件ID未登记",IF(AND(I127="通过",OR(C127="",H127="",L127="")),"通过须有运行、输出和评价人","格式已填；仍须人工复核"))))</x:f>
      </x:c>
    </x:row>
    <x:row r="128" ht="44" customHeight="1">
      <x:c r="A128" s="9"/>
      <x:c r="B128" s="9"/>
      <x:c r="C128" s="9"/>
      <x:c r="D128" s="9"/>
      <x:c r="E128" s="9"/>
      <x:c r="F128" s="9"/>
      <x:c r="G128" s="9"/>
      <x:c r="H128" s="9"/>
      <x:c r="I128" s="9"/>
      <x:c r="J128" s="9"/>
      <x:c r="K128" s="9"/>
      <x:c r="L128" s="9"/>
      <x:c r="M128" s="9"/>
      <x:c r="N128" s="12" t="str">
        <x:f>IF(A128="","",IF(COUNTIF($A$6:$A$305,A128)&gt;1,"记录ID重复",IF(COUNTIF('案件索引'!$A$6:$A$105,B128)=0,"案件ID未登记",IF(AND(I128="通过",OR(C128="",H128="",L128="")),"通过须有运行、输出和评价人","格式已填；仍须人工复核"))))</x:f>
      </x:c>
    </x:row>
    <x:row r="129" ht="44" customHeight="1">
      <x:c r="A129" s="9"/>
      <x:c r="B129" s="9"/>
      <x:c r="C129" s="9"/>
      <x:c r="D129" s="9"/>
      <x:c r="E129" s="9"/>
      <x:c r="F129" s="9"/>
      <x:c r="G129" s="9"/>
      <x:c r="H129" s="9"/>
      <x:c r="I129" s="9"/>
      <x:c r="J129" s="9"/>
      <x:c r="K129" s="9"/>
      <x:c r="L129" s="9"/>
      <x:c r="M129" s="9"/>
      <x:c r="N129" s="12" t="str">
        <x:f>IF(A129="","",IF(COUNTIF($A$6:$A$305,A129)&gt;1,"记录ID重复",IF(COUNTIF('案件索引'!$A$6:$A$105,B129)=0,"案件ID未登记",IF(AND(I129="通过",OR(C129="",H129="",L129="")),"通过须有运行、输出和评价人","格式已填；仍须人工复核"))))</x:f>
      </x:c>
    </x:row>
    <x:row r="130" ht="44" customHeight="1">
      <x:c r="A130" s="9"/>
      <x:c r="B130" s="9"/>
      <x:c r="C130" s="9"/>
      <x:c r="D130" s="9"/>
      <x:c r="E130" s="9"/>
      <x:c r="F130" s="9"/>
      <x:c r="G130" s="9"/>
      <x:c r="H130" s="9"/>
      <x:c r="I130" s="9"/>
      <x:c r="J130" s="9"/>
      <x:c r="K130" s="9"/>
      <x:c r="L130" s="9"/>
      <x:c r="M130" s="9"/>
      <x:c r="N130" s="12" t="str">
        <x:f>IF(A130="","",IF(COUNTIF($A$6:$A$305,A130)&gt;1,"记录ID重复",IF(COUNTIF('案件索引'!$A$6:$A$105,B130)=0,"案件ID未登记",IF(AND(I130="通过",OR(C130="",H130="",L130="")),"通过须有运行、输出和评价人","格式已填；仍须人工复核"))))</x:f>
      </x:c>
    </x:row>
    <x:row r="131" ht="44" customHeight="1">
      <x:c r="A131" s="9"/>
      <x:c r="B131" s="9"/>
      <x:c r="C131" s="9"/>
      <x:c r="D131" s="9"/>
      <x:c r="E131" s="9"/>
      <x:c r="F131" s="9"/>
      <x:c r="G131" s="9"/>
      <x:c r="H131" s="9"/>
      <x:c r="I131" s="9"/>
      <x:c r="J131" s="9"/>
      <x:c r="K131" s="9"/>
      <x:c r="L131" s="9"/>
      <x:c r="M131" s="9"/>
      <x:c r="N131" s="12" t="str">
        <x:f>IF(A131="","",IF(COUNTIF($A$6:$A$305,A131)&gt;1,"记录ID重复",IF(COUNTIF('案件索引'!$A$6:$A$105,B131)=0,"案件ID未登记",IF(AND(I131="通过",OR(C131="",H131="",L131="")),"通过须有运行、输出和评价人","格式已填；仍须人工复核"))))</x:f>
      </x:c>
    </x:row>
    <x:row r="132" ht="44" customHeight="1">
      <x:c r="A132" s="9"/>
      <x:c r="B132" s="9"/>
      <x:c r="C132" s="9"/>
      <x:c r="D132" s="9"/>
      <x:c r="E132" s="9"/>
      <x:c r="F132" s="9"/>
      <x:c r="G132" s="9"/>
      <x:c r="H132" s="9"/>
      <x:c r="I132" s="9"/>
      <x:c r="J132" s="9"/>
      <x:c r="K132" s="9"/>
      <x:c r="L132" s="9"/>
      <x:c r="M132" s="9"/>
      <x:c r="N132" s="12" t="str">
        <x:f>IF(A132="","",IF(COUNTIF($A$6:$A$305,A132)&gt;1,"记录ID重复",IF(COUNTIF('案件索引'!$A$6:$A$105,B132)=0,"案件ID未登记",IF(AND(I132="通过",OR(C132="",H132="",L132="")),"通过须有运行、输出和评价人","格式已填；仍须人工复核"))))</x:f>
      </x:c>
    </x:row>
    <x:row r="133" ht="44" customHeight="1">
      <x:c r="A133" s="9"/>
      <x:c r="B133" s="9"/>
      <x:c r="C133" s="9"/>
      <x:c r="D133" s="9"/>
      <x:c r="E133" s="9"/>
      <x:c r="F133" s="9"/>
      <x:c r="G133" s="9"/>
      <x:c r="H133" s="9"/>
      <x:c r="I133" s="9"/>
      <x:c r="J133" s="9"/>
      <x:c r="K133" s="9"/>
      <x:c r="L133" s="9"/>
      <x:c r="M133" s="9"/>
      <x:c r="N133" s="12" t="str">
        <x:f>IF(A133="","",IF(COUNTIF($A$6:$A$305,A133)&gt;1,"记录ID重复",IF(COUNTIF('案件索引'!$A$6:$A$105,B133)=0,"案件ID未登记",IF(AND(I133="通过",OR(C133="",H133="",L133="")),"通过须有运行、输出和评价人","格式已填；仍须人工复核"))))</x:f>
      </x:c>
    </x:row>
    <x:row r="134" ht="44" customHeight="1">
      <x:c r="A134" s="9"/>
      <x:c r="B134" s="9"/>
      <x:c r="C134" s="9"/>
      <x:c r="D134" s="9"/>
      <x:c r="E134" s="9"/>
      <x:c r="F134" s="9"/>
      <x:c r="G134" s="9"/>
      <x:c r="H134" s="9"/>
      <x:c r="I134" s="9"/>
      <x:c r="J134" s="9"/>
      <x:c r="K134" s="9"/>
      <x:c r="L134" s="9"/>
      <x:c r="M134" s="9"/>
      <x:c r="N134" s="12" t="str">
        <x:f>IF(A134="","",IF(COUNTIF($A$6:$A$305,A134)&gt;1,"记录ID重复",IF(COUNTIF('案件索引'!$A$6:$A$105,B134)=0,"案件ID未登记",IF(AND(I134="通过",OR(C134="",H134="",L134="")),"通过须有运行、输出和评价人","格式已填；仍须人工复核"))))</x:f>
      </x:c>
    </x:row>
    <x:row r="135" ht="44" customHeight="1">
      <x:c r="A135" s="9"/>
      <x:c r="B135" s="9"/>
      <x:c r="C135" s="9"/>
      <x:c r="D135" s="9"/>
      <x:c r="E135" s="9"/>
      <x:c r="F135" s="9"/>
      <x:c r="G135" s="9"/>
      <x:c r="H135" s="9"/>
      <x:c r="I135" s="9"/>
      <x:c r="J135" s="9"/>
      <x:c r="K135" s="9"/>
      <x:c r="L135" s="9"/>
      <x:c r="M135" s="9"/>
      <x:c r="N135" s="12" t="str">
        <x:f>IF(A135="","",IF(COUNTIF($A$6:$A$305,A135)&gt;1,"记录ID重复",IF(COUNTIF('案件索引'!$A$6:$A$105,B135)=0,"案件ID未登记",IF(AND(I135="通过",OR(C135="",H135="",L135="")),"通过须有运行、输出和评价人","格式已填；仍须人工复核"))))</x:f>
      </x:c>
    </x:row>
    <x:row r="136" ht="44" customHeight="1">
      <x:c r="A136" s="9"/>
      <x:c r="B136" s="9"/>
      <x:c r="C136" s="9"/>
      <x:c r="D136" s="9"/>
      <x:c r="E136" s="9"/>
      <x:c r="F136" s="9"/>
      <x:c r="G136" s="9"/>
      <x:c r="H136" s="9"/>
      <x:c r="I136" s="9"/>
      <x:c r="J136" s="9"/>
      <x:c r="K136" s="9"/>
      <x:c r="L136" s="9"/>
      <x:c r="M136" s="9"/>
      <x:c r="N136" s="12" t="str">
        <x:f>IF(A136="","",IF(COUNTIF($A$6:$A$305,A136)&gt;1,"记录ID重复",IF(COUNTIF('案件索引'!$A$6:$A$105,B136)=0,"案件ID未登记",IF(AND(I136="通过",OR(C136="",H136="",L136="")),"通过须有运行、输出和评价人","格式已填；仍须人工复核"))))</x:f>
      </x:c>
    </x:row>
    <x:row r="137" ht="44" customHeight="1">
      <x:c r="A137" s="9"/>
      <x:c r="B137" s="9"/>
      <x:c r="C137" s="9"/>
      <x:c r="D137" s="9"/>
      <x:c r="E137" s="9"/>
      <x:c r="F137" s="9"/>
      <x:c r="G137" s="9"/>
      <x:c r="H137" s="9"/>
      <x:c r="I137" s="9"/>
      <x:c r="J137" s="9"/>
      <x:c r="K137" s="9"/>
      <x:c r="L137" s="9"/>
      <x:c r="M137" s="9"/>
      <x:c r="N137" s="12" t="str">
        <x:f>IF(A137="","",IF(COUNTIF($A$6:$A$305,A137)&gt;1,"记录ID重复",IF(COUNTIF('案件索引'!$A$6:$A$105,B137)=0,"案件ID未登记",IF(AND(I137="通过",OR(C137="",H137="",L137="")),"通过须有运行、输出和评价人","格式已填；仍须人工复核"))))</x:f>
      </x:c>
    </x:row>
    <x:row r="138" ht="44" customHeight="1">
      <x:c r="A138" s="9"/>
      <x:c r="B138" s="9"/>
      <x:c r="C138" s="9"/>
      <x:c r="D138" s="9"/>
      <x:c r="E138" s="9"/>
      <x:c r="F138" s="9"/>
      <x:c r="G138" s="9"/>
      <x:c r="H138" s="9"/>
      <x:c r="I138" s="9"/>
      <x:c r="J138" s="9"/>
      <x:c r="K138" s="9"/>
      <x:c r="L138" s="9"/>
      <x:c r="M138" s="9"/>
      <x:c r="N138" s="12" t="str">
        <x:f>IF(A138="","",IF(COUNTIF($A$6:$A$305,A138)&gt;1,"记录ID重复",IF(COUNTIF('案件索引'!$A$6:$A$105,B138)=0,"案件ID未登记",IF(AND(I138="通过",OR(C138="",H138="",L138="")),"通过须有运行、输出和评价人","格式已填；仍须人工复核"))))</x:f>
      </x:c>
    </x:row>
    <x:row r="139" ht="44" customHeight="1">
      <x:c r="A139" s="9"/>
      <x:c r="B139" s="9"/>
      <x:c r="C139" s="9"/>
      <x:c r="D139" s="9"/>
      <x:c r="E139" s="9"/>
      <x:c r="F139" s="9"/>
      <x:c r="G139" s="9"/>
      <x:c r="H139" s="9"/>
      <x:c r="I139" s="9"/>
      <x:c r="J139" s="9"/>
      <x:c r="K139" s="9"/>
      <x:c r="L139" s="9"/>
      <x:c r="M139" s="9"/>
      <x:c r="N139" s="12" t="str">
        <x:f>IF(A139="","",IF(COUNTIF($A$6:$A$305,A139)&gt;1,"记录ID重复",IF(COUNTIF('案件索引'!$A$6:$A$105,B139)=0,"案件ID未登记",IF(AND(I139="通过",OR(C139="",H139="",L139="")),"通过须有运行、输出和评价人","格式已填；仍须人工复核"))))</x:f>
      </x:c>
    </x:row>
    <x:row r="140" ht="44" customHeight="1">
      <x:c r="A140" s="9"/>
      <x:c r="B140" s="9"/>
      <x:c r="C140" s="9"/>
      <x:c r="D140" s="9"/>
      <x:c r="E140" s="9"/>
      <x:c r="F140" s="9"/>
      <x:c r="G140" s="9"/>
      <x:c r="H140" s="9"/>
      <x:c r="I140" s="9"/>
      <x:c r="J140" s="9"/>
      <x:c r="K140" s="9"/>
      <x:c r="L140" s="9"/>
      <x:c r="M140" s="9"/>
      <x:c r="N140" s="12" t="str">
        <x:f>IF(A140="","",IF(COUNTIF($A$6:$A$305,A140)&gt;1,"记录ID重复",IF(COUNTIF('案件索引'!$A$6:$A$105,B140)=0,"案件ID未登记",IF(AND(I140="通过",OR(C140="",H140="",L140="")),"通过须有运行、输出和评价人","格式已填；仍须人工复核"))))</x:f>
      </x:c>
    </x:row>
    <x:row r="141" ht="44" customHeight="1">
      <x:c r="A141" s="9"/>
      <x:c r="B141" s="9"/>
      <x:c r="C141" s="9"/>
      <x:c r="D141" s="9"/>
      <x:c r="E141" s="9"/>
      <x:c r="F141" s="9"/>
      <x:c r="G141" s="9"/>
      <x:c r="H141" s="9"/>
      <x:c r="I141" s="9"/>
      <x:c r="J141" s="9"/>
      <x:c r="K141" s="9"/>
      <x:c r="L141" s="9"/>
      <x:c r="M141" s="9"/>
      <x:c r="N141" s="12" t="str">
        <x:f>IF(A141="","",IF(COUNTIF($A$6:$A$305,A141)&gt;1,"记录ID重复",IF(COUNTIF('案件索引'!$A$6:$A$105,B141)=0,"案件ID未登记",IF(AND(I141="通过",OR(C141="",H141="",L141="")),"通过须有运行、输出和评价人","格式已填；仍须人工复核"))))</x:f>
      </x:c>
    </x:row>
    <x:row r="142" ht="44" customHeight="1">
      <x:c r="A142" s="9"/>
      <x:c r="B142" s="9"/>
      <x:c r="C142" s="9"/>
      <x:c r="D142" s="9"/>
      <x:c r="E142" s="9"/>
      <x:c r="F142" s="9"/>
      <x:c r="G142" s="9"/>
      <x:c r="H142" s="9"/>
      <x:c r="I142" s="9"/>
      <x:c r="J142" s="9"/>
      <x:c r="K142" s="9"/>
      <x:c r="L142" s="9"/>
      <x:c r="M142" s="9"/>
      <x:c r="N142" s="12" t="str">
        <x:f>IF(A142="","",IF(COUNTIF($A$6:$A$305,A142)&gt;1,"记录ID重复",IF(COUNTIF('案件索引'!$A$6:$A$105,B142)=0,"案件ID未登记",IF(AND(I142="通过",OR(C142="",H142="",L142="")),"通过须有运行、输出和评价人","格式已填；仍须人工复核"))))</x:f>
      </x:c>
    </x:row>
    <x:row r="143" ht="44" customHeight="1">
      <x:c r="A143" s="9"/>
      <x:c r="B143" s="9"/>
      <x:c r="C143" s="9"/>
      <x:c r="D143" s="9"/>
      <x:c r="E143" s="9"/>
      <x:c r="F143" s="9"/>
      <x:c r="G143" s="9"/>
      <x:c r="H143" s="9"/>
      <x:c r="I143" s="9"/>
      <x:c r="J143" s="9"/>
      <x:c r="K143" s="9"/>
      <x:c r="L143" s="9"/>
      <x:c r="M143" s="9"/>
      <x:c r="N143" s="12" t="str">
        <x:f>IF(A143="","",IF(COUNTIF($A$6:$A$305,A143)&gt;1,"记录ID重复",IF(COUNTIF('案件索引'!$A$6:$A$105,B143)=0,"案件ID未登记",IF(AND(I143="通过",OR(C143="",H143="",L143="")),"通过须有运行、输出和评价人","格式已填；仍须人工复核"))))</x:f>
      </x:c>
    </x:row>
    <x:row r="144" ht="44" customHeight="1">
      <x:c r="A144" s="9"/>
      <x:c r="B144" s="9"/>
      <x:c r="C144" s="9"/>
      <x:c r="D144" s="9"/>
      <x:c r="E144" s="9"/>
      <x:c r="F144" s="9"/>
      <x:c r="G144" s="9"/>
      <x:c r="H144" s="9"/>
      <x:c r="I144" s="9"/>
      <x:c r="J144" s="9"/>
      <x:c r="K144" s="9"/>
      <x:c r="L144" s="9"/>
      <x:c r="M144" s="9"/>
      <x:c r="N144" s="12" t="str">
        <x:f>IF(A144="","",IF(COUNTIF($A$6:$A$305,A144)&gt;1,"记录ID重复",IF(COUNTIF('案件索引'!$A$6:$A$105,B144)=0,"案件ID未登记",IF(AND(I144="通过",OR(C144="",H144="",L144="")),"通过须有运行、输出和评价人","格式已填；仍须人工复核"))))</x:f>
      </x:c>
    </x:row>
    <x:row r="145" ht="44" customHeight="1">
      <x:c r="A145" s="9"/>
      <x:c r="B145" s="9"/>
      <x:c r="C145" s="9"/>
      <x:c r="D145" s="9"/>
      <x:c r="E145" s="9"/>
      <x:c r="F145" s="9"/>
      <x:c r="G145" s="9"/>
      <x:c r="H145" s="9"/>
      <x:c r="I145" s="9"/>
      <x:c r="J145" s="9"/>
      <x:c r="K145" s="9"/>
      <x:c r="L145" s="9"/>
      <x:c r="M145" s="9"/>
      <x:c r="N145" s="12" t="str">
        <x:f>IF(A145="","",IF(COUNTIF($A$6:$A$305,A145)&gt;1,"记录ID重复",IF(COUNTIF('案件索引'!$A$6:$A$105,B145)=0,"案件ID未登记",IF(AND(I145="通过",OR(C145="",H145="",L145="")),"通过须有运行、输出和评价人","格式已填；仍须人工复核"))))</x:f>
      </x:c>
    </x:row>
    <x:row r="146" ht="44" customHeight="1">
      <x:c r="A146" s="9"/>
      <x:c r="B146" s="9"/>
      <x:c r="C146" s="9"/>
      <x:c r="D146" s="9"/>
      <x:c r="E146" s="9"/>
      <x:c r="F146" s="9"/>
      <x:c r="G146" s="9"/>
      <x:c r="H146" s="9"/>
      <x:c r="I146" s="9"/>
      <x:c r="J146" s="9"/>
      <x:c r="K146" s="9"/>
      <x:c r="L146" s="9"/>
      <x:c r="M146" s="9"/>
      <x:c r="N146" s="12" t="str">
        <x:f>IF(A146="","",IF(COUNTIF($A$6:$A$305,A146)&gt;1,"记录ID重复",IF(COUNTIF('案件索引'!$A$6:$A$105,B146)=0,"案件ID未登记",IF(AND(I146="通过",OR(C146="",H146="",L146="")),"通过须有运行、输出和评价人","格式已填；仍须人工复核"))))</x:f>
      </x:c>
    </x:row>
    <x:row r="147" ht="44" customHeight="1">
      <x:c r="A147" s="9"/>
      <x:c r="B147" s="9"/>
      <x:c r="C147" s="9"/>
      <x:c r="D147" s="9"/>
      <x:c r="E147" s="9"/>
      <x:c r="F147" s="9"/>
      <x:c r="G147" s="9"/>
      <x:c r="H147" s="9"/>
      <x:c r="I147" s="9"/>
      <x:c r="J147" s="9"/>
      <x:c r="K147" s="9"/>
      <x:c r="L147" s="9"/>
      <x:c r="M147" s="9"/>
      <x:c r="N147" s="12" t="str">
        <x:f>IF(A147="","",IF(COUNTIF($A$6:$A$305,A147)&gt;1,"记录ID重复",IF(COUNTIF('案件索引'!$A$6:$A$105,B147)=0,"案件ID未登记",IF(AND(I147="通过",OR(C147="",H147="",L147="")),"通过须有运行、输出和评价人","格式已填；仍须人工复核"))))</x:f>
      </x:c>
    </x:row>
    <x:row r="148" ht="44" customHeight="1">
      <x:c r="A148" s="9"/>
      <x:c r="B148" s="9"/>
      <x:c r="C148" s="9"/>
      <x:c r="D148" s="9"/>
      <x:c r="E148" s="9"/>
      <x:c r="F148" s="9"/>
      <x:c r="G148" s="9"/>
      <x:c r="H148" s="9"/>
      <x:c r="I148" s="9"/>
      <x:c r="J148" s="9"/>
      <x:c r="K148" s="9"/>
      <x:c r="L148" s="9"/>
      <x:c r="M148" s="9"/>
      <x:c r="N148" s="12" t="str">
        <x:f>IF(A148="","",IF(COUNTIF($A$6:$A$305,A148)&gt;1,"记录ID重复",IF(COUNTIF('案件索引'!$A$6:$A$105,B148)=0,"案件ID未登记",IF(AND(I148="通过",OR(C148="",H148="",L148="")),"通过须有运行、输出和评价人","格式已填；仍须人工复核"))))</x:f>
      </x:c>
    </x:row>
    <x:row r="149" ht="44" customHeight="1">
      <x:c r="A149" s="9"/>
      <x:c r="B149" s="9"/>
      <x:c r="C149" s="9"/>
      <x:c r="D149" s="9"/>
      <x:c r="E149" s="9"/>
      <x:c r="F149" s="9"/>
      <x:c r="G149" s="9"/>
      <x:c r="H149" s="9"/>
      <x:c r="I149" s="9"/>
      <x:c r="J149" s="9"/>
      <x:c r="K149" s="9"/>
      <x:c r="L149" s="9"/>
      <x:c r="M149" s="9"/>
      <x:c r="N149" s="12" t="str">
        <x:f>IF(A149="","",IF(COUNTIF($A$6:$A$305,A149)&gt;1,"记录ID重复",IF(COUNTIF('案件索引'!$A$6:$A$105,B149)=0,"案件ID未登记",IF(AND(I149="通过",OR(C149="",H149="",L149="")),"通过须有运行、输出和评价人","格式已填；仍须人工复核"))))</x:f>
      </x:c>
    </x:row>
    <x:row r="150" ht="44" customHeight="1">
      <x:c r="A150" s="9"/>
      <x:c r="B150" s="9"/>
      <x:c r="C150" s="9"/>
      <x:c r="D150" s="9"/>
      <x:c r="E150" s="9"/>
      <x:c r="F150" s="9"/>
      <x:c r="G150" s="9"/>
      <x:c r="H150" s="9"/>
      <x:c r="I150" s="9"/>
      <x:c r="J150" s="9"/>
      <x:c r="K150" s="9"/>
      <x:c r="L150" s="9"/>
      <x:c r="M150" s="9"/>
      <x:c r="N150" s="12" t="str">
        <x:f>IF(A150="","",IF(COUNTIF($A$6:$A$305,A150)&gt;1,"记录ID重复",IF(COUNTIF('案件索引'!$A$6:$A$105,B150)=0,"案件ID未登记",IF(AND(I150="通过",OR(C150="",H150="",L150="")),"通过须有运行、输出和评价人","格式已填；仍须人工复核"))))</x:f>
      </x:c>
    </x:row>
    <x:row r="151" ht="44" customHeight="1">
      <x:c r="A151" s="9"/>
      <x:c r="B151" s="9"/>
      <x:c r="C151" s="9"/>
      <x:c r="D151" s="9"/>
      <x:c r="E151" s="9"/>
      <x:c r="F151" s="9"/>
      <x:c r="G151" s="9"/>
      <x:c r="H151" s="9"/>
      <x:c r="I151" s="9"/>
      <x:c r="J151" s="9"/>
      <x:c r="K151" s="9"/>
      <x:c r="L151" s="9"/>
      <x:c r="M151" s="9"/>
      <x:c r="N151" s="12" t="str">
        <x:f>IF(A151="","",IF(COUNTIF($A$6:$A$305,A151)&gt;1,"记录ID重复",IF(COUNTIF('案件索引'!$A$6:$A$105,B151)=0,"案件ID未登记",IF(AND(I151="通过",OR(C151="",H151="",L151="")),"通过须有运行、输出和评价人","格式已填；仍须人工复核"))))</x:f>
      </x:c>
    </x:row>
    <x:row r="152" ht="44" customHeight="1">
      <x:c r="A152" s="9"/>
      <x:c r="B152" s="9"/>
      <x:c r="C152" s="9"/>
      <x:c r="D152" s="9"/>
      <x:c r="E152" s="9"/>
      <x:c r="F152" s="9"/>
      <x:c r="G152" s="9"/>
      <x:c r="H152" s="9"/>
      <x:c r="I152" s="9"/>
      <x:c r="J152" s="9"/>
      <x:c r="K152" s="9"/>
      <x:c r="L152" s="9"/>
      <x:c r="M152" s="9"/>
      <x:c r="N152" s="12" t="str">
        <x:f>IF(A152="","",IF(COUNTIF($A$6:$A$305,A152)&gt;1,"记录ID重复",IF(COUNTIF('案件索引'!$A$6:$A$105,B152)=0,"案件ID未登记",IF(AND(I152="通过",OR(C152="",H152="",L152="")),"通过须有运行、输出和评价人","格式已填；仍须人工复核"))))</x:f>
      </x:c>
    </x:row>
    <x:row r="153" ht="44" customHeight="1">
      <x:c r="A153" s="9"/>
      <x:c r="B153" s="9"/>
      <x:c r="C153" s="9"/>
      <x:c r="D153" s="9"/>
      <x:c r="E153" s="9"/>
      <x:c r="F153" s="9"/>
      <x:c r="G153" s="9"/>
      <x:c r="H153" s="9"/>
      <x:c r="I153" s="9"/>
      <x:c r="J153" s="9"/>
      <x:c r="K153" s="9"/>
      <x:c r="L153" s="9"/>
      <x:c r="M153" s="9"/>
      <x:c r="N153" s="12" t="str">
        <x:f>IF(A153="","",IF(COUNTIF($A$6:$A$305,A153)&gt;1,"记录ID重复",IF(COUNTIF('案件索引'!$A$6:$A$105,B153)=0,"案件ID未登记",IF(AND(I153="通过",OR(C153="",H153="",L153="")),"通过须有运行、输出和评价人","格式已填；仍须人工复核"))))</x:f>
      </x:c>
    </x:row>
    <x:row r="154" ht="44" customHeight="1">
      <x:c r="A154" s="9"/>
      <x:c r="B154" s="9"/>
      <x:c r="C154" s="9"/>
      <x:c r="D154" s="9"/>
      <x:c r="E154" s="9"/>
      <x:c r="F154" s="9"/>
      <x:c r="G154" s="9"/>
      <x:c r="H154" s="9"/>
      <x:c r="I154" s="9"/>
      <x:c r="J154" s="9"/>
      <x:c r="K154" s="9"/>
      <x:c r="L154" s="9"/>
      <x:c r="M154" s="9"/>
      <x:c r="N154" s="12" t="str">
        <x:f>IF(A154="","",IF(COUNTIF($A$6:$A$305,A154)&gt;1,"记录ID重复",IF(COUNTIF('案件索引'!$A$6:$A$105,B154)=0,"案件ID未登记",IF(AND(I154="通过",OR(C154="",H154="",L154="")),"通过须有运行、输出和评价人","格式已填；仍须人工复核"))))</x:f>
      </x:c>
    </x:row>
    <x:row r="155" ht="44" customHeight="1">
      <x:c r="A155" s="9"/>
      <x:c r="B155" s="9"/>
      <x:c r="C155" s="9"/>
      <x:c r="D155" s="9"/>
      <x:c r="E155" s="9"/>
      <x:c r="F155" s="9"/>
      <x:c r="G155" s="9"/>
      <x:c r="H155" s="9"/>
      <x:c r="I155" s="9"/>
      <x:c r="J155" s="9"/>
      <x:c r="K155" s="9"/>
      <x:c r="L155" s="9"/>
      <x:c r="M155" s="9"/>
      <x:c r="N155" s="12" t="str">
        <x:f>IF(A155="","",IF(COUNTIF($A$6:$A$305,A155)&gt;1,"记录ID重复",IF(COUNTIF('案件索引'!$A$6:$A$105,B155)=0,"案件ID未登记",IF(AND(I155="通过",OR(C155="",H155="",L155="")),"通过须有运行、输出和评价人","格式已填；仍须人工复核"))))</x:f>
      </x:c>
    </x:row>
    <x:row r="156" ht="44" customHeight="1">
      <x:c r="A156" s="9"/>
      <x:c r="B156" s="9"/>
      <x:c r="C156" s="9"/>
      <x:c r="D156" s="9"/>
      <x:c r="E156" s="9"/>
      <x:c r="F156" s="9"/>
      <x:c r="G156" s="9"/>
      <x:c r="H156" s="9"/>
      <x:c r="I156" s="9"/>
      <x:c r="J156" s="9"/>
      <x:c r="K156" s="9"/>
      <x:c r="L156" s="9"/>
      <x:c r="M156" s="9"/>
      <x:c r="N156" s="12" t="str">
        <x:f>IF(A156="","",IF(COUNTIF($A$6:$A$305,A156)&gt;1,"记录ID重复",IF(COUNTIF('案件索引'!$A$6:$A$105,B156)=0,"案件ID未登记",IF(AND(I156="通过",OR(C156="",H156="",L156="")),"通过须有运行、输出和评价人","格式已填；仍须人工复核"))))</x:f>
      </x:c>
    </x:row>
    <x:row r="157" ht="44" customHeight="1">
      <x:c r="A157" s="9"/>
      <x:c r="B157" s="9"/>
      <x:c r="C157" s="9"/>
      <x:c r="D157" s="9"/>
      <x:c r="E157" s="9"/>
      <x:c r="F157" s="9"/>
      <x:c r="G157" s="9"/>
      <x:c r="H157" s="9"/>
      <x:c r="I157" s="9"/>
      <x:c r="J157" s="9"/>
      <x:c r="K157" s="9"/>
      <x:c r="L157" s="9"/>
      <x:c r="M157" s="9"/>
      <x:c r="N157" s="12" t="str">
        <x:f>IF(A157="","",IF(COUNTIF($A$6:$A$305,A157)&gt;1,"记录ID重复",IF(COUNTIF('案件索引'!$A$6:$A$105,B157)=0,"案件ID未登记",IF(AND(I157="通过",OR(C157="",H157="",L157="")),"通过须有运行、输出和评价人","格式已填；仍须人工复核"))))</x:f>
      </x:c>
    </x:row>
    <x:row r="158" ht="44" customHeight="1">
      <x:c r="A158" s="9"/>
      <x:c r="B158" s="9"/>
      <x:c r="C158" s="9"/>
      <x:c r="D158" s="9"/>
      <x:c r="E158" s="9"/>
      <x:c r="F158" s="9"/>
      <x:c r="G158" s="9"/>
      <x:c r="H158" s="9"/>
      <x:c r="I158" s="9"/>
      <x:c r="J158" s="9"/>
      <x:c r="K158" s="9"/>
      <x:c r="L158" s="9"/>
      <x:c r="M158" s="9"/>
      <x:c r="N158" s="12" t="str">
        <x:f>IF(A158="","",IF(COUNTIF($A$6:$A$305,A158)&gt;1,"记录ID重复",IF(COUNTIF('案件索引'!$A$6:$A$105,B158)=0,"案件ID未登记",IF(AND(I158="通过",OR(C158="",H158="",L158="")),"通过须有运行、输出和评价人","格式已填；仍须人工复核"))))</x:f>
      </x:c>
    </x:row>
    <x:row r="159" ht="44" customHeight="1">
      <x:c r="A159" s="9"/>
      <x:c r="B159" s="9"/>
      <x:c r="C159" s="9"/>
      <x:c r="D159" s="9"/>
      <x:c r="E159" s="9"/>
      <x:c r="F159" s="9"/>
      <x:c r="G159" s="9"/>
      <x:c r="H159" s="9"/>
      <x:c r="I159" s="9"/>
      <x:c r="J159" s="9"/>
      <x:c r="K159" s="9"/>
      <x:c r="L159" s="9"/>
      <x:c r="M159" s="9"/>
      <x:c r="N159" s="12" t="str">
        <x:f>IF(A159="","",IF(COUNTIF($A$6:$A$305,A159)&gt;1,"记录ID重复",IF(COUNTIF('案件索引'!$A$6:$A$105,B159)=0,"案件ID未登记",IF(AND(I159="通过",OR(C159="",H159="",L159="")),"通过须有运行、输出和评价人","格式已填；仍须人工复核"))))</x:f>
      </x:c>
    </x:row>
    <x:row r="160" ht="44" customHeight="1">
      <x:c r="A160" s="9"/>
      <x:c r="B160" s="9"/>
      <x:c r="C160" s="9"/>
      <x:c r="D160" s="9"/>
      <x:c r="E160" s="9"/>
      <x:c r="F160" s="9"/>
      <x:c r="G160" s="9"/>
      <x:c r="H160" s="9"/>
      <x:c r="I160" s="9"/>
      <x:c r="J160" s="9"/>
      <x:c r="K160" s="9"/>
      <x:c r="L160" s="9"/>
      <x:c r="M160" s="9"/>
      <x:c r="N160" s="12" t="str">
        <x:f>IF(A160="","",IF(COUNTIF($A$6:$A$305,A160)&gt;1,"记录ID重复",IF(COUNTIF('案件索引'!$A$6:$A$105,B160)=0,"案件ID未登记",IF(AND(I160="通过",OR(C160="",H160="",L160="")),"通过须有运行、输出和评价人","格式已填；仍须人工复核"))))</x:f>
      </x:c>
    </x:row>
    <x:row r="161" ht="44" customHeight="1">
      <x:c r="A161" s="9"/>
      <x:c r="B161" s="9"/>
      <x:c r="C161" s="9"/>
      <x:c r="D161" s="9"/>
      <x:c r="E161" s="9"/>
      <x:c r="F161" s="9"/>
      <x:c r="G161" s="9"/>
      <x:c r="H161" s="9"/>
      <x:c r="I161" s="9"/>
      <x:c r="J161" s="9"/>
      <x:c r="K161" s="9"/>
      <x:c r="L161" s="9"/>
      <x:c r="M161" s="9"/>
      <x:c r="N161" s="12" t="str">
        <x:f>IF(A161="","",IF(COUNTIF($A$6:$A$305,A161)&gt;1,"记录ID重复",IF(COUNTIF('案件索引'!$A$6:$A$105,B161)=0,"案件ID未登记",IF(AND(I161="通过",OR(C161="",H161="",L161="")),"通过须有运行、输出和评价人","格式已填；仍须人工复核"))))</x:f>
      </x:c>
    </x:row>
    <x:row r="162" ht="44" customHeight="1">
      <x:c r="A162" s="9"/>
      <x:c r="B162" s="9"/>
      <x:c r="C162" s="9"/>
      <x:c r="D162" s="9"/>
      <x:c r="E162" s="9"/>
      <x:c r="F162" s="9"/>
      <x:c r="G162" s="9"/>
      <x:c r="H162" s="9"/>
      <x:c r="I162" s="9"/>
      <x:c r="J162" s="9"/>
      <x:c r="K162" s="9"/>
      <x:c r="L162" s="9"/>
      <x:c r="M162" s="9"/>
      <x:c r="N162" s="12" t="str">
        <x:f>IF(A162="","",IF(COUNTIF($A$6:$A$305,A162)&gt;1,"记录ID重复",IF(COUNTIF('案件索引'!$A$6:$A$105,B162)=0,"案件ID未登记",IF(AND(I162="通过",OR(C162="",H162="",L162="")),"通过须有运行、输出和评价人","格式已填；仍须人工复核"))))</x:f>
      </x:c>
    </x:row>
    <x:row r="163" ht="44" customHeight="1">
      <x:c r="A163" s="9"/>
      <x:c r="B163" s="9"/>
      <x:c r="C163" s="9"/>
      <x:c r="D163" s="9"/>
      <x:c r="E163" s="9"/>
      <x:c r="F163" s="9"/>
      <x:c r="G163" s="9"/>
      <x:c r="H163" s="9"/>
      <x:c r="I163" s="9"/>
      <x:c r="J163" s="9"/>
      <x:c r="K163" s="9"/>
      <x:c r="L163" s="9"/>
      <x:c r="M163" s="9"/>
      <x:c r="N163" s="12" t="str">
        <x:f>IF(A163="","",IF(COUNTIF($A$6:$A$305,A163)&gt;1,"记录ID重复",IF(COUNTIF('案件索引'!$A$6:$A$105,B163)=0,"案件ID未登记",IF(AND(I163="通过",OR(C163="",H163="",L163="")),"通过须有运行、输出和评价人","格式已填；仍须人工复核"))))</x:f>
      </x:c>
    </x:row>
    <x:row r="164" ht="44" customHeight="1">
      <x:c r="A164" s="9"/>
      <x:c r="B164" s="9"/>
      <x:c r="C164" s="9"/>
      <x:c r="D164" s="9"/>
      <x:c r="E164" s="9"/>
      <x:c r="F164" s="9"/>
      <x:c r="G164" s="9"/>
      <x:c r="H164" s="9"/>
      <x:c r="I164" s="9"/>
      <x:c r="J164" s="9"/>
      <x:c r="K164" s="9"/>
      <x:c r="L164" s="9"/>
      <x:c r="M164" s="9"/>
      <x:c r="N164" s="12" t="str">
        <x:f>IF(A164="","",IF(COUNTIF($A$6:$A$305,A164)&gt;1,"记录ID重复",IF(COUNTIF('案件索引'!$A$6:$A$105,B164)=0,"案件ID未登记",IF(AND(I164="通过",OR(C164="",H164="",L164="")),"通过须有运行、输出和评价人","格式已填；仍须人工复核"))))</x:f>
      </x:c>
    </x:row>
    <x:row r="165" ht="44" customHeight="1">
      <x:c r="A165" s="9"/>
      <x:c r="B165" s="9"/>
      <x:c r="C165" s="9"/>
      <x:c r="D165" s="9"/>
      <x:c r="E165" s="9"/>
      <x:c r="F165" s="9"/>
      <x:c r="G165" s="9"/>
      <x:c r="H165" s="9"/>
      <x:c r="I165" s="9"/>
      <x:c r="J165" s="9"/>
      <x:c r="K165" s="9"/>
      <x:c r="L165" s="9"/>
      <x:c r="M165" s="9"/>
      <x:c r="N165" s="12" t="str">
        <x:f>IF(A165="","",IF(COUNTIF($A$6:$A$305,A165)&gt;1,"记录ID重复",IF(COUNTIF('案件索引'!$A$6:$A$105,B165)=0,"案件ID未登记",IF(AND(I165="通过",OR(C165="",H165="",L165="")),"通过须有运行、输出和评价人","格式已填；仍须人工复核"))))</x:f>
      </x:c>
    </x:row>
    <x:row r="166" ht="44" customHeight="1">
      <x:c r="A166" s="9"/>
      <x:c r="B166" s="9"/>
      <x:c r="C166" s="9"/>
      <x:c r="D166" s="9"/>
      <x:c r="E166" s="9"/>
      <x:c r="F166" s="9"/>
      <x:c r="G166" s="9"/>
      <x:c r="H166" s="9"/>
      <x:c r="I166" s="9"/>
      <x:c r="J166" s="9"/>
      <x:c r="K166" s="9"/>
      <x:c r="L166" s="9"/>
      <x:c r="M166" s="9"/>
      <x:c r="N166" s="12" t="str">
        <x:f>IF(A166="","",IF(COUNTIF($A$6:$A$305,A166)&gt;1,"记录ID重复",IF(COUNTIF('案件索引'!$A$6:$A$105,B166)=0,"案件ID未登记",IF(AND(I166="通过",OR(C166="",H166="",L166="")),"通过须有运行、输出和评价人","格式已填；仍须人工复核"))))</x:f>
      </x:c>
    </x:row>
    <x:row r="167" ht="44" customHeight="1">
      <x:c r="A167" s="9"/>
      <x:c r="B167" s="9"/>
      <x:c r="C167" s="9"/>
      <x:c r="D167" s="9"/>
      <x:c r="E167" s="9"/>
      <x:c r="F167" s="9"/>
      <x:c r="G167" s="9"/>
      <x:c r="H167" s="9"/>
      <x:c r="I167" s="9"/>
      <x:c r="J167" s="9"/>
      <x:c r="K167" s="9"/>
      <x:c r="L167" s="9"/>
      <x:c r="M167" s="9"/>
      <x:c r="N167" s="12" t="str">
        <x:f>IF(A167="","",IF(COUNTIF($A$6:$A$305,A167)&gt;1,"记录ID重复",IF(COUNTIF('案件索引'!$A$6:$A$105,B167)=0,"案件ID未登记",IF(AND(I167="通过",OR(C167="",H167="",L167="")),"通过须有运行、输出和评价人","格式已填；仍须人工复核"))))</x:f>
      </x:c>
    </x:row>
    <x:row r="168" ht="44" customHeight="1">
      <x:c r="A168" s="9"/>
      <x:c r="B168" s="9"/>
      <x:c r="C168" s="9"/>
      <x:c r="D168" s="9"/>
      <x:c r="E168" s="9"/>
      <x:c r="F168" s="9"/>
      <x:c r="G168" s="9"/>
      <x:c r="H168" s="9"/>
      <x:c r="I168" s="9"/>
      <x:c r="J168" s="9"/>
      <x:c r="K168" s="9"/>
      <x:c r="L168" s="9"/>
      <x:c r="M168" s="9"/>
      <x:c r="N168" s="12" t="str">
        <x:f>IF(A168="","",IF(COUNTIF($A$6:$A$305,A168)&gt;1,"记录ID重复",IF(COUNTIF('案件索引'!$A$6:$A$105,B168)=0,"案件ID未登记",IF(AND(I168="通过",OR(C168="",H168="",L168="")),"通过须有运行、输出和评价人","格式已填；仍须人工复核"))))</x:f>
      </x:c>
    </x:row>
    <x:row r="169" ht="44" customHeight="1">
      <x:c r="A169" s="9"/>
      <x:c r="B169" s="9"/>
      <x:c r="C169" s="9"/>
      <x:c r="D169" s="9"/>
      <x:c r="E169" s="9"/>
      <x:c r="F169" s="9"/>
      <x:c r="G169" s="9"/>
      <x:c r="H169" s="9"/>
      <x:c r="I169" s="9"/>
      <x:c r="J169" s="9"/>
      <x:c r="K169" s="9"/>
      <x:c r="L169" s="9"/>
      <x:c r="M169" s="9"/>
      <x:c r="N169" s="12" t="str">
        <x:f>IF(A169="","",IF(COUNTIF($A$6:$A$305,A169)&gt;1,"记录ID重复",IF(COUNTIF('案件索引'!$A$6:$A$105,B169)=0,"案件ID未登记",IF(AND(I169="通过",OR(C169="",H169="",L169="")),"通过须有运行、输出和评价人","格式已填；仍须人工复核"))))</x:f>
      </x:c>
    </x:row>
    <x:row r="170" ht="44" customHeight="1">
      <x:c r="A170" s="9"/>
      <x:c r="B170" s="9"/>
      <x:c r="C170" s="9"/>
      <x:c r="D170" s="9"/>
      <x:c r="E170" s="9"/>
      <x:c r="F170" s="9"/>
      <x:c r="G170" s="9"/>
      <x:c r="H170" s="9"/>
      <x:c r="I170" s="9"/>
      <x:c r="J170" s="9"/>
      <x:c r="K170" s="9"/>
      <x:c r="L170" s="9"/>
      <x:c r="M170" s="9"/>
      <x:c r="N170" s="12" t="str">
        <x:f>IF(A170="","",IF(COUNTIF($A$6:$A$305,A170)&gt;1,"记录ID重复",IF(COUNTIF('案件索引'!$A$6:$A$105,B170)=0,"案件ID未登记",IF(AND(I170="通过",OR(C170="",H170="",L170="")),"通过须有运行、输出和评价人","格式已填；仍须人工复核"))))</x:f>
      </x:c>
    </x:row>
    <x:row r="171" ht="44" customHeight="1">
      <x:c r="A171" s="9"/>
      <x:c r="B171" s="9"/>
      <x:c r="C171" s="9"/>
      <x:c r="D171" s="9"/>
      <x:c r="E171" s="9"/>
      <x:c r="F171" s="9"/>
      <x:c r="G171" s="9"/>
      <x:c r="H171" s="9"/>
      <x:c r="I171" s="9"/>
      <x:c r="J171" s="9"/>
      <x:c r="K171" s="9"/>
      <x:c r="L171" s="9"/>
      <x:c r="M171" s="9"/>
      <x:c r="N171" s="12" t="str">
        <x:f>IF(A171="","",IF(COUNTIF($A$6:$A$305,A171)&gt;1,"记录ID重复",IF(COUNTIF('案件索引'!$A$6:$A$105,B171)=0,"案件ID未登记",IF(AND(I171="通过",OR(C171="",H171="",L171="")),"通过须有运行、输出和评价人","格式已填；仍须人工复核"))))</x:f>
      </x:c>
    </x:row>
    <x:row r="172" ht="44" customHeight="1">
      <x:c r="A172" s="9"/>
      <x:c r="B172" s="9"/>
      <x:c r="C172" s="9"/>
      <x:c r="D172" s="9"/>
      <x:c r="E172" s="9"/>
      <x:c r="F172" s="9"/>
      <x:c r="G172" s="9"/>
      <x:c r="H172" s="9"/>
      <x:c r="I172" s="9"/>
      <x:c r="J172" s="9"/>
      <x:c r="K172" s="9"/>
      <x:c r="L172" s="9"/>
      <x:c r="M172" s="9"/>
      <x:c r="N172" s="12" t="str">
        <x:f>IF(A172="","",IF(COUNTIF($A$6:$A$305,A172)&gt;1,"记录ID重复",IF(COUNTIF('案件索引'!$A$6:$A$105,B172)=0,"案件ID未登记",IF(AND(I172="通过",OR(C172="",H172="",L172="")),"通过须有运行、输出和评价人","格式已填；仍须人工复核"))))</x:f>
      </x:c>
    </x:row>
    <x:row r="173" ht="44" customHeight="1">
      <x:c r="A173" s="9"/>
      <x:c r="B173" s="9"/>
      <x:c r="C173" s="9"/>
      <x:c r="D173" s="9"/>
      <x:c r="E173" s="9"/>
      <x:c r="F173" s="9"/>
      <x:c r="G173" s="9"/>
      <x:c r="H173" s="9"/>
      <x:c r="I173" s="9"/>
      <x:c r="J173" s="9"/>
      <x:c r="K173" s="9"/>
      <x:c r="L173" s="9"/>
      <x:c r="M173" s="9"/>
      <x:c r="N173" s="12" t="str">
        <x:f>IF(A173="","",IF(COUNTIF($A$6:$A$305,A173)&gt;1,"记录ID重复",IF(COUNTIF('案件索引'!$A$6:$A$105,B173)=0,"案件ID未登记",IF(AND(I173="通过",OR(C173="",H173="",L173="")),"通过须有运行、输出和评价人","格式已填；仍须人工复核"))))</x:f>
      </x:c>
    </x:row>
    <x:row r="174" ht="44" customHeight="1">
      <x:c r="A174" s="9"/>
      <x:c r="B174" s="9"/>
      <x:c r="C174" s="9"/>
      <x:c r="D174" s="9"/>
      <x:c r="E174" s="9"/>
      <x:c r="F174" s="9"/>
      <x:c r="G174" s="9"/>
      <x:c r="H174" s="9"/>
      <x:c r="I174" s="9"/>
      <x:c r="J174" s="9"/>
      <x:c r="K174" s="9"/>
      <x:c r="L174" s="9"/>
      <x:c r="M174" s="9"/>
      <x:c r="N174" s="12" t="str">
        <x:f>IF(A174="","",IF(COUNTIF($A$6:$A$305,A174)&gt;1,"记录ID重复",IF(COUNTIF('案件索引'!$A$6:$A$105,B174)=0,"案件ID未登记",IF(AND(I174="通过",OR(C174="",H174="",L174="")),"通过须有运行、输出和评价人","格式已填；仍须人工复核"))))</x:f>
      </x:c>
    </x:row>
    <x:row r="175" ht="44" customHeight="1">
      <x:c r="A175" s="9"/>
      <x:c r="B175" s="9"/>
      <x:c r="C175" s="9"/>
      <x:c r="D175" s="9"/>
      <x:c r="E175" s="9"/>
      <x:c r="F175" s="9"/>
      <x:c r="G175" s="9"/>
      <x:c r="H175" s="9"/>
      <x:c r="I175" s="9"/>
      <x:c r="J175" s="9"/>
      <x:c r="K175" s="9"/>
      <x:c r="L175" s="9"/>
      <x:c r="M175" s="9"/>
      <x:c r="N175" s="12" t="str">
        <x:f>IF(A175="","",IF(COUNTIF($A$6:$A$305,A175)&gt;1,"记录ID重复",IF(COUNTIF('案件索引'!$A$6:$A$105,B175)=0,"案件ID未登记",IF(AND(I175="通过",OR(C175="",H175="",L175="")),"通过须有运行、输出和评价人","格式已填；仍须人工复核"))))</x:f>
      </x:c>
    </x:row>
    <x:row r="176" ht="44" customHeight="1">
      <x:c r="A176" s="9"/>
      <x:c r="B176" s="9"/>
      <x:c r="C176" s="9"/>
      <x:c r="D176" s="9"/>
      <x:c r="E176" s="9"/>
      <x:c r="F176" s="9"/>
      <x:c r="G176" s="9"/>
      <x:c r="H176" s="9"/>
      <x:c r="I176" s="9"/>
      <x:c r="J176" s="9"/>
      <x:c r="K176" s="9"/>
      <x:c r="L176" s="9"/>
      <x:c r="M176" s="9"/>
      <x:c r="N176" s="12" t="str">
        <x:f>IF(A176="","",IF(COUNTIF($A$6:$A$305,A176)&gt;1,"记录ID重复",IF(COUNTIF('案件索引'!$A$6:$A$105,B176)=0,"案件ID未登记",IF(AND(I176="通过",OR(C176="",H176="",L176="")),"通过须有运行、输出和评价人","格式已填；仍须人工复核"))))</x:f>
      </x:c>
    </x:row>
    <x:row r="177" ht="44" customHeight="1">
      <x:c r="A177" s="9"/>
      <x:c r="B177" s="9"/>
      <x:c r="C177" s="9"/>
      <x:c r="D177" s="9"/>
      <x:c r="E177" s="9"/>
      <x:c r="F177" s="9"/>
      <x:c r="G177" s="9"/>
      <x:c r="H177" s="9"/>
      <x:c r="I177" s="9"/>
      <x:c r="J177" s="9"/>
      <x:c r="K177" s="9"/>
      <x:c r="L177" s="9"/>
      <x:c r="M177" s="9"/>
      <x:c r="N177" s="12" t="str">
        <x:f>IF(A177="","",IF(COUNTIF($A$6:$A$305,A177)&gt;1,"记录ID重复",IF(COUNTIF('案件索引'!$A$6:$A$105,B177)=0,"案件ID未登记",IF(AND(I177="通过",OR(C177="",H177="",L177="")),"通过须有运行、输出和评价人","格式已填；仍须人工复核"))))</x:f>
      </x:c>
    </x:row>
    <x:row r="178" ht="44" customHeight="1">
      <x:c r="A178" s="9"/>
      <x:c r="B178" s="9"/>
      <x:c r="C178" s="9"/>
      <x:c r="D178" s="9"/>
      <x:c r="E178" s="9"/>
      <x:c r="F178" s="9"/>
      <x:c r="G178" s="9"/>
      <x:c r="H178" s="9"/>
      <x:c r="I178" s="9"/>
      <x:c r="J178" s="9"/>
      <x:c r="K178" s="9"/>
      <x:c r="L178" s="9"/>
      <x:c r="M178" s="9"/>
      <x:c r="N178" s="12" t="str">
        <x:f>IF(A178="","",IF(COUNTIF($A$6:$A$305,A178)&gt;1,"记录ID重复",IF(COUNTIF('案件索引'!$A$6:$A$105,B178)=0,"案件ID未登记",IF(AND(I178="通过",OR(C178="",H178="",L178="")),"通过须有运行、输出和评价人","格式已填；仍须人工复核"))))</x:f>
      </x:c>
    </x:row>
    <x:row r="179" ht="44" customHeight="1">
      <x:c r="A179" s="9"/>
      <x:c r="B179" s="9"/>
      <x:c r="C179" s="9"/>
      <x:c r="D179" s="9"/>
      <x:c r="E179" s="9"/>
      <x:c r="F179" s="9"/>
      <x:c r="G179" s="9"/>
      <x:c r="H179" s="9"/>
      <x:c r="I179" s="9"/>
      <x:c r="J179" s="9"/>
      <x:c r="K179" s="9"/>
      <x:c r="L179" s="9"/>
      <x:c r="M179" s="9"/>
      <x:c r="N179" s="12" t="str">
        <x:f>IF(A179="","",IF(COUNTIF($A$6:$A$305,A179)&gt;1,"记录ID重复",IF(COUNTIF('案件索引'!$A$6:$A$105,B179)=0,"案件ID未登记",IF(AND(I179="通过",OR(C179="",H179="",L179="")),"通过须有运行、输出和评价人","格式已填；仍须人工复核"))))</x:f>
      </x:c>
    </x:row>
    <x:row r="180" ht="44" customHeight="1">
      <x:c r="A180" s="9"/>
      <x:c r="B180" s="9"/>
      <x:c r="C180" s="9"/>
      <x:c r="D180" s="9"/>
      <x:c r="E180" s="9"/>
      <x:c r="F180" s="9"/>
      <x:c r="G180" s="9"/>
      <x:c r="H180" s="9"/>
      <x:c r="I180" s="9"/>
      <x:c r="J180" s="9"/>
      <x:c r="K180" s="9"/>
      <x:c r="L180" s="9"/>
      <x:c r="M180" s="9"/>
      <x:c r="N180" s="12" t="str">
        <x:f>IF(A180="","",IF(COUNTIF($A$6:$A$305,A180)&gt;1,"记录ID重复",IF(COUNTIF('案件索引'!$A$6:$A$105,B180)=0,"案件ID未登记",IF(AND(I180="通过",OR(C180="",H180="",L180="")),"通过须有运行、输出和评价人","格式已填；仍须人工复核"))))</x:f>
      </x:c>
    </x:row>
    <x:row r="181" ht="44" customHeight="1">
      <x:c r="A181" s="9"/>
      <x:c r="B181" s="9"/>
      <x:c r="C181" s="9"/>
      <x:c r="D181" s="9"/>
      <x:c r="E181" s="9"/>
      <x:c r="F181" s="9"/>
      <x:c r="G181" s="9"/>
      <x:c r="H181" s="9"/>
      <x:c r="I181" s="9"/>
      <x:c r="J181" s="9"/>
      <x:c r="K181" s="9"/>
      <x:c r="L181" s="9"/>
      <x:c r="M181" s="9"/>
      <x:c r="N181" s="12" t="str">
        <x:f>IF(A181="","",IF(COUNTIF($A$6:$A$305,A181)&gt;1,"记录ID重复",IF(COUNTIF('案件索引'!$A$6:$A$105,B181)=0,"案件ID未登记",IF(AND(I181="通过",OR(C181="",H181="",L181="")),"通过须有运行、输出和评价人","格式已填；仍须人工复核"))))</x:f>
      </x:c>
    </x:row>
    <x:row r="182" ht="44" customHeight="1">
      <x:c r="A182" s="9"/>
      <x:c r="B182" s="9"/>
      <x:c r="C182" s="9"/>
      <x:c r="D182" s="9"/>
      <x:c r="E182" s="9"/>
      <x:c r="F182" s="9"/>
      <x:c r="G182" s="9"/>
      <x:c r="H182" s="9"/>
      <x:c r="I182" s="9"/>
      <x:c r="J182" s="9"/>
      <x:c r="K182" s="9"/>
      <x:c r="L182" s="9"/>
      <x:c r="M182" s="9"/>
      <x:c r="N182" s="12" t="str">
        <x:f>IF(A182="","",IF(COUNTIF($A$6:$A$305,A182)&gt;1,"记录ID重复",IF(COUNTIF('案件索引'!$A$6:$A$105,B182)=0,"案件ID未登记",IF(AND(I182="通过",OR(C182="",H182="",L182="")),"通过须有运行、输出和评价人","格式已填；仍须人工复核"))))</x:f>
      </x:c>
    </x:row>
    <x:row r="183" ht="44" customHeight="1">
      <x:c r="A183" s="9"/>
      <x:c r="B183" s="9"/>
      <x:c r="C183" s="9"/>
      <x:c r="D183" s="9"/>
      <x:c r="E183" s="9"/>
      <x:c r="F183" s="9"/>
      <x:c r="G183" s="9"/>
      <x:c r="H183" s="9"/>
      <x:c r="I183" s="9"/>
      <x:c r="J183" s="9"/>
      <x:c r="K183" s="9"/>
      <x:c r="L183" s="9"/>
      <x:c r="M183" s="9"/>
      <x:c r="N183" s="12" t="str">
        <x:f>IF(A183="","",IF(COUNTIF($A$6:$A$305,A183)&gt;1,"记录ID重复",IF(COUNTIF('案件索引'!$A$6:$A$105,B183)=0,"案件ID未登记",IF(AND(I183="通过",OR(C183="",H183="",L183="")),"通过须有运行、输出和评价人","格式已填；仍须人工复核"))))</x:f>
      </x:c>
    </x:row>
    <x:row r="184" ht="44" customHeight="1">
      <x:c r="A184" s="9"/>
      <x:c r="B184" s="9"/>
      <x:c r="C184" s="9"/>
      <x:c r="D184" s="9"/>
      <x:c r="E184" s="9"/>
      <x:c r="F184" s="9"/>
      <x:c r="G184" s="9"/>
      <x:c r="H184" s="9"/>
      <x:c r="I184" s="9"/>
      <x:c r="J184" s="9"/>
      <x:c r="K184" s="9"/>
      <x:c r="L184" s="9"/>
      <x:c r="M184" s="9"/>
      <x:c r="N184" s="12" t="str">
        <x:f>IF(A184="","",IF(COUNTIF($A$6:$A$305,A184)&gt;1,"记录ID重复",IF(COUNTIF('案件索引'!$A$6:$A$105,B184)=0,"案件ID未登记",IF(AND(I184="通过",OR(C184="",H184="",L184="")),"通过须有运行、输出和评价人","格式已填；仍须人工复核"))))</x:f>
      </x:c>
    </x:row>
    <x:row r="185" ht="44" customHeight="1">
      <x:c r="A185" s="9"/>
      <x:c r="B185" s="9"/>
      <x:c r="C185" s="9"/>
      <x:c r="D185" s="9"/>
      <x:c r="E185" s="9"/>
      <x:c r="F185" s="9"/>
      <x:c r="G185" s="9"/>
      <x:c r="H185" s="9"/>
      <x:c r="I185" s="9"/>
      <x:c r="J185" s="9"/>
      <x:c r="K185" s="9"/>
      <x:c r="L185" s="9"/>
      <x:c r="M185" s="9"/>
      <x:c r="N185" s="12" t="str">
        <x:f>IF(A185="","",IF(COUNTIF($A$6:$A$305,A185)&gt;1,"记录ID重复",IF(COUNTIF('案件索引'!$A$6:$A$105,B185)=0,"案件ID未登记",IF(AND(I185="通过",OR(C185="",H185="",L185="")),"通过须有运行、输出和评价人","格式已填；仍须人工复核"))))</x:f>
      </x:c>
    </x:row>
    <x:row r="186" ht="44" customHeight="1">
      <x:c r="A186" s="9"/>
      <x:c r="B186" s="9"/>
      <x:c r="C186" s="9"/>
      <x:c r="D186" s="9"/>
      <x:c r="E186" s="9"/>
      <x:c r="F186" s="9"/>
      <x:c r="G186" s="9"/>
      <x:c r="H186" s="9"/>
      <x:c r="I186" s="9"/>
      <x:c r="J186" s="9"/>
      <x:c r="K186" s="9"/>
      <x:c r="L186" s="9"/>
      <x:c r="M186" s="9"/>
      <x:c r="N186" s="12" t="str">
        <x:f>IF(A186="","",IF(COUNTIF($A$6:$A$305,A186)&gt;1,"记录ID重复",IF(COUNTIF('案件索引'!$A$6:$A$105,B186)=0,"案件ID未登记",IF(AND(I186="通过",OR(C186="",H186="",L186="")),"通过须有运行、输出和评价人","格式已填；仍须人工复核"))))</x:f>
      </x:c>
    </x:row>
    <x:row r="187" ht="44" customHeight="1">
      <x:c r="A187" s="9"/>
      <x:c r="B187" s="9"/>
      <x:c r="C187" s="9"/>
      <x:c r="D187" s="9"/>
      <x:c r="E187" s="9"/>
      <x:c r="F187" s="9"/>
      <x:c r="G187" s="9"/>
      <x:c r="H187" s="9"/>
      <x:c r="I187" s="9"/>
      <x:c r="J187" s="9"/>
      <x:c r="K187" s="9"/>
      <x:c r="L187" s="9"/>
      <x:c r="M187" s="9"/>
      <x:c r="N187" s="12" t="str">
        <x:f>IF(A187="","",IF(COUNTIF($A$6:$A$305,A187)&gt;1,"记录ID重复",IF(COUNTIF('案件索引'!$A$6:$A$105,B187)=0,"案件ID未登记",IF(AND(I187="通过",OR(C187="",H187="",L187="")),"通过须有运行、输出和评价人","格式已填；仍须人工复核"))))</x:f>
      </x:c>
    </x:row>
    <x:row r="188" ht="44" customHeight="1">
      <x:c r="A188" s="9"/>
      <x:c r="B188" s="9"/>
      <x:c r="C188" s="9"/>
      <x:c r="D188" s="9"/>
      <x:c r="E188" s="9"/>
      <x:c r="F188" s="9"/>
      <x:c r="G188" s="9"/>
      <x:c r="H188" s="9"/>
      <x:c r="I188" s="9"/>
      <x:c r="J188" s="9"/>
      <x:c r="K188" s="9"/>
      <x:c r="L188" s="9"/>
      <x:c r="M188" s="9"/>
      <x:c r="N188" s="12" t="str">
        <x:f>IF(A188="","",IF(COUNTIF($A$6:$A$305,A188)&gt;1,"记录ID重复",IF(COUNTIF('案件索引'!$A$6:$A$105,B188)=0,"案件ID未登记",IF(AND(I188="通过",OR(C188="",H188="",L188="")),"通过须有运行、输出和评价人","格式已填；仍须人工复核"))))</x:f>
      </x:c>
    </x:row>
    <x:row r="189" ht="44" customHeight="1">
      <x:c r="A189" s="9"/>
      <x:c r="B189" s="9"/>
      <x:c r="C189" s="9"/>
      <x:c r="D189" s="9"/>
      <x:c r="E189" s="9"/>
      <x:c r="F189" s="9"/>
      <x:c r="G189" s="9"/>
      <x:c r="H189" s="9"/>
      <x:c r="I189" s="9"/>
      <x:c r="J189" s="9"/>
      <x:c r="K189" s="9"/>
      <x:c r="L189" s="9"/>
      <x:c r="M189" s="9"/>
      <x:c r="N189" s="12" t="str">
        <x:f>IF(A189="","",IF(COUNTIF($A$6:$A$305,A189)&gt;1,"记录ID重复",IF(COUNTIF('案件索引'!$A$6:$A$105,B189)=0,"案件ID未登记",IF(AND(I189="通过",OR(C189="",H189="",L189="")),"通过须有运行、输出和评价人","格式已填；仍须人工复核"))))</x:f>
      </x:c>
    </x:row>
    <x:row r="190" ht="44" customHeight="1">
      <x:c r="A190" s="9"/>
      <x:c r="B190" s="9"/>
      <x:c r="C190" s="9"/>
      <x:c r="D190" s="9"/>
      <x:c r="E190" s="9"/>
      <x:c r="F190" s="9"/>
      <x:c r="G190" s="9"/>
      <x:c r="H190" s="9"/>
      <x:c r="I190" s="9"/>
      <x:c r="J190" s="9"/>
      <x:c r="K190" s="9"/>
      <x:c r="L190" s="9"/>
      <x:c r="M190" s="9"/>
      <x:c r="N190" s="12" t="str">
        <x:f>IF(A190="","",IF(COUNTIF($A$6:$A$305,A190)&gt;1,"记录ID重复",IF(COUNTIF('案件索引'!$A$6:$A$105,B190)=0,"案件ID未登记",IF(AND(I190="通过",OR(C190="",H190="",L190="")),"通过须有运行、输出和评价人","格式已填；仍须人工复核"))))</x:f>
      </x:c>
    </x:row>
    <x:row r="191" ht="44" customHeight="1">
      <x:c r="A191" s="9"/>
      <x:c r="B191" s="9"/>
      <x:c r="C191" s="9"/>
      <x:c r="D191" s="9"/>
      <x:c r="E191" s="9"/>
      <x:c r="F191" s="9"/>
      <x:c r="G191" s="9"/>
      <x:c r="H191" s="9"/>
      <x:c r="I191" s="9"/>
      <x:c r="J191" s="9"/>
      <x:c r="K191" s="9"/>
      <x:c r="L191" s="9"/>
      <x:c r="M191" s="9"/>
      <x:c r="N191" s="12" t="str">
        <x:f>IF(A191="","",IF(COUNTIF($A$6:$A$305,A191)&gt;1,"记录ID重复",IF(COUNTIF('案件索引'!$A$6:$A$105,B191)=0,"案件ID未登记",IF(AND(I191="通过",OR(C191="",H191="",L191="")),"通过须有运行、输出和评价人","格式已填；仍须人工复核"))))</x:f>
      </x:c>
    </x:row>
    <x:row r="192" ht="44" customHeight="1">
      <x:c r="A192" s="9"/>
      <x:c r="B192" s="9"/>
      <x:c r="C192" s="9"/>
      <x:c r="D192" s="9"/>
      <x:c r="E192" s="9"/>
      <x:c r="F192" s="9"/>
      <x:c r="G192" s="9"/>
      <x:c r="H192" s="9"/>
      <x:c r="I192" s="9"/>
      <x:c r="J192" s="9"/>
      <x:c r="K192" s="9"/>
      <x:c r="L192" s="9"/>
      <x:c r="M192" s="9"/>
      <x:c r="N192" s="12" t="str">
        <x:f>IF(A192="","",IF(COUNTIF($A$6:$A$305,A192)&gt;1,"记录ID重复",IF(COUNTIF('案件索引'!$A$6:$A$105,B192)=0,"案件ID未登记",IF(AND(I192="通过",OR(C192="",H192="",L192="")),"通过须有运行、输出和评价人","格式已填；仍须人工复核"))))</x:f>
      </x:c>
    </x:row>
    <x:row r="193" ht="44" customHeight="1">
      <x:c r="A193" s="9"/>
      <x:c r="B193" s="9"/>
      <x:c r="C193" s="9"/>
      <x:c r="D193" s="9"/>
      <x:c r="E193" s="9"/>
      <x:c r="F193" s="9"/>
      <x:c r="G193" s="9"/>
      <x:c r="H193" s="9"/>
      <x:c r="I193" s="9"/>
      <x:c r="J193" s="9"/>
      <x:c r="K193" s="9"/>
      <x:c r="L193" s="9"/>
      <x:c r="M193" s="9"/>
      <x:c r="N193" s="12" t="str">
        <x:f>IF(A193="","",IF(COUNTIF($A$6:$A$305,A193)&gt;1,"记录ID重复",IF(COUNTIF('案件索引'!$A$6:$A$105,B193)=0,"案件ID未登记",IF(AND(I193="通过",OR(C193="",H193="",L193="")),"通过须有运行、输出和评价人","格式已填；仍须人工复核"))))</x:f>
      </x:c>
    </x:row>
    <x:row r="194" ht="44" customHeight="1">
      <x:c r="A194" s="9"/>
      <x:c r="B194" s="9"/>
      <x:c r="C194" s="9"/>
      <x:c r="D194" s="9"/>
      <x:c r="E194" s="9"/>
      <x:c r="F194" s="9"/>
      <x:c r="G194" s="9"/>
      <x:c r="H194" s="9"/>
      <x:c r="I194" s="9"/>
      <x:c r="J194" s="9"/>
      <x:c r="K194" s="9"/>
      <x:c r="L194" s="9"/>
      <x:c r="M194" s="9"/>
      <x:c r="N194" s="12" t="str">
        <x:f>IF(A194="","",IF(COUNTIF($A$6:$A$305,A194)&gt;1,"记录ID重复",IF(COUNTIF('案件索引'!$A$6:$A$105,B194)=0,"案件ID未登记",IF(AND(I194="通过",OR(C194="",H194="",L194="")),"通过须有运行、输出和评价人","格式已填；仍须人工复核"))))</x:f>
      </x:c>
    </x:row>
    <x:row r="195" ht="44" customHeight="1">
      <x:c r="A195" s="9"/>
      <x:c r="B195" s="9"/>
      <x:c r="C195" s="9"/>
      <x:c r="D195" s="9"/>
      <x:c r="E195" s="9"/>
      <x:c r="F195" s="9"/>
      <x:c r="G195" s="9"/>
      <x:c r="H195" s="9"/>
      <x:c r="I195" s="9"/>
      <x:c r="J195" s="9"/>
      <x:c r="K195" s="9"/>
      <x:c r="L195" s="9"/>
      <x:c r="M195" s="9"/>
      <x:c r="N195" s="12" t="str">
        <x:f>IF(A195="","",IF(COUNTIF($A$6:$A$305,A195)&gt;1,"记录ID重复",IF(COUNTIF('案件索引'!$A$6:$A$105,B195)=0,"案件ID未登记",IF(AND(I195="通过",OR(C195="",H195="",L195="")),"通过须有运行、输出和评价人","格式已填；仍须人工复核"))))</x:f>
      </x:c>
    </x:row>
    <x:row r="196" ht="44" customHeight="1">
      <x:c r="A196" s="9"/>
      <x:c r="B196" s="9"/>
      <x:c r="C196" s="9"/>
      <x:c r="D196" s="9"/>
      <x:c r="E196" s="9"/>
      <x:c r="F196" s="9"/>
      <x:c r="G196" s="9"/>
      <x:c r="H196" s="9"/>
      <x:c r="I196" s="9"/>
      <x:c r="J196" s="9"/>
      <x:c r="K196" s="9"/>
      <x:c r="L196" s="9"/>
      <x:c r="M196" s="9"/>
      <x:c r="N196" s="12" t="str">
        <x:f>IF(A196="","",IF(COUNTIF($A$6:$A$305,A196)&gt;1,"记录ID重复",IF(COUNTIF('案件索引'!$A$6:$A$105,B196)=0,"案件ID未登记",IF(AND(I196="通过",OR(C196="",H196="",L196="")),"通过须有运行、输出和评价人","格式已填；仍须人工复核"))))</x:f>
      </x:c>
    </x:row>
    <x:row r="197" ht="44" customHeight="1">
      <x:c r="A197" s="9"/>
      <x:c r="B197" s="9"/>
      <x:c r="C197" s="9"/>
      <x:c r="D197" s="9"/>
      <x:c r="E197" s="9"/>
      <x:c r="F197" s="9"/>
      <x:c r="G197" s="9"/>
      <x:c r="H197" s="9"/>
      <x:c r="I197" s="9"/>
      <x:c r="J197" s="9"/>
      <x:c r="K197" s="9"/>
      <x:c r="L197" s="9"/>
      <x:c r="M197" s="9"/>
      <x:c r="N197" s="12" t="str">
        <x:f>IF(A197="","",IF(COUNTIF($A$6:$A$305,A197)&gt;1,"记录ID重复",IF(COUNTIF('案件索引'!$A$6:$A$105,B197)=0,"案件ID未登记",IF(AND(I197="通过",OR(C197="",H197="",L197="")),"通过须有运行、输出和评价人","格式已填；仍须人工复核"))))</x:f>
      </x:c>
    </x:row>
    <x:row r="198" ht="44" customHeight="1">
      <x:c r="A198" s="9"/>
      <x:c r="B198" s="9"/>
      <x:c r="C198" s="9"/>
      <x:c r="D198" s="9"/>
      <x:c r="E198" s="9"/>
      <x:c r="F198" s="9"/>
      <x:c r="G198" s="9"/>
      <x:c r="H198" s="9"/>
      <x:c r="I198" s="9"/>
      <x:c r="J198" s="9"/>
      <x:c r="K198" s="9"/>
      <x:c r="L198" s="9"/>
      <x:c r="M198" s="9"/>
      <x:c r="N198" s="12" t="str">
        <x:f>IF(A198="","",IF(COUNTIF($A$6:$A$305,A198)&gt;1,"记录ID重复",IF(COUNTIF('案件索引'!$A$6:$A$105,B198)=0,"案件ID未登记",IF(AND(I198="通过",OR(C198="",H198="",L198="")),"通过须有运行、输出和评价人","格式已填；仍须人工复核"))))</x:f>
      </x:c>
    </x:row>
    <x:row r="199" ht="44" customHeight="1">
      <x:c r="A199" s="9"/>
      <x:c r="B199" s="9"/>
      <x:c r="C199" s="9"/>
      <x:c r="D199" s="9"/>
      <x:c r="E199" s="9"/>
      <x:c r="F199" s="9"/>
      <x:c r="G199" s="9"/>
      <x:c r="H199" s="9"/>
      <x:c r="I199" s="9"/>
      <x:c r="J199" s="9"/>
      <x:c r="K199" s="9"/>
      <x:c r="L199" s="9"/>
      <x:c r="M199" s="9"/>
      <x:c r="N199" s="12" t="str">
        <x:f>IF(A199="","",IF(COUNTIF($A$6:$A$305,A199)&gt;1,"记录ID重复",IF(COUNTIF('案件索引'!$A$6:$A$105,B199)=0,"案件ID未登记",IF(AND(I199="通过",OR(C199="",H199="",L199="")),"通过须有运行、输出和评价人","格式已填；仍须人工复核"))))</x:f>
      </x:c>
    </x:row>
    <x:row r="200" ht="44" customHeight="1">
      <x:c r="A200" s="9"/>
      <x:c r="B200" s="9"/>
      <x:c r="C200" s="9"/>
      <x:c r="D200" s="9"/>
      <x:c r="E200" s="9"/>
      <x:c r="F200" s="9"/>
      <x:c r="G200" s="9"/>
      <x:c r="H200" s="9"/>
      <x:c r="I200" s="9"/>
      <x:c r="J200" s="9"/>
      <x:c r="K200" s="9"/>
      <x:c r="L200" s="9"/>
      <x:c r="M200" s="9"/>
      <x:c r="N200" s="12" t="str">
        <x:f>IF(A200="","",IF(COUNTIF($A$6:$A$305,A200)&gt;1,"记录ID重复",IF(COUNTIF('案件索引'!$A$6:$A$105,B200)=0,"案件ID未登记",IF(AND(I200="通过",OR(C200="",H200="",L200="")),"通过须有运行、输出和评价人","格式已填；仍须人工复核"))))</x:f>
      </x:c>
    </x:row>
    <x:row r="201" ht="44" customHeight="1">
      <x:c r="A201" s="9"/>
      <x:c r="B201" s="9"/>
      <x:c r="C201" s="9"/>
      <x:c r="D201" s="9"/>
      <x:c r="E201" s="9"/>
      <x:c r="F201" s="9"/>
      <x:c r="G201" s="9"/>
      <x:c r="H201" s="9"/>
      <x:c r="I201" s="9"/>
      <x:c r="J201" s="9"/>
      <x:c r="K201" s="9"/>
      <x:c r="L201" s="9"/>
      <x:c r="M201" s="9"/>
      <x:c r="N201" s="12" t="str">
        <x:f>IF(A201="","",IF(COUNTIF($A$6:$A$305,A201)&gt;1,"记录ID重复",IF(COUNTIF('案件索引'!$A$6:$A$105,B201)=0,"案件ID未登记",IF(AND(I201="通过",OR(C201="",H201="",L201="")),"通过须有运行、输出和评价人","格式已填；仍须人工复核"))))</x:f>
      </x:c>
    </x:row>
    <x:row r="202" ht="44" customHeight="1">
      <x:c r="A202" s="9"/>
      <x:c r="B202" s="9"/>
      <x:c r="C202" s="9"/>
      <x:c r="D202" s="9"/>
      <x:c r="E202" s="9"/>
      <x:c r="F202" s="9"/>
      <x:c r="G202" s="9"/>
      <x:c r="H202" s="9"/>
      <x:c r="I202" s="9"/>
      <x:c r="J202" s="9"/>
      <x:c r="K202" s="9"/>
      <x:c r="L202" s="9"/>
      <x:c r="M202" s="9"/>
      <x:c r="N202" s="12" t="str">
        <x:f>IF(A202="","",IF(COUNTIF($A$6:$A$305,A202)&gt;1,"记录ID重复",IF(COUNTIF('案件索引'!$A$6:$A$105,B202)=0,"案件ID未登记",IF(AND(I202="通过",OR(C202="",H202="",L202="")),"通过须有运行、输出和评价人","格式已填；仍须人工复核"))))</x:f>
      </x:c>
    </x:row>
    <x:row r="203" ht="44" customHeight="1">
      <x:c r="A203" s="9"/>
      <x:c r="B203" s="9"/>
      <x:c r="C203" s="9"/>
      <x:c r="D203" s="9"/>
      <x:c r="E203" s="9"/>
      <x:c r="F203" s="9"/>
      <x:c r="G203" s="9"/>
      <x:c r="H203" s="9"/>
      <x:c r="I203" s="9"/>
      <x:c r="J203" s="9"/>
      <x:c r="K203" s="9"/>
      <x:c r="L203" s="9"/>
      <x:c r="M203" s="9"/>
      <x:c r="N203" s="12" t="str">
        <x:f>IF(A203="","",IF(COUNTIF($A$6:$A$305,A203)&gt;1,"记录ID重复",IF(COUNTIF('案件索引'!$A$6:$A$105,B203)=0,"案件ID未登记",IF(AND(I203="通过",OR(C203="",H203="",L203="")),"通过须有运行、输出和评价人","格式已填；仍须人工复核"))))</x:f>
      </x:c>
    </x:row>
    <x:row r="204" ht="44" customHeight="1">
      <x:c r="A204" s="9"/>
      <x:c r="B204" s="9"/>
      <x:c r="C204" s="9"/>
      <x:c r="D204" s="9"/>
      <x:c r="E204" s="9"/>
      <x:c r="F204" s="9"/>
      <x:c r="G204" s="9"/>
      <x:c r="H204" s="9"/>
      <x:c r="I204" s="9"/>
      <x:c r="J204" s="9"/>
      <x:c r="K204" s="9"/>
      <x:c r="L204" s="9"/>
      <x:c r="M204" s="9"/>
      <x:c r="N204" s="12" t="str">
        <x:f>IF(A204="","",IF(COUNTIF($A$6:$A$305,A204)&gt;1,"记录ID重复",IF(COUNTIF('案件索引'!$A$6:$A$105,B204)=0,"案件ID未登记",IF(AND(I204="通过",OR(C204="",H204="",L204="")),"通过须有运行、输出和评价人","格式已填；仍须人工复核"))))</x:f>
      </x:c>
    </x:row>
    <x:row r="205" ht="44" customHeight="1">
      <x:c r="A205" s="9"/>
      <x:c r="B205" s="9"/>
      <x:c r="C205" s="9"/>
      <x:c r="D205" s="9"/>
      <x:c r="E205" s="9"/>
      <x:c r="F205" s="9"/>
      <x:c r="G205" s="9"/>
      <x:c r="H205" s="9"/>
      <x:c r="I205" s="9"/>
      <x:c r="J205" s="9"/>
      <x:c r="K205" s="9"/>
      <x:c r="L205" s="9"/>
      <x:c r="M205" s="9"/>
      <x:c r="N205" s="12" t="str">
        <x:f>IF(A205="","",IF(COUNTIF($A$6:$A$305,A205)&gt;1,"记录ID重复",IF(COUNTIF('案件索引'!$A$6:$A$105,B205)=0,"案件ID未登记",IF(AND(I205="通过",OR(C205="",H205="",L205="")),"通过须有运行、输出和评价人","格式已填；仍须人工复核"))))</x:f>
      </x:c>
    </x:row>
    <x:row r="206" ht="44" customHeight="1">
      <x:c r="A206" s="9"/>
      <x:c r="B206" s="9"/>
      <x:c r="C206" s="9"/>
      <x:c r="D206" s="9"/>
      <x:c r="E206" s="9"/>
      <x:c r="F206" s="9"/>
      <x:c r="G206" s="9"/>
      <x:c r="H206" s="9"/>
      <x:c r="I206" s="9"/>
      <x:c r="J206" s="9"/>
      <x:c r="K206" s="9"/>
      <x:c r="L206" s="9"/>
      <x:c r="M206" s="9"/>
      <x:c r="N206" s="12" t="str">
        <x:f>IF(A206="","",IF(COUNTIF($A$6:$A$305,A206)&gt;1,"记录ID重复",IF(COUNTIF('案件索引'!$A$6:$A$105,B206)=0,"案件ID未登记",IF(AND(I206="通过",OR(C206="",H206="",L206="")),"通过须有运行、输出和评价人","格式已填；仍须人工复核"))))</x:f>
      </x:c>
    </x:row>
    <x:row r="207" ht="44" customHeight="1">
      <x:c r="A207" s="9"/>
      <x:c r="B207" s="9"/>
      <x:c r="C207" s="9"/>
      <x:c r="D207" s="9"/>
      <x:c r="E207" s="9"/>
      <x:c r="F207" s="9"/>
      <x:c r="G207" s="9"/>
      <x:c r="H207" s="9"/>
      <x:c r="I207" s="9"/>
      <x:c r="J207" s="9"/>
      <x:c r="K207" s="9"/>
      <x:c r="L207" s="9"/>
      <x:c r="M207" s="9"/>
      <x:c r="N207" s="12" t="str">
        <x:f>IF(A207="","",IF(COUNTIF($A$6:$A$305,A207)&gt;1,"记录ID重复",IF(COUNTIF('案件索引'!$A$6:$A$105,B207)=0,"案件ID未登记",IF(AND(I207="通过",OR(C207="",H207="",L207="")),"通过须有运行、输出和评价人","格式已填；仍须人工复核"))))</x:f>
      </x:c>
    </x:row>
    <x:row r="208" ht="44" customHeight="1">
      <x:c r="A208" s="9"/>
      <x:c r="B208" s="9"/>
      <x:c r="C208" s="9"/>
      <x:c r="D208" s="9"/>
      <x:c r="E208" s="9"/>
      <x:c r="F208" s="9"/>
      <x:c r="G208" s="9"/>
      <x:c r="H208" s="9"/>
      <x:c r="I208" s="9"/>
      <x:c r="J208" s="9"/>
      <x:c r="K208" s="9"/>
      <x:c r="L208" s="9"/>
      <x:c r="M208" s="9"/>
      <x:c r="N208" s="12" t="str">
        <x:f>IF(A208="","",IF(COUNTIF($A$6:$A$305,A208)&gt;1,"记录ID重复",IF(COUNTIF('案件索引'!$A$6:$A$105,B208)=0,"案件ID未登记",IF(AND(I208="通过",OR(C208="",H208="",L208="")),"通过须有运行、输出和评价人","格式已填；仍须人工复核"))))</x:f>
      </x:c>
    </x:row>
    <x:row r="209" ht="44" customHeight="1">
      <x:c r="A209" s="9"/>
      <x:c r="B209" s="9"/>
      <x:c r="C209" s="9"/>
      <x:c r="D209" s="9"/>
      <x:c r="E209" s="9"/>
      <x:c r="F209" s="9"/>
      <x:c r="G209" s="9"/>
      <x:c r="H209" s="9"/>
      <x:c r="I209" s="9"/>
      <x:c r="J209" s="9"/>
      <x:c r="K209" s="9"/>
      <x:c r="L209" s="9"/>
      <x:c r="M209" s="9"/>
      <x:c r="N209" s="12" t="str">
        <x:f>IF(A209="","",IF(COUNTIF($A$6:$A$305,A209)&gt;1,"记录ID重复",IF(COUNTIF('案件索引'!$A$6:$A$105,B209)=0,"案件ID未登记",IF(AND(I209="通过",OR(C209="",H209="",L209="")),"通过须有运行、输出和评价人","格式已填；仍须人工复核"))))</x:f>
      </x:c>
    </x:row>
    <x:row r="210" ht="44" customHeight="1">
      <x:c r="A210" s="9"/>
      <x:c r="B210" s="9"/>
      <x:c r="C210" s="9"/>
      <x:c r="D210" s="9"/>
      <x:c r="E210" s="9"/>
      <x:c r="F210" s="9"/>
      <x:c r="G210" s="9"/>
      <x:c r="H210" s="9"/>
      <x:c r="I210" s="9"/>
      <x:c r="J210" s="9"/>
      <x:c r="K210" s="9"/>
      <x:c r="L210" s="9"/>
      <x:c r="M210" s="9"/>
      <x:c r="N210" s="12" t="str">
        <x:f>IF(A210="","",IF(COUNTIF($A$6:$A$305,A210)&gt;1,"记录ID重复",IF(COUNTIF('案件索引'!$A$6:$A$105,B210)=0,"案件ID未登记",IF(AND(I210="通过",OR(C210="",H210="",L210="")),"通过须有运行、输出和评价人","格式已填；仍须人工复核"))))</x:f>
      </x:c>
    </x:row>
    <x:row r="211" ht="44" customHeight="1">
      <x:c r="A211" s="9"/>
      <x:c r="B211" s="9"/>
      <x:c r="C211" s="9"/>
      <x:c r="D211" s="9"/>
      <x:c r="E211" s="9"/>
      <x:c r="F211" s="9"/>
      <x:c r="G211" s="9"/>
      <x:c r="H211" s="9"/>
      <x:c r="I211" s="9"/>
      <x:c r="J211" s="9"/>
      <x:c r="K211" s="9"/>
      <x:c r="L211" s="9"/>
      <x:c r="M211" s="9"/>
      <x:c r="N211" s="12" t="str">
        <x:f>IF(A211="","",IF(COUNTIF($A$6:$A$305,A211)&gt;1,"记录ID重复",IF(COUNTIF('案件索引'!$A$6:$A$105,B211)=0,"案件ID未登记",IF(AND(I211="通过",OR(C211="",H211="",L211="")),"通过须有运行、输出和评价人","格式已填；仍须人工复核"))))</x:f>
      </x:c>
    </x:row>
    <x:row r="212" ht="44" customHeight="1">
      <x:c r="A212" s="9"/>
      <x:c r="B212" s="9"/>
      <x:c r="C212" s="9"/>
      <x:c r="D212" s="9"/>
      <x:c r="E212" s="9"/>
      <x:c r="F212" s="9"/>
      <x:c r="G212" s="9"/>
      <x:c r="H212" s="9"/>
      <x:c r="I212" s="9"/>
      <x:c r="J212" s="9"/>
      <x:c r="K212" s="9"/>
      <x:c r="L212" s="9"/>
      <x:c r="M212" s="9"/>
      <x:c r="N212" s="12" t="str">
        <x:f>IF(A212="","",IF(COUNTIF($A$6:$A$305,A212)&gt;1,"记录ID重复",IF(COUNTIF('案件索引'!$A$6:$A$105,B212)=0,"案件ID未登记",IF(AND(I212="通过",OR(C212="",H212="",L212="")),"通过须有运行、输出和评价人","格式已填；仍须人工复核"))))</x:f>
      </x:c>
    </x:row>
    <x:row r="213" ht="44" customHeight="1">
      <x:c r="A213" s="9"/>
      <x:c r="B213" s="9"/>
      <x:c r="C213" s="9"/>
      <x:c r="D213" s="9"/>
      <x:c r="E213" s="9"/>
      <x:c r="F213" s="9"/>
      <x:c r="G213" s="9"/>
      <x:c r="H213" s="9"/>
      <x:c r="I213" s="9"/>
      <x:c r="J213" s="9"/>
      <x:c r="K213" s="9"/>
      <x:c r="L213" s="9"/>
      <x:c r="M213" s="9"/>
      <x:c r="N213" s="12" t="str">
        <x:f>IF(A213="","",IF(COUNTIF($A$6:$A$305,A213)&gt;1,"记录ID重复",IF(COUNTIF('案件索引'!$A$6:$A$105,B213)=0,"案件ID未登记",IF(AND(I213="通过",OR(C213="",H213="",L213="")),"通过须有运行、输出和评价人","格式已填；仍须人工复核"))))</x:f>
      </x:c>
    </x:row>
    <x:row r="214" ht="44" customHeight="1">
      <x:c r="A214" s="9"/>
      <x:c r="B214" s="9"/>
      <x:c r="C214" s="9"/>
      <x:c r="D214" s="9"/>
      <x:c r="E214" s="9"/>
      <x:c r="F214" s="9"/>
      <x:c r="G214" s="9"/>
      <x:c r="H214" s="9"/>
      <x:c r="I214" s="9"/>
      <x:c r="J214" s="9"/>
      <x:c r="K214" s="9"/>
      <x:c r="L214" s="9"/>
      <x:c r="M214" s="9"/>
      <x:c r="N214" s="12" t="str">
        <x:f>IF(A214="","",IF(COUNTIF($A$6:$A$305,A214)&gt;1,"记录ID重复",IF(COUNTIF('案件索引'!$A$6:$A$105,B214)=0,"案件ID未登记",IF(AND(I214="通过",OR(C214="",H214="",L214="")),"通过须有运行、输出和评价人","格式已填；仍须人工复核"))))</x:f>
      </x:c>
    </x:row>
    <x:row r="215" ht="44" customHeight="1">
      <x:c r="A215" s="9"/>
      <x:c r="B215" s="9"/>
      <x:c r="C215" s="9"/>
      <x:c r="D215" s="9"/>
      <x:c r="E215" s="9"/>
      <x:c r="F215" s="9"/>
      <x:c r="G215" s="9"/>
      <x:c r="H215" s="9"/>
      <x:c r="I215" s="9"/>
      <x:c r="J215" s="9"/>
      <x:c r="K215" s="9"/>
      <x:c r="L215" s="9"/>
      <x:c r="M215" s="9"/>
      <x:c r="N215" s="12" t="str">
        <x:f>IF(A215="","",IF(COUNTIF($A$6:$A$305,A215)&gt;1,"记录ID重复",IF(COUNTIF('案件索引'!$A$6:$A$105,B215)=0,"案件ID未登记",IF(AND(I215="通过",OR(C215="",H215="",L215="")),"通过须有运行、输出和评价人","格式已填；仍须人工复核"))))</x:f>
      </x:c>
    </x:row>
    <x:row r="216" ht="44" customHeight="1">
      <x:c r="A216" s="9"/>
      <x:c r="B216" s="9"/>
      <x:c r="C216" s="9"/>
      <x:c r="D216" s="9"/>
      <x:c r="E216" s="9"/>
      <x:c r="F216" s="9"/>
      <x:c r="G216" s="9"/>
      <x:c r="H216" s="9"/>
      <x:c r="I216" s="9"/>
      <x:c r="J216" s="9"/>
      <x:c r="K216" s="9"/>
      <x:c r="L216" s="9"/>
      <x:c r="M216" s="9"/>
      <x:c r="N216" s="12" t="str">
        <x:f>IF(A216="","",IF(COUNTIF($A$6:$A$305,A216)&gt;1,"记录ID重复",IF(COUNTIF('案件索引'!$A$6:$A$105,B216)=0,"案件ID未登记",IF(AND(I216="通过",OR(C216="",H216="",L216="")),"通过须有运行、输出和评价人","格式已填；仍须人工复核"))))</x:f>
      </x:c>
    </x:row>
    <x:row r="217" ht="44" customHeight="1">
      <x:c r="A217" s="9"/>
      <x:c r="B217" s="9"/>
      <x:c r="C217" s="9"/>
      <x:c r="D217" s="9"/>
      <x:c r="E217" s="9"/>
      <x:c r="F217" s="9"/>
      <x:c r="G217" s="9"/>
      <x:c r="H217" s="9"/>
      <x:c r="I217" s="9"/>
      <x:c r="J217" s="9"/>
      <x:c r="K217" s="9"/>
      <x:c r="L217" s="9"/>
      <x:c r="M217" s="9"/>
      <x:c r="N217" s="12" t="str">
        <x:f>IF(A217="","",IF(COUNTIF($A$6:$A$305,A217)&gt;1,"记录ID重复",IF(COUNTIF('案件索引'!$A$6:$A$105,B217)=0,"案件ID未登记",IF(AND(I217="通过",OR(C217="",H217="",L217="")),"通过须有运行、输出和评价人","格式已填；仍须人工复核"))))</x:f>
      </x:c>
    </x:row>
    <x:row r="218" ht="44" customHeight="1">
      <x:c r="A218" s="9"/>
      <x:c r="B218" s="9"/>
      <x:c r="C218" s="9"/>
      <x:c r="D218" s="9"/>
      <x:c r="E218" s="9"/>
      <x:c r="F218" s="9"/>
      <x:c r="G218" s="9"/>
      <x:c r="H218" s="9"/>
      <x:c r="I218" s="9"/>
      <x:c r="J218" s="9"/>
      <x:c r="K218" s="9"/>
      <x:c r="L218" s="9"/>
      <x:c r="M218" s="9"/>
      <x:c r="N218" s="12" t="str">
        <x:f>IF(A218="","",IF(COUNTIF($A$6:$A$305,A218)&gt;1,"记录ID重复",IF(COUNTIF('案件索引'!$A$6:$A$105,B218)=0,"案件ID未登记",IF(AND(I218="通过",OR(C218="",H218="",L218="")),"通过须有运行、输出和评价人","格式已填；仍须人工复核"))))</x:f>
      </x:c>
    </x:row>
    <x:row r="219" ht="44" customHeight="1">
      <x:c r="A219" s="9"/>
      <x:c r="B219" s="9"/>
      <x:c r="C219" s="9"/>
      <x:c r="D219" s="9"/>
      <x:c r="E219" s="9"/>
      <x:c r="F219" s="9"/>
      <x:c r="G219" s="9"/>
      <x:c r="H219" s="9"/>
      <x:c r="I219" s="9"/>
      <x:c r="J219" s="9"/>
      <x:c r="K219" s="9"/>
      <x:c r="L219" s="9"/>
      <x:c r="M219" s="9"/>
      <x:c r="N219" s="12" t="str">
        <x:f>IF(A219="","",IF(COUNTIF($A$6:$A$305,A219)&gt;1,"记录ID重复",IF(COUNTIF('案件索引'!$A$6:$A$105,B219)=0,"案件ID未登记",IF(AND(I219="通过",OR(C219="",H219="",L219="")),"通过须有运行、输出和评价人","格式已填；仍须人工复核"))))</x:f>
      </x:c>
    </x:row>
    <x:row r="220" ht="44" customHeight="1">
      <x:c r="A220" s="9"/>
      <x:c r="B220" s="9"/>
      <x:c r="C220" s="9"/>
      <x:c r="D220" s="9"/>
      <x:c r="E220" s="9"/>
      <x:c r="F220" s="9"/>
      <x:c r="G220" s="9"/>
      <x:c r="H220" s="9"/>
      <x:c r="I220" s="9"/>
      <x:c r="J220" s="9"/>
      <x:c r="K220" s="9"/>
      <x:c r="L220" s="9"/>
      <x:c r="M220" s="9"/>
      <x:c r="N220" s="12" t="str">
        <x:f>IF(A220="","",IF(COUNTIF($A$6:$A$305,A220)&gt;1,"记录ID重复",IF(COUNTIF('案件索引'!$A$6:$A$105,B220)=0,"案件ID未登记",IF(AND(I220="通过",OR(C220="",H220="",L220="")),"通过须有运行、输出和评价人","格式已填；仍须人工复核"))))</x:f>
      </x:c>
    </x:row>
    <x:row r="221" ht="44" customHeight="1">
      <x:c r="A221" s="9"/>
      <x:c r="B221" s="9"/>
      <x:c r="C221" s="9"/>
      <x:c r="D221" s="9"/>
      <x:c r="E221" s="9"/>
      <x:c r="F221" s="9"/>
      <x:c r="G221" s="9"/>
      <x:c r="H221" s="9"/>
      <x:c r="I221" s="9"/>
      <x:c r="J221" s="9"/>
      <x:c r="K221" s="9"/>
      <x:c r="L221" s="9"/>
      <x:c r="M221" s="9"/>
      <x:c r="N221" s="12" t="str">
        <x:f>IF(A221="","",IF(COUNTIF($A$6:$A$305,A221)&gt;1,"记录ID重复",IF(COUNTIF('案件索引'!$A$6:$A$105,B221)=0,"案件ID未登记",IF(AND(I221="通过",OR(C221="",H221="",L221="")),"通过须有运行、输出和评价人","格式已填；仍须人工复核"))))</x:f>
      </x:c>
    </x:row>
    <x:row r="222" ht="44" customHeight="1">
      <x:c r="A222" s="9"/>
      <x:c r="B222" s="9"/>
      <x:c r="C222" s="9"/>
      <x:c r="D222" s="9"/>
      <x:c r="E222" s="9"/>
      <x:c r="F222" s="9"/>
      <x:c r="G222" s="9"/>
      <x:c r="H222" s="9"/>
      <x:c r="I222" s="9"/>
      <x:c r="J222" s="9"/>
      <x:c r="K222" s="9"/>
      <x:c r="L222" s="9"/>
      <x:c r="M222" s="9"/>
      <x:c r="N222" s="12" t="str">
        <x:f>IF(A222="","",IF(COUNTIF($A$6:$A$305,A222)&gt;1,"记录ID重复",IF(COUNTIF('案件索引'!$A$6:$A$105,B222)=0,"案件ID未登记",IF(AND(I222="通过",OR(C222="",H222="",L222="")),"通过须有运行、输出和评价人","格式已填；仍须人工复核"))))</x:f>
      </x:c>
    </x:row>
    <x:row r="223" ht="44" customHeight="1">
      <x:c r="A223" s="9"/>
      <x:c r="B223" s="9"/>
      <x:c r="C223" s="9"/>
      <x:c r="D223" s="9"/>
      <x:c r="E223" s="9"/>
      <x:c r="F223" s="9"/>
      <x:c r="G223" s="9"/>
      <x:c r="H223" s="9"/>
      <x:c r="I223" s="9"/>
      <x:c r="J223" s="9"/>
      <x:c r="K223" s="9"/>
      <x:c r="L223" s="9"/>
      <x:c r="M223" s="9"/>
      <x:c r="N223" s="12" t="str">
        <x:f>IF(A223="","",IF(COUNTIF($A$6:$A$305,A223)&gt;1,"记录ID重复",IF(COUNTIF('案件索引'!$A$6:$A$105,B223)=0,"案件ID未登记",IF(AND(I223="通过",OR(C223="",H223="",L223="")),"通过须有运行、输出和评价人","格式已填；仍须人工复核"))))</x:f>
      </x:c>
    </x:row>
    <x:row r="224" ht="44" customHeight="1">
      <x:c r="A224" s="9"/>
      <x:c r="B224" s="9"/>
      <x:c r="C224" s="9"/>
      <x:c r="D224" s="9"/>
      <x:c r="E224" s="9"/>
      <x:c r="F224" s="9"/>
      <x:c r="G224" s="9"/>
      <x:c r="H224" s="9"/>
      <x:c r="I224" s="9"/>
      <x:c r="J224" s="9"/>
      <x:c r="K224" s="9"/>
      <x:c r="L224" s="9"/>
      <x:c r="M224" s="9"/>
      <x:c r="N224" s="12" t="str">
        <x:f>IF(A224="","",IF(COUNTIF($A$6:$A$305,A224)&gt;1,"记录ID重复",IF(COUNTIF('案件索引'!$A$6:$A$105,B224)=0,"案件ID未登记",IF(AND(I224="通过",OR(C224="",H224="",L224="")),"通过须有运行、输出和评价人","格式已填；仍须人工复核"))))</x:f>
      </x:c>
    </x:row>
    <x:row r="225" ht="44" customHeight="1">
      <x:c r="A225" s="9"/>
      <x:c r="B225" s="9"/>
      <x:c r="C225" s="9"/>
      <x:c r="D225" s="9"/>
      <x:c r="E225" s="9"/>
      <x:c r="F225" s="9"/>
      <x:c r="G225" s="9"/>
      <x:c r="H225" s="9"/>
      <x:c r="I225" s="9"/>
      <x:c r="J225" s="9"/>
      <x:c r="K225" s="9"/>
      <x:c r="L225" s="9"/>
      <x:c r="M225" s="9"/>
      <x:c r="N225" s="12" t="str">
        <x:f>IF(A225="","",IF(COUNTIF($A$6:$A$305,A225)&gt;1,"记录ID重复",IF(COUNTIF('案件索引'!$A$6:$A$105,B225)=0,"案件ID未登记",IF(AND(I225="通过",OR(C225="",H225="",L225="")),"通过须有运行、输出和评价人","格式已填；仍须人工复核"))))</x:f>
      </x:c>
    </x:row>
    <x:row r="226" ht="44" customHeight="1">
      <x:c r="A226" s="9"/>
      <x:c r="B226" s="9"/>
      <x:c r="C226" s="9"/>
      <x:c r="D226" s="9"/>
      <x:c r="E226" s="9"/>
      <x:c r="F226" s="9"/>
      <x:c r="G226" s="9"/>
      <x:c r="H226" s="9"/>
      <x:c r="I226" s="9"/>
      <x:c r="J226" s="9"/>
      <x:c r="K226" s="9"/>
      <x:c r="L226" s="9"/>
      <x:c r="M226" s="9"/>
      <x:c r="N226" s="12" t="str">
        <x:f>IF(A226="","",IF(COUNTIF($A$6:$A$305,A226)&gt;1,"记录ID重复",IF(COUNTIF('案件索引'!$A$6:$A$105,B226)=0,"案件ID未登记",IF(AND(I226="通过",OR(C226="",H226="",L226="")),"通过须有运行、输出和评价人","格式已填；仍须人工复核"))))</x:f>
      </x:c>
    </x:row>
    <x:row r="227" ht="44" customHeight="1">
      <x:c r="A227" s="9"/>
      <x:c r="B227" s="9"/>
      <x:c r="C227" s="9"/>
      <x:c r="D227" s="9"/>
      <x:c r="E227" s="9"/>
      <x:c r="F227" s="9"/>
      <x:c r="G227" s="9"/>
      <x:c r="H227" s="9"/>
      <x:c r="I227" s="9"/>
      <x:c r="J227" s="9"/>
      <x:c r="K227" s="9"/>
      <x:c r="L227" s="9"/>
      <x:c r="M227" s="9"/>
      <x:c r="N227" s="12" t="str">
        <x:f>IF(A227="","",IF(COUNTIF($A$6:$A$305,A227)&gt;1,"记录ID重复",IF(COUNTIF('案件索引'!$A$6:$A$105,B227)=0,"案件ID未登记",IF(AND(I227="通过",OR(C227="",H227="",L227="")),"通过须有运行、输出和评价人","格式已填；仍须人工复核"))))</x:f>
      </x:c>
    </x:row>
    <x:row r="228" ht="44" customHeight="1">
      <x:c r="A228" s="9"/>
      <x:c r="B228" s="9"/>
      <x:c r="C228" s="9"/>
      <x:c r="D228" s="9"/>
      <x:c r="E228" s="9"/>
      <x:c r="F228" s="9"/>
      <x:c r="G228" s="9"/>
      <x:c r="H228" s="9"/>
      <x:c r="I228" s="9"/>
      <x:c r="J228" s="9"/>
      <x:c r="K228" s="9"/>
      <x:c r="L228" s="9"/>
      <x:c r="M228" s="9"/>
      <x:c r="N228" s="12" t="str">
        <x:f>IF(A228="","",IF(COUNTIF($A$6:$A$305,A228)&gt;1,"记录ID重复",IF(COUNTIF('案件索引'!$A$6:$A$105,B228)=0,"案件ID未登记",IF(AND(I228="通过",OR(C228="",H228="",L228="")),"通过须有运行、输出和评价人","格式已填；仍须人工复核"))))</x:f>
      </x:c>
    </x:row>
    <x:row r="229" ht="44" customHeight="1">
      <x:c r="A229" s="9"/>
      <x:c r="B229" s="9"/>
      <x:c r="C229" s="9"/>
      <x:c r="D229" s="9"/>
      <x:c r="E229" s="9"/>
      <x:c r="F229" s="9"/>
      <x:c r="G229" s="9"/>
      <x:c r="H229" s="9"/>
      <x:c r="I229" s="9"/>
      <x:c r="J229" s="9"/>
      <x:c r="K229" s="9"/>
      <x:c r="L229" s="9"/>
      <x:c r="M229" s="9"/>
      <x:c r="N229" s="12" t="str">
        <x:f>IF(A229="","",IF(COUNTIF($A$6:$A$305,A229)&gt;1,"记录ID重复",IF(COUNTIF('案件索引'!$A$6:$A$105,B229)=0,"案件ID未登记",IF(AND(I229="通过",OR(C229="",H229="",L229="")),"通过须有运行、输出和评价人","格式已填；仍须人工复核"))))</x:f>
      </x:c>
    </x:row>
    <x:row r="230" ht="44" customHeight="1">
      <x:c r="A230" s="9"/>
      <x:c r="B230" s="9"/>
      <x:c r="C230" s="9"/>
      <x:c r="D230" s="9"/>
      <x:c r="E230" s="9"/>
      <x:c r="F230" s="9"/>
      <x:c r="G230" s="9"/>
      <x:c r="H230" s="9"/>
      <x:c r="I230" s="9"/>
      <x:c r="J230" s="9"/>
      <x:c r="K230" s="9"/>
      <x:c r="L230" s="9"/>
      <x:c r="M230" s="9"/>
      <x:c r="N230" s="12" t="str">
        <x:f>IF(A230="","",IF(COUNTIF($A$6:$A$305,A230)&gt;1,"记录ID重复",IF(COUNTIF('案件索引'!$A$6:$A$105,B230)=0,"案件ID未登记",IF(AND(I230="通过",OR(C230="",H230="",L230="")),"通过须有运行、输出和评价人","格式已填；仍须人工复核"))))</x:f>
      </x:c>
    </x:row>
    <x:row r="231" ht="44" customHeight="1">
      <x:c r="A231" s="9"/>
      <x:c r="B231" s="9"/>
      <x:c r="C231" s="9"/>
      <x:c r="D231" s="9"/>
      <x:c r="E231" s="9"/>
      <x:c r="F231" s="9"/>
      <x:c r="G231" s="9"/>
      <x:c r="H231" s="9"/>
      <x:c r="I231" s="9"/>
      <x:c r="J231" s="9"/>
      <x:c r="K231" s="9"/>
      <x:c r="L231" s="9"/>
      <x:c r="M231" s="9"/>
      <x:c r="N231" s="12" t="str">
        <x:f>IF(A231="","",IF(COUNTIF($A$6:$A$305,A231)&gt;1,"记录ID重复",IF(COUNTIF('案件索引'!$A$6:$A$105,B231)=0,"案件ID未登记",IF(AND(I231="通过",OR(C231="",H231="",L231="")),"通过须有运行、输出和评价人","格式已填；仍须人工复核"))))</x:f>
      </x:c>
    </x:row>
    <x:row r="232" ht="44" customHeight="1">
      <x:c r="A232" s="9"/>
      <x:c r="B232" s="9"/>
      <x:c r="C232" s="9"/>
      <x:c r="D232" s="9"/>
      <x:c r="E232" s="9"/>
      <x:c r="F232" s="9"/>
      <x:c r="G232" s="9"/>
      <x:c r="H232" s="9"/>
      <x:c r="I232" s="9"/>
      <x:c r="J232" s="9"/>
      <x:c r="K232" s="9"/>
      <x:c r="L232" s="9"/>
      <x:c r="M232" s="9"/>
      <x:c r="N232" s="12" t="str">
        <x:f>IF(A232="","",IF(COUNTIF($A$6:$A$305,A232)&gt;1,"记录ID重复",IF(COUNTIF('案件索引'!$A$6:$A$105,B232)=0,"案件ID未登记",IF(AND(I232="通过",OR(C232="",H232="",L232="")),"通过须有运行、输出和评价人","格式已填；仍须人工复核"))))</x:f>
      </x:c>
    </x:row>
    <x:row r="233" ht="44" customHeight="1">
      <x:c r="A233" s="9"/>
      <x:c r="B233" s="9"/>
      <x:c r="C233" s="9"/>
      <x:c r="D233" s="9"/>
      <x:c r="E233" s="9"/>
      <x:c r="F233" s="9"/>
      <x:c r="G233" s="9"/>
      <x:c r="H233" s="9"/>
      <x:c r="I233" s="9"/>
      <x:c r="J233" s="9"/>
      <x:c r="K233" s="9"/>
      <x:c r="L233" s="9"/>
      <x:c r="M233" s="9"/>
      <x:c r="N233" s="12" t="str">
        <x:f>IF(A233="","",IF(COUNTIF($A$6:$A$305,A233)&gt;1,"记录ID重复",IF(COUNTIF('案件索引'!$A$6:$A$105,B233)=0,"案件ID未登记",IF(AND(I233="通过",OR(C233="",H233="",L233="")),"通过须有运行、输出和评价人","格式已填；仍须人工复核"))))</x:f>
      </x:c>
    </x:row>
    <x:row r="234" ht="44" customHeight="1">
      <x:c r="A234" s="9"/>
      <x:c r="B234" s="9"/>
      <x:c r="C234" s="9"/>
      <x:c r="D234" s="9"/>
      <x:c r="E234" s="9"/>
      <x:c r="F234" s="9"/>
      <x:c r="G234" s="9"/>
      <x:c r="H234" s="9"/>
      <x:c r="I234" s="9"/>
      <x:c r="J234" s="9"/>
      <x:c r="K234" s="9"/>
      <x:c r="L234" s="9"/>
      <x:c r="M234" s="9"/>
      <x:c r="N234" s="12" t="str">
        <x:f>IF(A234="","",IF(COUNTIF($A$6:$A$305,A234)&gt;1,"记录ID重复",IF(COUNTIF('案件索引'!$A$6:$A$105,B234)=0,"案件ID未登记",IF(AND(I234="通过",OR(C234="",H234="",L234="")),"通过须有运行、输出和评价人","格式已填；仍须人工复核"))))</x:f>
      </x:c>
    </x:row>
    <x:row r="235" ht="44" customHeight="1">
      <x:c r="A235" s="9"/>
      <x:c r="B235" s="9"/>
      <x:c r="C235" s="9"/>
      <x:c r="D235" s="9"/>
      <x:c r="E235" s="9"/>
      <x:c r="F235" s="9"/>
      <x:c r="G235" s="9"/>
      <x:c r="H235" s="9"/>
      <x:c r="I235" s="9"/>
      <x:c r="J235" s="9"/>
      <x:c r="K235" s="9"/>
      <x:c r="L235" s="9"/>
      <x:c r="M235" s="9"/>
      <x:c r="N235" s="12" t="str">
        <x:f>IF(A235="","",IF(COUNTIF($A$6:$A$305,A235)&gt;1,"记录ID重复",IF(COUNTIF('案件索引'!$A$6:$A$105,B235)=0,"案件ID未登记",IF(AND(I235="通过",OR(C235="",H235="",L235="")),"通过须有运行、输出和评价人","格式已填；仍须人工复核"))))</x:f>
      </x:c>
    </x:row>
    <x:row r="236" ht="44" customHeight="1">
      <x:c r="A236" s="9"/>
      <x:c r="B236" s="9"/>
      <x:c r="C236" s="9"/>
      <x:c r="D236" s="9"/>
      <x:c r="E236" s="9"/>
      <x:c r="F236" s="9"/>
      <x:c r="G236" s="9"/>
      <x:c r="H236" s="9"/>
      <x:c r="I236" s="9"/>
      <x:c r="J236" s="9"/>
      <x:c r="K236" s="9"/>
      <x:c r="L236" s="9"/>
      <x:c r="M236" s="9"/>
      <x:c r="N236" s="12" t="str">
        <x:f>IF(A236="","",IF(COUNTIF($A$6:$A$305,A236)&gt;1,"记录ID重复",IF(COUNTIF('案件索引'!$A$6:$A$105,B236)=0,"案件ID未登记",IF(AND(I236="通过",OR(C236="",H236="",L236="")),"通过须有运行、输出和评价人","格式已填；仍须人工复核"))))</x:f>
      </x:c>
    </x:row>
    <x:row r="237" ht="44" customHeight="1">
      <x:c r="A237" s="9"/>
      <x:c r="B237" s="9"/>
      <x:c r="C237" s="9"/>
      <x:c r="D237" s="9"/>
      <x:c r="E237" s="9"/>
      <x:c r="F237" s="9"/>
      <x:c r="G237" s="9"/>
      <x:c r="H237" s="9"/>
      <x:c r="I237" s="9"/>
      <x:c r="J237" s="9"/>
      <x:c r="K237" s="9"/>
      <x:c r="L237" s="9"/>
      <x:c r="M237" s="9"/>
      <x:c r="N237" s="12" t="str">
        <x:f>IF(A237="","",IF(COUNTIF($A$6:$A$305,A237)&gt;1,"记录ID重复",IF(COUNTIF('案件索引'!$A$6:$A$105,B237)=0,"案件ID未登记",IF(AND(I237="通过",OR(C237="",H237="",L237="")),"通过须有运行、输出和评价人","格式已填；仍须人工复核"))))</x:f>
      </x:c>
    </x:row>
    <x:row r="238" ht="44" customHeight="1">
      <x:c r="A238" s="9"/>
      <x:c r="B238" s="9"/>
      <x:c r="C238" s="9"/>
      <x:c r="D238" s="9"/>
      <x:c r="E238" s="9"/>
      <x:c r="F238" s="9"/>
      <x:c r="G238" s="9"/>
      <x:c r="H238" s="9"/>
      <x:c r="I238" s="9"/>
      <x:c r="J238" s="9"/>
      <x:c r="K238" s="9"/>
      <x:c r="L238" s="9"/>
      <x:c r="M238" s="9"/>
      <x:c r="N238" s="12" t="str">
        <x:f>IF(A238="","",IF(COUNTIF($A$6:$A$305,A238)&gt;1,"记录ID重复",IF(COUNTIF('案件索引'!$A$6:$A$105,B238)=0,"案件ID未登记",IF(AND(I238="通过",OR(C238="",H238="",L238="")),"通过须有运行、输出和评价人","格式已填；仍须人工复核"))))</x:f>
      </x:c>
    </x:row>
    <x:row r="239" ht="44" customHeight="1">
      <x:c r="A239" s="9"/>
      <x:c r="B239" s="9"/>
      <x:c r="C239" s="9"/>
      <x:c r="D239" s="9"/>
      <x:c r="E239" s="9"/>
      <x:c r="F239" s="9"/>
      <x:c r="G239" s="9"/>
      <x:c r="H239" s="9"/>
      <x:c r="I239" s="9"/>
      <x:c r="J239" s="9"/>
      <x:c r="K239" s="9"/>
      <x:c r="L239" s="9"/>
      <x:c r="M239" s="9"/>
      <x:c r="N239" s="12" t="str">
        <x:f>IF(A239="","",IF(COUNTIF($A$6:$A$305,A239)&gt;1,"记录ID重复",IF(COUNTIF('案件索引'!$A$6:$A$105,B239)=0,"案件ID未登记",IF(AND(I239="通过",OR(C239="",H239="",L239="")),"通过须有运行、输出和评价人","格式已填；仍须人工复核"))))</x:f>
      </x:c>
    </x:row>
    <x:row r="240" ht="44" customHeight="1">
      <x:c r="A240" s="9"/>
      <x:c r="B240" s="9"/>
      <x:c r="C240" s="9"/>
      <x:c r="D240" s="9"/>
      <x:c r="E240" s="9"/>
      <x:c r="F240" s="9"/>
      <x:c r="G240" s="9"/>
      <x:c r="H240" s="9"/>
      <x:c r="I240" s="9"/>
      <x:c r="J240" s="9"/>
      <x:c r="K240" s="9"/>
      <x:c r="L240" s="9"/>
      <x:c r="M240" s="9"/>
      <x:c r="N240" s="12" t="str">
        <x:f>IF(A240="","",IF(COUNTIF($A$6:$A$305,A240)&gt;1,"记录ID重复",IF(COUNTIF('案件索引'!$A$6:$A$105,B240)=0,"案件ID未登记",IF(AND(I240="通过",OR(C240="",H240="",L240="")),"通过须有运行、输出和评价人","格式已填；仍须人工复核"))))</x:f>
      </x:c>
    </x:row>
    <x:row r="241" ht="44" customHeight="1">
      <x:c r="A241" s="9"/>
      <x:c r="B241" s="9"/>
      <x:c r="C241" s="9"/>
      <x:c r="D241" s="9"/>
      <x:c r="E241" s="9"/>
      <x:c r="F241" s="9"/>
      <x:c r="G241" s="9"/>
      <x:c r="H241" s="9"/>
      <x:c r="I241" s="9"/>
      <x:c r="J241" s="9"/>
      <x:c r="K241" s="9"/>
      <x:c r="L241" s="9"/>
      <x:c r="M241" s="9"/>
      <x:c r="N241" s="12" t="str">
        <x:f>IF(A241="","",IF(COUNTIF($A$6:$A$305,A241)&gt;1,"记录ID重复",IF(COUNTIF('案件索引'!$A$6:$A$105,B241)=0,"案件ID未登记",IF(AND(I241="通过",OR(C241="",H241="",L241="")),"通过须有运行、输出和评价人","格式已填；仍须人工复核"))))</x:f>
      </x:c>
    </x:row>
    <x:row r="242" ht="44" customHeight="1">
      <x:c r="A242" s="9"/>
      <x:c r="B242" s="9"/>
      <x:c r="C242" s="9"/>
      <x:c r="D242" s="9"/>
      <x:c r="E242" s="9"/>
      <x:c r="F242" s="9"/>
      <x:c r="G242" s="9"/>
      <x:c r="H242" s="9"/>
      <x:c r="I242" s="9"/>
      <x:c r="J242" s="9"/>
      <x:c r="K242" s="9"/>
      <x:c r="L242" s="9"/>
      <x:c r="M242" s="9"/>
      <x:c r="N242" s="12" t="str">
        <x:f>IF(A242="","",IF(COUNTIF($A$6:$A$305,A242)&gt;1,"记录ID重复",IF(COUNTIF('案件索引'!$A$6:$A$105,B242)=0,"案件ID未登记",IF(AND(I242="通过",OR(C242="",H242="",L242="")),"通过须有运行、输出和评价人","格式已填；仍须人工复核"))))</x:f>
      </x:c>
    </x:row>
    <x:row r="243" ht="44" customHeight="1">
      <x:c r="A243" s="9"/>
      <x:c r="B243" s="9"/>
      <x:c r="C243" s="9"/>
      <x:c r="D243" s="9"/>
      <x:c r="E243" s="9"/>
      <x:c r="F243" s="9"/>
      <x:c r="G243" s="9"/>
      <x:c r="H243" s="9"/>
      <x:c r="I243" s="9"/>
      <x:c r="J243" s="9"/>
      <x:c r="K243" s="9"/>
      <x:c r="L243" s="9"/>
      <x:c r="M243" s="9"/>
      <x:c r="N243" s="12" t="str">
        <x:f>IF(A243="","",IF(COUNTIF($A$6:$A$305,A243)&gt;1,"记录ID重复",IF(COUNTIF('案件索引'!$A$6:$A$105,B243)=0,"案件ID未登记",IF(AND(I243="通过",OR(C243="",H243="",L243="")),"通过须有运行、输出和评价人","格式已填；仍须人工复核"))))</x:f>
      </x:c>
    </x:row>
    <x:row r="244" ht="44" customHeight="1">
      <x:c r="A244" s="9"/>
      <x:c r="B244" s="9"/>
      <x:c r="C244" s="9"/>
      <x:c r="D244" s="9"/>
      <x:c r="E244" s="9"/>
      <x:c r="F244" s="9"/>
      <x:c r="G244" s="9"/>
      <x:c r="H244" s="9"/>
      <x:c r="I244" s="9"/>
      <x:c r="J244" s="9"/>
      <x:c r="K244" s="9"/>
      <x:c r="L244" s="9"/>
      <x:c r="M244" s="9"/>
      <x:c r="N244" s="12" t="str">
        <x:f>IF(A244="","",IF(COUNTIF($A$6:$A$305,A244)&gt;1,"记录ID重复",IF(COUNTIF('案件索引'!$A$6:$A$105,B244)=0,"案件ID未登记",IF(AND(I244="通过",OR(C244="",H244="",L244="")),"通过须有运行、输出和评价人","格式已填；仍须人工复核"))))</x:f>
      </x:c>
    </x:row>
    <x:row r="245" ht="44" customHeight="1">
      <x:c r="A245" s="9"/>
      <x:c r="B245" s="9"/>
      <x:c r="C245" s="9"/>
      <x:c r="D245" s="9"/>
      <x:c r="E245" s="9"/>
      <x:c r="F245" s="9"/>
      <x:c r="G245" s="9"/>
      <x:c r="H245" s="9"/>
      <x:c r="I245" s="9"/>
      <x:c r="J245" s="9"/>
      <x:c r="K245" s="9"/>
      <x:c r="L245" s="9"/>
      <x:c r="M245" s="9"/>
      <x:c r="N245" s="12" t="str">
        <x:f>IF(A245="","",IF(COUNTIF($A$6:$A$305,A245)&gt;1,"记录ID重复",IF(COUNTIF('案件索引'!$A$6:$A$105,B245)=0,"案件ID未登记",IF(AND(I245="通过",OR(C245="",H245="",L245="")),"通过须有运行、输出和评价人","格式已填；仍须人工复核"))))</x:f>
      </x:c>
    </x:row>
    <x:row r="246" ht="44" customHeight="1">
      <x:c r="A246" s="9"/>
      <x:c r="B246" s="9"/>
      <x:c r="C246" s="9"/>
      <x:c r="D246" s="9"/>
      <x:c r="E246" s="9"/>
      <x:c r="F246" s="9"/>
      <x:c r="G246" s="9"/>
      <x:c r="H246" s="9"/>
      <x:c r="I246" s="9"/>
      <x:c r="J246" s="9"/>
      <x:c r="K246" s="9"/>
      <x:c r="L246" s="9"/>
      <x:c r="M246" s="9"/>
      <x:c r="N246" s="12" t="str">
        <x:f>IF(A246="","",IF(COUNTIF($A$6:$A$305,A246)&gt;1,"记录ID重复",IF(COUNTIF('案件索引'!$A$6:$A$105,B246)=0,"案件ID未登记",IF(AND(I246="通过",OR(C246="",H246="",L246="")),"通过须有运行、输出和评价人","格式已填；仍须人工复核"))))</x:f>
      </x:c>
    </x:row>
    <x:row r="247" ht="44" customHeight="1">
      <x:c r="A247" s="9"/>
      <x:c r="B247" s="9"/>
      <x:c r="C247" s="9"/>
      <x:c r="D247" s="9"/>
      <x:c r="E247" s="9"/>
      <x:c r="F247" s="9"/>
      <x:c r="G247" s="9"/>
      <x:c r="H247" s="9"/>
      <x:c r="I247" s="9"/>
      <x:c r="J247" s="9"/>
      <x:c r="K247" s="9"/>
      <x:c r="L247" s="9"/>
      <x:c r="M247" s="9"/>
      <x:c r="N247" s="12" t="str">
        <x:f>IF(A247="","",IF(COUNTIF($A$6:$A$305,A247)&gt;1,"记录ID重复",IF(COUNTIF('案件索引'!$A$6:$A$105,B247)=0,"案件ID未登记",IF(AND(I247="通过",OR(C247="",H247="",L247="")),"通过须有运行、输出和评价人","格式已填；仍须人工复核"))))</x:f>
      </x:c>
    </x:row>
    <x:row r="248" ht="44" customHeight="1">
      <x:c r="A248" s="9"/>
      <x:c r="B248" s="9"/>
      <x:c r="C248" s="9"/>
      <x:c r="D248" s="9"/>
      <x:c r="E248" s="9"/>
      <x:c r="F248" s="9"/>
      <x:c r="G248" s="9"/>
      <x:c r="H248" s="9"/>
      <x:c r="I248" s="9"/>
      <x:c r="J248" s="9"/>
      <x:c r="K248" s="9"/>
      <x:c r="L248" s="9"/>
      <x:c r="M248" s="9"/>
      <x:c r="N248" s="12" t="str">
        <x:f>IF(A248="","",IF(COUNTIF($A$6:$A$305,A248)&gt;1,"记录ID重复",IF(COUNTIF('案件索引'!$A$6:$A$105,B248)=0,"案件ID未登记",IF(AND(I248="通过",OR(C248="",H248="",L248="")),"通过须有运行、输出和评价人","格式已填；仍须人工复核"))))</x:f>
      </x:c>
    </x:row>
    <x:row r="249" ht="44" customHeight="1">
      <x:c r="A249" s="9"/>
      <x:c r="B249" s="9"/>
      <x:c r="C249" s="9"/>
      <x:c r="D249" s="9"/>
      <x:c r="E249" s="9"/>
      <x:c r="F249" s="9"/>
      <x:c r="G249" s="9"/>
      <x:c r="H249" s="9"/>
      <x:c r="I249" s="9"/>
      <x:c r="J249" s="9"/>
      <x:c r="K249" s="9"/>
      <x:c r="L249" s="9"/>
      <x:c r="M249" s="9"/>
      <x:c r="N249" s="12" t="str">
        <x:f>IF(A249="","",IF(COUNTIF($A$6:$A$305,A249)&gt;1,"记录ID重复",IF(COUNTIF('案件索引'!$A$6:$A$105,B249)=0,"案件ID未登记",IF(AND(I249="通过",OR(C249="",H249="",L249="")),"通过须有运行、输出和评价人","格式已填；仍须人工复核"))))</x:f>
      </x:c>
    </x:row>
    <x:row r="250" ht="44" customHeight="1">
      <x:c r="A250" s="9"/>
      <x:c r="B250" s="9"/>
      <x:c r="C250" s="9"/>
      <x:c r="D250" s="9"/>
      <x:c r="E250" s="9"/>
      <x:c r="F250" s="9"/>
      <x:c r="G250" s="9"/>
      <x:c r="H250" s="9"/>
      <x:c r="I250" s="9"/>
      <x:c r="J250" s="9"/>
      <x:c r="K250" s="9"/>
      <x:c r="L250" s="9"/>
      <x:c r="M250" s="9"/>
      <x:c r="N250" s="12" t="str">
        <x:f>IF(A250="","",IF(COUNTIF($A$6:$A$305,A250)&gt;1,"记录ID重复",IF(COUNTIF('案件索引'!$A$6:$A$105,B250)=0,"案件ID未登记",IF(AND(I250="通过",OR(C250="",H250="",L250="")),"通过须有运行、输出和评价人","格式已填；仍须人工复核"))))</x:f>
      </x:c>
    </x:row>
    <x:row r="251" ht="44" customHeight="1">
      <x:c r="A251" s="9"/>
      <x:c r="B251" s="9"/>
      <x:c r="C251" s="9"/>
      <x:c r="D251" s="9"/>
      <x:c r="E251" s="9"/>
      <x:c r="F251" s="9"/>
      <x:c r="G251" s="9"/>
      <x:c r="H251" s="9"/>
      <x:c r="I251" s="9"/>
      <x:c r="J251" s="9"/>
      <x:c r="K251" s="9"/>
      <x:c r="L251" s="9"/>
      <x:c r="M251" s="9"/>
      <x:c r="N251" s="12" t="str">
        <x:f>IF(A251="","",IF(COUNTIF($A$6:$A$305,A251)&gt;1,"记录ID重复",IF(COUNTIF('案件索引'!$A$6:$A$105,B251)=0,"案件ID未登记",IF(AND(I251="通过",OR(C251="",H251="",L251="")),"通过须有运行、输出和评价人","格式已填；仍须人工复核"))))</x:f>
      </x:c>
    </x:row>
    <x:row r="252" ht="44" customHeight="1">
      <x:c r="A252" s="9"/>
      <x:c r="B252" s="9"/>
      <x:c r="C252" s="9"/>
      <x:c r="D252" s="9"/>
      <x:c r="E252" s="9"/>
      <x:c r="F252" s="9"/>
      <x:c r="G252" s="9"/>
      <x:c r="H252" s="9"/>
      <x:c r="I252" s="9"/>
      <x:c r="J252" s="9"/>
      <x:c r="K252" s="9"/>
      <x:c r="L252" s="9"/>
      <x:c r="M252" s="9"/>
      <x:c r="N252" s="12" t="str">
        <x:f>IF(A252="","",IF(COUNTIF($A$6:$A$305,A252)&gt;1,"记录ID重复",IF(COUNTIF('案件索引'!$A$6:$A$105,B252)=0,"案件ID未登记",IF(AND(I252="通过",OR(C252="",H252="",L252="")),"通过须有运行、输出和评价人","格式已填；仍须人工复核"))))</x:f>
      </x:c>
    </x:row>
    <x:row r="253" ht="44" customHeight="1">
      <x:c r="A253" s="9"/>
      <x:c r="B253" s="9"/>
      <x:c r="C253" s="9"/>
      <x:c r="D253" s="9"/>
      <x:c r="E253" s="9"/>
      <x:c r="F253" s="9"/>
      <x:c r="G253" s="9"/>
      <x:c r="H253" s="9"/>
      <x:c r="I253" s="9"/>
      <x:c r="J253" s="9"/>
      <x:c r="K253" s="9"/>
      <x:c r="L253" s="9"/>
      <x:c r="M253" s="9"/>
      <x:c r="N253" s="12" t="str">
        <x:f>IF(A253="","",IF(COUNTIF($A$6:$A$305,A253)&gt;1,"记录ID重复",IF(COUNTIF('案件索引'!$A$6:$A$105,B253)=0,"案件ID未登记",IF(AND(I253="通过",OR(C253="",H253="",L253="")),"通过须有运行、输出和评价人","格式已填；仍须人工复核"))))</x:f>
      </x:c>
    </x:row>
    <x:row r="254" ht="44" customHeight="1">
      <x:c r="A254" s="9"/>
      <x:c r="B254" s="9"/>
      <x:c r="C254" s="9"/>
      <x:c r="D254" s="9"/>
      <x:c r="E254" s="9"/>
      <x:c r="F254" s="9"/>
      <x:c r="G254" s="9"/>
      <x:c r="H254" s="9"/>
      <x:c r="I254" s="9"/>
      <x:c r="J254" s="9"/>
      <x:c r="K254" s="9"/>
      <x:c r="L254" s="9"/>
      <x:c r="M254" s="9"/>
      <x:c r="N254" s="12" t="str">
        <x:f>IF(A254="","",IF(COUNTIF($A$6:$A$305,A254)&gt;1,"记录ID重复",IF(COUNTIF('案件索引'!$A$6:$A$105,B254)=0,"案件ID未登记",IF(AND(I254="通过",OR(C254="",H254="",L254="")),"通过须有运行、输出和评价人","格式已填；仍须人工复核"))))</x:f>
      </x:c>
    </x:row>
    <x:row r="255" ht="44" customHeight="1">
      <x:c r="A255" s="9"/>
      <x:c r="B255" s="9"/>
      <x:c r="C255" s="9"/>
      <x:c r="D255" s="9"/>
      <x:c r="E255" s="9"/>
      <x:c r="F255" s="9"/>
      <x:c r="G255" s="9"/>
      <x:c r="H255" s="9"/>
      <x:c r="I255" s="9"/>
      <x:c r="J255" s="9"/>
      <x:c r="K255" s="9"/>
      <x:c r="L255" s="9"/>
      <x:c r="M255" s="9"/>
      <x:c r="N255" s="12" t="str">
        <x:f>IF(A255="","",IF(COUNTIF($A$6:$A$305,A255)&gt;1,"记录ID重复",IF(COUNTIF('案件索引'!$A$6:$A$105,B255)=0,"案件ID未登记",IF(AND(I255="通过",OR(C255="",H255="",L255="")),"通过须有运行、输出和评价人","格式已填；仍须人工复核"))))</x:f>
      </x:c>
    </x:row>
    <x:row r="256" ht="44" customHeight="1">
      <x:c r="A256" s="9"/>
      <x:c r="B256" s="9"/>
      <x:c r="C256" s="9"/>
      <x:c r="D256" s="9"/>
      <x:c r="E256" s="9"/>
      <x:c r="F256" s="9"/>
      <x:c r="G256" s="9"/>
      <x:c r="H256" s="9"/>
      <x:c r="I256" s="9"/>
      <x:c r="J256" s="9"/>
      <x:c r="K256" s="9"/>
      <x:c r="L256" s="9"/>
      <x:c r="M256" s="9"/>
      <x:c r="N256" s="12" t="str">
        <x:f>IF(A256="","",IF(COUNTIF($A$6:$A$305,A256)&gt;1,"记录ID重复",IF(COUNTIF('案件索引'!$A$6:$A$105,B256)=0,"案件ID未登记",IF(AND(I256="通过",OR(C256="",H256="",L256="")),"通过须有运行、输出和评价人","格式已填；仍须人工复核"))))</x:f>
      </x:c>
    </x:row>
    <x:row r="257" ht="44" customHeight="1">
      <x:c r="A257" s="9"/>
      <x:c r="B257" s="9"/>
      <x:c r="C257" s="9"/>
      <x:c r="D257" s="9"/>
      <x:c r="E257" s="9"/>
      <x:c r="F257" s="9"/>
      <x:c r="G257" s="9"/>
      <x:c r="H257" s="9"/>
      <x:c r="I257" s="9"/>
      <x:c r="J257" s="9"/>
      <x:c r="K257" s="9"/>
      <x:c r="L257" s="9"/>
      <x:c r="M257" s="9"/>
      <x:c r="N257" s="12" t="str">
        <x:f>IF(A257="","",IF(COUNTIF($A$6:$A$305,A257)&gt;1,"记录ID重复",IF(COUNTIF('案件索引'!$A$6:$A$105,B257)=0,"案件ID未登记",IF(AND(I257="通过",OR(C257="",H257="",L257="")),"通过须有运行、输出和评价人","格式已填；仍须人工复核"))))</x:f>
      </x:c>
    </x:row>
    <x:row r="258" ht="44" customHeight="1">
      <x:c r="A258" s="9"/>
      <x:c r="B258" s="9"/>
      <x:c r="C258" s="9"/>
      <x:c r="D258" s="9"/>
      <x:c r="E258" s="9"/>
      <x:c r="F258" s="9"/>
      <x:c r="G258" s="9"/>
      <x:c r="H258" s="9"/>
      <x:c r="I258" s="9"/>
      <x:c r="J258" s="9"/>
      <x:c r="K258" s="9"/>
      <x:c r="L258" s="9"/>
      <x:c r="M258" s="9"/>
      <x:c r="N258" s="12" t="str">
        <x:f>IF(A258="","",IF(COUNTIF($A$6:$A$305,A258)&gt;1,"记录ID重复",IF(COUNTIF('案件索引'!$A$6:$A$105,B258)=0,"案件ID未登记",IF(AND(I258="通过",OR(C258="",H258="",L258="")),"通过须有运行、输出和评价人","格式已填；仍须人工复核"))))</x:f>
      </x:c>
    </x:row>
    <x:row r="259" ht="44" customHeight="1">
      <x:c r="A259" s="9"/>
      <x:c r="B259" s="9"/>
      <x:c r="C259" s="9"/>
      <x:c r="D259" s="9"/>
      <x:c r="E259" s="9"/>
      <x:c r="F259" s="9"/>
      <x:c r="G259" s="9"/>
      <x:c r="H259" s="9"/>
      <x:c r="I259" s="9"/>
      <x:c r="J259" s="9"/>
      <x:c r="K259" s="9"/>
      <x:c r="L259" s="9"/>
      <x:c r="M259" s="9"/>
      <x:c r="N259" s="12" t="str">
        <x:f>IF(A259="","",IF(COUNTIF($A$6:$A$305,A259)&gt;1,"记录ID重复",IF(COUNTIF('案件索引'!$A$6:$A$105,B259)=0,"案件ID未登记",IF(AND(I259="通过",OR(C259="",H259="",L259="")),"通过须有运行、输出和评价人","格式已填；仍须人工复核"))))</x:f>
      </x:c>
    </x:row>
    <x:row r="260" ht="44" customHeight="1">
      <x:c r="A260" s="9"/>
      <x:c r="B260" s="9"/>
      <x:c r="C260" s="9"/>
      <x:c r="D260" s="9"/>
      <x:c r="E260" s="9"/>
      <x:c r="F260" s="9"/>
      <x:c r="G260" s="9"/>
      <x:c r="H260" s="9"/>
      <x:c r="I260" s="9"/>
      <x:c r="J260" s="9"/>
      <x:c r="K260" s="9"/>
      <x:c r="L260" s="9"/>
      <x:c r="M260" s="9"/>
      <x:c r="N260" s="12" t="str">
        <x:f>IF(A260="","",IF(COUNTIF($A$6:$A$305,A260)&gt;1,"记录ID重复",IF(COUNTIF('案件索引'!$A$6:$A$105,B260)=0,"案件ID未登记",IF(AND(I260="通过",OR(C260="",H260="",L260="")),"通过须有运行、输出和评价人","格式已填；仍须人工复核"))))</x:f>
      </x:c>
    </x:row>
    <x:row r="261" ht="44" customHeight="1">
      <x:c r="A261" s="9"/>
      <x:c r="B261" s="9"/>
      <x:c r="C261" s="9"/>
      <x:c r="D261" s="9"/>
      <x:c r="E261" s="9"/>
      <x:c r="F261" s="9"/>
      <x:c r="G261" s="9"/>
      <x:c r="H261" s="9"/>
      <x:c r="I261" s="9"/>
      <x:c r="J261" s="9"/>
      <x:c r="K261" s="9"/>
      <x:c r="L261" s="9"/>
      <x:c r="M261" s="9"/>
      <x:c r="N261" s="12" t="str">
        <x:f>IF(A261="","",IF(COUNTIF($A$6:$A$305,A261)&gt;1,"记录ID重复",IF(COUNTIF('案件索引'!$A$6:$A$105,B261)=0,"案件ID未登记",IF(AND(I261="通过",OR(C261="",H261="",L261="")),"通过须有运行、输出和评价人","格式已填；仍须人工复核"))))</x:f>
      </x:c>
    </x:row>
    <x:row r="262" ht="44" customHeight="1">
      <x:c r="A262" s="9"/>
      <x:c r="B262" s="9"/>
      <x:c r="C262" s="9"/>
      <x:c r="D262" s="9"/>
      <x:c r="E262" s="9"/>
      <x:c r="F262" s="9"/>
      <x:c r="G262" s="9"/>
      <x:c r="H262" s="9"/>
      <x:c r="I262" s="9"/>
      <x:c r="J262" s="9"/>
      <x:c r="K262" s="9"/>
      <x:c r="L262" s="9"/>
      <x:c r="M262" s="9"/>
      <x:c r="N262" s="12" t="str">
        <x:f>IF(A262="","",IF(COUNTIF($A$6:$A$305,A262)&gt;1,"记录ID重复",IF(COUNTIF('案件索引'!$A$6:$A$105,B262)=0,"案件ID未登记",IF(AND(I262="通过",OR(C262="",H262="",L262="")),"通过须有运行、输出和评价人","格式已填；仍须人工复核"))))</x:f>
      </x:c>
    </x:row>
    <x:row r="263" ht="44" customHeight="1">
      <x:c r="A263" s="9"/>
      <x:c r="B263" s="9"/>
      <x:c r="C263" s="9"/>
      <x:c r="D263" s="9"/>
      <x:c r="E263" s="9"/>
      <x:c r="F263" s="9"/>
      <x:c r="G263" s="9"/>
      <x:c r="H263" s="9"/>
      <x:c r="I263" s="9"/>
      <x:c r="J263" s="9"/>
      <x:c r="K263" s="9"/>
      <x:c r="L263" s="9"/>
      <x:c r="M263" s="9"/>
      <x:c r="N263" s="12" t="str">
        <x:f>IF(A263="","",IF(COUNTIF($A$6:$A$305,A263)&gt;1,"记录ID重复",IF(COUNTIF('案件索引'!$A$6:$A$105,B263)=0,"案件ID未登记",IF(AND(I263="通过",OR(C263="",H263="",L263="")),"通过须有运行、输出和评价人","格式已填；仍须人工复核"))))</x:f>
      </x:c>
    </x:row>
    <x:row r="264" ht="44" customHeight="1">
      <x:c r="A264" s="9"/>
      <x:c r="B264" s="9"/>
      <x:c r="C264" s="9"/>
      <x:c r="D264" s="9"/>
      <x:c r="E264" s="9"/>
      <x:c r="F264" s="9"/>
      <x:c r="G264" s="9"/>
      <x:c r="H264" s="9"/>
      <x:c r="I264" s="9"/>
      <x:c r="J264" s="9"/>
      <x:c r="K264" s="9"/>
      <x:c r="L264" s="9"/>
      <x:c r="M264" s="9"/>
      <x:c r="N264" s="12" t="str">
        <x:f>IF(A264="","",IF(COUNTIF($A$6:$A$305,A264)&gt;1,"记录ID重复",IF(COUNTIF('案件索引'!$A$6:$A$105,B264)=0,"案件ID未登记",IF(AND(I264="通过",OR(C264="",H264="",L264="")),"通过须有运行、输出和评价人","格式已填；仍须人工复核"))))</x:f>
      </x:c>
    </x:row>
    <x:row r="265" ht="44" customHeight="1">
      <x:c r="A265" s="9"/>
      <x:c r="B265" s="9"/>
      <x:c r="C265" s="9"/>
      <x:c r="D265" s="9"/>
      <x:c r="E265" s="9"/>
      <x:c r="F265" s="9"/>
      <x:c r="G265" s="9"/>
      <x:c r="H265" s="9"/>
      <x:c r="I265" s="9"/>
      <x:c r="J265" s="9"/>
      <x:c r="K265" s="9"/>
      <x:c r="L265" s="9"/>
      <x:c r="M265" s="9"/>
      <x:c r="N265" s="12" t="str">
        <x:f>IF(A265="","",IF(COUNTIF($A$6:$A$305,A265)&gt;1,"记录ID重复",IF(COUNTIF('案件索引'!$A$6:$A$105,B265)=0,"案件ID未登记",IF(AND(I265="通过",OR(C265="",H265="",L265="")),"通过须有运行、输出和评价人","格式已填；仍须人工复核"))))</x:f>
      </x:c>
    </x:row>
    <x:row r="266" ht="44" customHeight="1">
      <x:c r="A266" s="9"/>
      <x:c r="B266" s="9"/>
      <x:c r="C266" s="9"/>
      <x:c r="D266" s="9"/>
      <x:c r="E266" s="9"/>
      <x:c r="F266" s="9"/>
      <x:c r="G266" s="9"/>
      <x:c r="H266" s="9"/>
      <x:c r="I266" s="9"/>
      <x:c r="J266" s="9"/>
      <x:c r="K266" s="9"/>
      <x:c r="L266" s="9"/>
      <x:c r="M266" s="9"/>
      <x:c r="N266" s="12" t="str">
        <x:f>IF(A266="","",IF(COUNTIF($A$6:$A$305,A266)&gt;1,"记录ID重复",IF(COUNTIF('案件索引'!$A$6:$A$105,B266)=0,"案件ID未登记",IF(AND(I266="通过",OR(C266="",H266="",L266="")),"通过须有运行、输出和评价人","格式已填；仍须人工复核"))))</x:f>
      </x:c>
    </x:row>
    <x:row r="267" ht="44" customHeight="1">
      <x:c r="A267" s="9"/>
      <x:c r="B267" s="9"/>
      <x:c r="C267" s="9"/>
      <x:c r="D267" s="9"/>
      <x:c r="E267" s="9"/>
      <x:c r="F267" s="9"/>
      <x:c r="G267" s="9"/>
      <x:c r="H267" s="9"/>
      <x:c r="I267" s="9"/>
      <x:c r="J267" s="9"/>
      <x:c r="K267" s="9"/>
      <x:c r="L267" s="9"/>
      <x:c r="M267" s="9"/>
      <x:c r="N267" s="12" t="str">
        <x:f>IF(A267="","",IF(COUNTIF($A$6:$A$305,A267)&gt;1,"记录ID重复",IF(COUNTIF('案件索引'!$A$6:$A$105,B267)=0,"案件ID未登记",IF(AND(I267="通过",OR(C267="",H267="",L267="")),"通过须有运行、输出和评价人","格式已填；仍须人工复核"))))</x:f>
      </x:c>
    </x:row>
    <x:row r="268" ht="44" customHeight="1">
      <x:c r="A268" s="9"/>
      <x:c r="B268" s="9"/>
      <x:c r="C268" s="9"/>
      <x:c r="D268" s="9"/>
      <x:c r="E268" s="9"/>
      <x:c r="F268" s="9"/>
      <x:c r="G268" s="9"/>
      <x:c r="H268" s="9"/>
      <x:c r="I268" s="9"/>
      <x:c r="J268" s="9"/>
      <x:c r="K268" s="9"/>
      <x:c r="L268" s="9"/>
      <x:c r="M268" s="9"/>
      <x:c r="N268" s="12" t="str">
        <x:f>IF(A268="","",IF(COUNTIF($A$6:$A$305,A268)&gt;1,"记录ID重复",IF(COUNTIF('案件索引'!$A$6:$A$105,B268)=0,"案件ID未登记",IF(AND(I268="通过",OR(C268="",H268="",L268="")),"通过须有运行、输出和评价人","格式已填；仍须人工复核"))))</x:f>
      </x:c>
    </x:row>
    <x:row r="269" ht="44" customHeight="1">
      <x:c r="A269" s="9"/>
      <x:c r="B269" s="9"/>
      <x:c r="C269" s="9"/>
      <x:c r="D269" s="9"/>
      <x:c r="E269" s="9"/>
      <x:c r="F269" s="9"/>
      <x:c r="G269" s="9"/>
      <x:c r="H269" s="9"/>
      <x:c r="I269" s="9"/>
      <x:c r="J269" s="9"/>
      <x:c r="K269" s="9"/>
      <x:c r="L269" s="9"/>
      <x:c r="M269" s="9"/>
      <x:c r="N269" s="12" t="str">
        <x:f>IF(A269="","",IF(COUNTIF($A$6:$A$305,A269)&gt;1,"记录ID重复",IF(COUNTIF('案件索引'!$A$6:$A$105,B269)=0,"案件ID未登记",IF(AND(I269="通过",OR(C269="",H269="",L269="")),"通过须有运行、输出和评价人","格式已填；仍须人工复核"))))</x:f>
      </x:c>
    </x:row>
    <x:row r="270" ht="44" customHeight="1">
      <x:c r="A270" s="9"/>
      <x:c r="B270" s="9"/>
      <x:c r="C270" s="9"/>
      <x:c r="D270" s="9"/>
      <x:c r="E270" s="9"/>
      <x:c r="F270" s="9"/>
      <x:c r="G270" s="9"/>
      <x:c r="H270" s="9"/>
      <x:c r="I270" s="9"/>
      <x:c r="J270" s="9"/>
      <x:c r="K270" s="9"/>
      <x:c r="L270" s="9"/>
      <x:c r="M270" s="9"/>
      <x:c r="N270" s="12" t="str">
        <x:f>IF(A270="","",IF(COUNTIF($A$6:$A$305,A270)&gt;1,"记录ID重复",IF(COUNTIF('案件索引'!$A$6:$A$105,B270)=0,"案件ID未登记",IF(AND(I270="通过",OR(C270="",H270="",L270="")),"通过须有运行、输出和评价人","格式已填；仍须人工复核"))))</x:f>
      </x:c>
    </x:row>
    <x:row r="271" ht="44" customHeight="1">
      <x:c r="A271" s="9"/>
      <x:c r="B271" s="9"/>
      <x:c r="C271" s="9"/>
      <x:c r="D271" s="9"/>
      <x:c r="E271" s="9"/>
      <x:c r="F271" s="9"/>
      <x:c r="G271" s="9"/>
      <x:c r="H271" s="9"/>
      <x:c r="I271" s="9"/>
      <x:c r="J271" s="9"/>
      <x:c r="K271" s="9"/>
      <x:c r="L271" s="9"/>
      <x:c r="M271" s="9"/>
      <x:c r="N271" s="12" t="str">
        <x:f>IF(A271="","",IF(COUNTIF($A$6:$A$305,A271)&gt;1,"记录ID重复",IF(COUNTIF('案件索引'!$A$6:$A$105,B271)=0,"案件ID未登记",IF(AND(I271="通过",OR(C271="",H271="",L271="")),"通过须有运行、输出和评价人","格式已填；仍须人工复核"))))</x:f>
      </x:c>
    </x:row>
    <x:row r="272" ht="44" customHeight="1">
      <x:c r="A272" s="9"/>
      <x:c r="B272" s="9"/>
      <x:c r="C272" s="9"/>
      <x:c r="D272" s="9"/>
      <x:c r="E272" s="9"/>
      <x:c r="F272" s="9"/>
      <x:c r="G272" s="9"/>
      <x:c r="H272" s="9"/>
      <x:c r="I272" s="9"/>
      <x:c r="J272" s="9"/>
      <x:c r="K272" s="9"/>
      <x:c r="L272" s="9"/>
      <x:c r="M272" s="9"/>
      <x:c r="N272" s="12" t="str">
        <x:f>IF(A272="","",IF(COUNTIF($A$6:$A$305,A272)&gt;1,"记录ID重复",IF(COUNTIF('案件索引'!$A$6:$A$105,B272)=0,"案件ID未登记",IF(AND(I272="通过",OR(C272="",H272="",L272="")),"通过须有运行、输出和评价人","格式已填；仍须人工复核"))))</x:f>
      </x:c>
    </x:row>
    <x:row r="273" ht="44" customHeight="1">
      <x:c r="A273" s="9"/>
      <x:c r="B273" s="9"/>
      <x:c r="C273" s="9"/>
      <x:c r="D273" s="9"/>
      <x:c r="E273" s="9"/>
      <x:c r="F273" s="9"/>
      <x:c r="G273" s="9"/>
      <x:c r="H273" s="9"/>
      <x:c r="I273" s="9"/>
      <x:c r="J273" s="9"/>
      <x:c r="K273" s="9"/>
      <x:c r="L273" s="9"/>
      <x:c r="M273" s="9"/>
      <x:c r="N273" s="12" t="str">
        <x:f>IF(A273="","",IF(COUNTIF($A$6:$A$305,A273)&gt;1,"记录ID重复",IF(COUNTIF('案件索引'!$A$6:$A$105,B273)=0,"案件ID未登记",IF(AND(I273="通过",OR(C273="",H273="",L273="")),"通过须有运行、输出和评价人","格式已填；仍须人工复核"))))</x:f>
      </x:c>
    </x:row>
    <x:row r="274" ht="44" customHeight="1">
      <x:c r="A274" s="9"/>
      <x:c r="B274" s="9"/>
      <x:c r="C274" s="9"/>
      <x:c r="D274" s="9"/>
      <x:c r="E274" s="9"/>
      <x:c r="F274" s="9"/>
      <x:c r="G274" s="9"/>
      <x:c r="H274" s="9"/>
      <x:c r="I274" s="9"/>
      <x:c r="J274" s="9"/>
      <x:c r="K274" s="9"/>
      <x:c r="L274" s="9"/>
      <x:c r="M274" s="9"/>
      <x:c r="N274" s="12" t="str">
        <x:f>IF(A274="","",IF(COUNTIF($A$6:$A$305,A274)&gt;1,"记录ID重复",IF(COUNTIF('案件索引'!$A$6:$A$105,B274)=0,"案件ID未登记",IF(AND(I274="通过",OR(C274="",H274="",L274="")),"通过须有运行、输出和评价人","格式已填；仍须人工复核"))))</x:f>
      </x:c>
    </x:row>
    <x:row r="275" ht="44" customHeight="1">
      <x:c r="A275" s="9"/>
      <x:c r="B275" s="9"/>
      <x:c r="C275" s="9"/>
      <x:c r="D275" s="9"/>
      <x:c r="E275" s="9"/>
      <x:c r="F275" s="9"/>
      <x:c r="G275" s="9"/>
      <x:c r="H275" s="9"/>
      <x:c r="I275" s="9"/>
      <x:c r="J275" s="9"/>
      <x:c r="K275" s="9"/>
      <x:c r="L275" s="9"/>
      <x:c r="M275" s="9"/>
      <x:c r="N275" s="12" t="str">
        <x:f>IF(A275="","",IF(COUNTIF($A$6:$A$305,A275)&gt;1,"记录ID重复",IF(COUNTIF('案件索引'!$A$6:$A$105,B275)=0,"案件ID未登记",IF(AND(I275="通过",OR(C275="",H275="",L275="")),"通过须有运行、输出和评价人","格式已填；仍须人工复核"))))</x:f>
      </x:c>
    </x:row>
    <x:row r="276" ht="44" customHeight="1">
      <x:c r="A276" s="9"/>
      <x:c r="B276" s="9"/>
      <x:c r="C276" s="9"/>
      <x:c r="D276" s="9"/>
      <x:c r="E276" s="9"/>
      <x:c r="F276" s="9"/>
      <x:c r="G276" s="9"/>
      <x:c r="H276" s="9"/>
      <x:c r="I276" s="9"/>
      <x:c r="J276" s="9"/>
      <x:c r="K276" s="9"/>
      <x:c r="L276" s="9"/>
      <x:c r="M276" s="9"/>
      <x:c r="N276" s="12" t="str">
        <x:f>IF(A276="","",IF(COUNTIF($A$6:$A$305,A276)&gt;1,"记录ID重复",IF(COUNTIF('案件索引'!$A$6:$A$105,B276)=0,"案件ID未登记",IF(AND(I276="通过",OR(C276="",H276="",L276="")),"通过须有运行、输出和评价人","格式已填；仍须人工复核"))))</x:f>
      </x:c>
    </x:row>
    <x:row r="277" ht="44" customHeight="1">
      <x:c r="A277" s="9"/>
      <x:c r="B277" s="9"/>
      <x:c r="C277" s="9"/>
      <x:c r="D277" s="9"/>
      <x:c r="E277" s="9"/>
      <x:c r="F277" s="9"/>
      <x:c r="G277" s="9"/>
      <x:c r="H277" s="9"/>
      <x:c r="I277" s="9"/>
      <x:c r="J277" s="9"/>
      <x:c r="K277" s="9"/>
      <x:c r="L277" s="9"/>
      <x:c r="M277" s="9"/>
      <x:c r="N277" s="12" t="str">
        <x:f>IF(A277="","",IF(COUNTIF($A$6:$A$305,A277)&gt;1,"记录ID重复",IF(COUNTIF('案件索引'!$A$6:$A$105,B277)=0,"案件ID未登记",IF(AND(I277="通过",OR(C277="",H277="",L277="")),"通过须有运行、输出和评价人","格式已填；仍须人工复核"))))</x:f>
      </x:c>
    </x:row>
    <x:row r="278" ht="44" customHeight="1">
      <x:c r="A278" s="9"/>
      <x:c r="B278" s="9"/>
      <x:c r="C278" s="9"/>
      <x:c r="D278" s="9"/>
      <x:c r="E278" s="9"/>
      <x:c r="F278" s="9"/>
      <x:c r="G278" s="9"/>
      <x:c r="H278" s="9"/>
      <x:c r="I278" s="9"/>
      <x:c r="J278" s="9"/>
      <x:c r="K278" s="9"/>
      <x:c r="L278" s="9"/>
      <x:c r="M278" s="9"/>
      <x:c r="N278" s="12" t="str">
        <x:f>IF(A278="","",IF(COUNTIF($A$6:$A$305,A278)&gt;1,"记录ID重复",IF(COUNTIF('案件索引'!$A$6:$A$105,B278)=0,"案件ID未登记",IF(AND(I278="通过",OR(C278="",H278="",L278="")),"通过须有运行、输出和评价人","格式已填；仍须人工复核"))))</x:f>
      </x:c>
    </x:row>
    <x:row r="279" ht="44" customHeight="1">
      <x:c r="A279" s="9"/>
      <x:c r="B279" s="9"/>
      <x:c r="C279" s="9"/>
      <x:c r="D279" s="9"/>
      <x:c r="E279" s="9"/>
      <x:c r="F279" s="9"/>
      <x:c r="G279" s="9"/>
      <x:c r="H279" s="9"/>
      <x:c r="I279" s="9"/>
      <x:c r="J279" s="9"/>
      <x:c r="K279" s="9"/>
      <x:c r="L279" s="9"/>
      <x:c r="M279" s="9"/>
      <x:c r="N279" s="12" t="str">
        <x:f>IF(A279="","",IF(COUNTIF($A$6:$A$305,A279)&gt;1,"记录ID重复",IF(COUNTIF('案件索引'!$A$6:$A$105,B279)=0,"案件ID未登记",IF(AND(I279="通过",OR(C279="",H279="",L279="")),"通过须有运行、输出和评价人","格式已填；仍须人工复核"))))</x:f>
      </x:c>
    </x:row>
    <x:row r="280" ht="44" customHeight="1">
      <x:c r="A280" s="9"/>
      <x:c r="B280" s="9"/>
      <x:c r="C280" s="9"/>
      <x:c r="D280" s="9"/>
      <x:c r="E280" s="9"/>
      <x:c r="F280" s="9"/>
      <x:c r="G280" s="9"/>
      <x:c r="H280" s="9"/>
      <x:c r="I280" s="9"/>
      <x:c r="J280" s="9"/>
      <x:c r="K280" s="9"/>
      <x:c r="L280" s="9"/>
      <x:c r="M280" s="9"/>
      <x:c r="N280" s="12" t="str">
        <x:f>IF(A280="","",IF(COUNTIF($A$6:$A$305,A280)&gt;1,"记录ID重复",IF(COUNTIF('案件索引'!$A$6:$A$105,B280)=0,"案件ID未登记",IF(AND(I280="通过",OR(C280="",H280="",L280="")),"通过须有运行、输出和评价人","格式已填；仍须人工复核"))))</x:f>
      </x:c>
    </x:row>
    <x:row r="281" ht="44" customHeight="1">
      <x:c r="A281" s="9"/>
      <x:c r="B281" s="9"/>
      <x:c r="C281" s="9"/>
      <x:c r="D281" s="9"/>
      <x:c r="E281" s="9"/>
      <x:c r="F281" s="9"/>
      <x:c r="G281" s="9"/>
      <x:c r="H281" s="9"/>
      <x:c r="I281" s="9"/>
      <x:c r="J281" s="9"/>
      <x:c r="K281" s="9"/>
      <x:c r="L281" s="9"/>
      <x:c r="M281" s="9"/>
      <x:c r="N281" s="12" t="str">
        <x:f>IF(A281="","",IF(COUNTIF($A$6:$A$305,A281)&gt;1,"记录ID重复",IF(COUNTIF('案件索引'!$A$6:$A$105,B281)=0,"案件ID未登记",IF(AND(I281="通过",OR(C281="",H281="",L281="")),"通过须有运行、输出和评价人","格式已填；仍须人工复核"))))</x:f>
      </x:c>
    </x:row>
    <x:row r="282" ht="44" customHeight="1">
      <x:c r="A282" s="9"/>
      <x:c r="B282" s="9"/>
      <x:c r="C282" s="9"/>
      <x:c r="D282" s="9"/>
      <x:c r="E282" s="9"/>
      <x:c r="F282" s="9"/>
      <x:c r="G282" s="9"/>
      <x:c r="H282" s="9"/>
      <x:c r="I282" s="9"/>
      <x:c r="J282" s="9"/>
      <x:c r="K282" s="9"/>
      <x:c r="L282" s="9"/>
      <x:c r="M282" s="9"/>
      <x:c r="N282" s="12" t="str">
        <x:f>IF(A282="","",IF(COUNTIF($A$6:$A$305,A282)&gt;1,"记录ID重复",IF(COUNTIF('案件索引'!$A$6:$A$105,B282)=0,"案件ID未登记",IF(AND(I282="通过",OR(C282="",H282="",L282="")),"通过须有运行、输出和评价人","格式已填；仍须人工复核"))))</x:f>
      </x:c>
    </x:row>
    <x:row r="283" ht="44" customHeight="1">
      <x:c r="A283" s="9"/>
      <x:c r="B283" s="9"/>
      <x:c r="C283" s="9"/>
      <x:c r="D283" s="9"/>
      <x:c r="E283" s="9"/>
      <x:c r="F283" s="9"/>
      <x:c r="G283" s="9"/>
      <x:c r="H283" s="9"/>
      <x:c r="I283" s="9"/>
      <x:c r="J283" s="9"/>
      <x:c r="K283" s="9"/>
      <x:c r="L283" s="9"/>
      <x:c r="M283" s="9"/>
      <x:c r="N283" s="12" t="str">
        <x:f>IF(A283="","",IF(COUNTIF($A$6:$A$305,A283)&gt;1,"记录ID重复",IF(COUNTIF('案件索引'!$A$6:$A$105,B283)=0,"案件ID未登记",IF(AND(I283="通过",OR(C283="",H283="",L283="")),"通过须有运行、输出和评价人","格式已填；仍须人工复核"))))</x:f>
      </x:c>
    </x:row>
    <x:row r="284" ht="44" customHeight="1">
      <x:c r="A284" s="9"/>
      <x:c r="B284" s="9"/>
      <x:c r="C284" s="9"/>
      <x:c r="D284" s="9"/>
      <x:c r="E284" s="9"/>
      <x:c r="F284" s="9"/>
      <x:c r="G284" s="9"/>
      <x:c r="H284" s="9"/>
      <x:c r="I284" s="9"/>
      <x:c r="J284" s="9"/>
      <x:c r="K284" s="9"/>
      <x:c r="L284" s="9"/>
      <x:c r="M284" s="9"/>
      <x:c r="N284" s="12" t="str">
        <x:f>IF(A284="","",IF(COUNTIF($A$6:$A$305,A284)&gt;1,"记录ID重复",IF(COUNTIF('案件索引'!$A$6:$A$105,B284)=0,"案件ID未登记",IF(AND(I284="通过",OR(C284="",H284="",L284="")),"通过须有运行、输出和评价人","格式已填；仍须人工复核"))))</x:f>
      </x:c>
    </x:row>
    <x:row r="285" ht="44" customHeight="1">
      <x:c r="A285" s="9"/>
      <x:c r="B285" s="9"/>
      <x:c r="C285" s="9"/>
      <x:c r="D285" s="9"/>
      <x:c r="E285" s="9"/>
      <x:c r="F285" s="9"/>
      <x:c r="G285" s="9"/>
      <x:c r="H285" s="9"/>
      <x:c r="I285" s="9"/>
      <x:c r="J285" s="9"/>
      <x:c r="K285" s="9"/>
      <x:c r="L285" s="9"/>
      <x:c r="M285" s="9"/>
      <x:c r="N285" s="12" t="str">
        <x:f>IF(A285="","",IF(COUNTIF($A$6:$A$305,A285)&gt;1,"记录ID重复",IF(COUNTIF('案件索引'!$A$6:$A$105,B285)=0,"案件ID未登记",IF(AND(I285="通过",OR(C285="",H285="",L285="")),"通过须有运行、输出和评价人","格式已填；仍须人工复核"))))</x:f>
      </x:c>
    </x:row>
    <x:row r="286" ht="44" customHeight="1">
      <x:c r="A286" s="9"/>
      <x:c r="B286" s="9"/>
      <x:c r="C286" s="9"/>
      <x:c r="D286" s="9"/>
      <x:c r="E286" s="9"/>
      <x:c r="F286" s="9"/>
      <x:c r="G286" s="9"/>
      <x:c r="H286" s="9"/>
      <x:c r="I286" s="9"/>
      <x:c r="J286" s="9"/>
      <x:c r="K286" s="9"/>
      <x:c r="L286" s="9"/>
      <x:c r="M286" s="9"/>
      <x:c r="N286" s="12" t="str">
        <x:f>IF(A286="","",IF(COUNTIF($A$6:$A$305,A286)&gt;1,"记录ID重复",IF(COUNTIF('案件索引'!$A$6:$A$105,B286)=0,"案件ID未登记",IF(AND(I286="通过",OR(C286="",H286="",L286="")),"通过须有运行、输出和评价人","格式已填；仍须人工复核"))))</x:f>
      </x:c>
    </x:row>
    <x:row r="287" ht="44" customHeight="1">
      <x:c r="A287" s="9"/>
      <x:c r="B287" s="9"/>
      <x:c r="C287" s="9"/>
      <x:c r="D287" s="9"/>
      <x:c r="E287" s="9"/>
      <x:c r="F287" s="9"/>
      <x:c r="G287" s="9"/>
      <x:c r="H287" s="9"/>
      <x:c r="I287" s="9"/>
      <x:c r="J287" s="9"/>
      <x:c r="K287" s="9"/>
      <x:c r="L287" s="9"/>
      <x:c r="M287" s="9"/>
      <x:c r="N287" s="12" t="str">
        <x:f>IF(A287="","",IF(COUNTIF($A$6:$A$305,A287)&gt;1,"记录ID重复",IF(COUNTIF('案件索引'!$A$6:$A$105,B287)=0,"案件ID未登记",IF(AND(I287="通过",OR(C287="",H287="",L287="")),"通过须有运行、输出和评价人","格式已填；仍须人工复核"))))</x:f>
      </x:c>
    </x:row>
    <x:row r="288" ht="44" customHeight="1">
      <x:c r="A288" s="9"/>
      <x:c r="B288" s="9"/>
      <x:c r="C288" s="9"/>
      <x:c r="D288" s="9"/>
      <x:c r="E288" s="9"/>
      <x:c r="F288" s="9"/>
      <x:c r="G288" s="9"/>
      <x:c r="H288" s="9"/>
      <x:c r="I288" s="9"/>
      <x:c r="J288" s="9"/>
      <x:c r="K288" s="9"/>
      <x:c r="L288" s="9"/>
      <x:c r="M288" s="9"/>
      <x:c r="N288" s="12" t="str">
        <x:f>IF(A288="","",IF(COUNTIF($A$6:$A$305,A288)&gt;1,"记录ID重复",IF(COUNTIF('案件索引'!$A$6:$A$105,B288)=0,"案件ID未登记",IF(AND(I288="通过",OR(C288="",H288="",L288="")),"通过须有运行、输出和评价人","格式已填；仍须人工复核"))))</x:f>
      </x:c>
    </x:row>
    <x:row r="289" ht="44" customHeight="1">
      <x:c r="A289" s="9"/>
      <x:c r="B289" s="9"/>
      <x:c r="C289" s="9"/>
      <x:c r="D289" s="9"/>
      <x:c r="E289" s="9"/>
      <x:c r="F289" s="9"/>
      <x:c r="G289" s="9"/>
      <x:c r="H289" s="9"/>
      <x:c r="I289" s="9"/>
      <x:c r="J289" s="9"/>
      <x:c r="K289" s="9"/>
      <x:c r="L289" s="9"/>
      <x:c r="M289" s="9"/>
      <x:c r="N289" s="12" t="str">
        <x:f>IF(A289="","",IF(COUNTIF($A$6:$A$305,A289)&gt;1,"记录ID重复",IF(COUNTIF('案件索引'!$A$6:$A$105,B289)=0,"案件ID未登记",IF(AND(I289="通过",OR(C289="",H289="",L289="")),"通过须有运行、输出和评价人","格式已填；仍须人工复核"))))</x:f>
      </x:c>
    </x:row>
    <x:row r="290" ht="44" customHeight="1">
      <x:c r="A290" s="9"/>
      <x:c r="B290" s="9"/>
      <x:c r="C290" s="9"/>
      <x:c r="D290" s="9"/>
      <x:c r="E290" s="9"/>
      <x:c r="F290" s="9"/>
      <x:c r="G290" s="9"/>
      <x:c r="H290" s="9"/>
      <x:c r="I290" s="9"/>
      <x:c r="J290" s="9"/>
      <x:c r="K290" s="9"/>
      <x:c r="L290" s="9"/>
      <x:c r="M290" s="9"/>
      <x:c r="N290" s="12" t="str">
        <x:f>IF(A290="","",IF(COUNTIF($A$6:$A$305,A290)&gt;1,"记录ID重复",IF(COUNTIF('案件索引'!$A$6:$A$105,B290)=0,"案件ID未登记",IF(AND(I290="通过",OR(C290="",H290="",L290="")),"通过须有运行、输出和评价人","格式已填；仍须人工复核"))))</x:f>
      </x:c>
    </x:row>
    <x:row r="291" ht="44" customHeight="1">
      <x:c r="A291" s="9"/>
      <x:c r="B291" s="9"/>
      <x:c r="C291" s="9"/>
      <x:c r="D291" s="9"/>
      <x:c r="E291" s="9"/>
      <x:c r="F291" s="9"/>
      <x:c r="G291" s="9"/>
      <x:c r="H291" s="9"/>
      <x:c r="I291" s="9"/>
      <x:c r="J291" s="9"/>
      <x:c r="K291" s="9"/>
      <x:c r="L291" s="9"/>
      <x:c r="M291" s="9"/>
      <x:c r="N291" s="12" t="str">
        <x:f>IF(A291="","",IF(COUNTIF($A$6:$A$305,A291)&gt;1,"记录ID重复",IF(COUNTIF('案件索引'!$A$6:$A$105,B291)=0,"案件ID未登记",IF(AND(I291="通过",OR(C291="",H291="",L291="")),"通过须有运行、输出和评价人","格式已填；仍须人工复核"))))</x:f>
      </x:c>
    </x:row>
    <x:row r="292" ht="44" customHeight="1">
      <x:c r="A292" s="9"/>
      <x:c r="B292" s="9"/>
      <x:c r="C292" s="9"/>
      <x:c r="D292" s="9"/>
      <x:c r="E292" s="9"/>
      <x:c r="F292" s="9"/>
      <x:c r="G292" s="9"/>
      <x:c r="H292" s="9"/>
      <x:c r="I292" s="9"/>
      <x:c r="J292" s="9"/>
      <x:c r="K292" s="9"/>
      <x:c r="L292" s="9"/>
      <x:c r="M292" s="9"/>
      <x:c r="N292" s="12" t="str">
        <x:f>IF(A292="","",IF(COUNTIF($A$6:$A$305,A292)&gt;1,"记录ID重复",IF(COUNTIF('案件索引'!$A$6:$A$105,B292)=0,"案件ID未登记",IF(AND(I292="通过",OR(C292="",H292="",L292="")),"通过须有运行、输出和评价人","格式已填；仍须人工复核"))))</x:f>
      </x:c>
    </x:row>
    <x:row r="293" ht="44" customHeight="1">
      <x:c r="A293" s="9"/>
      <x:c r="B293" s="9"/>
      <x:c r="C293" s="9"/>
      <x:c r="D293" s="9"/>
      <x:c r="E293" s="9"/>
      <x:c r="F293" s="9"/>
      <x:c r="G293" s="9"/>
      <x:c r="H293" s="9"/>
      <x:c r="I293" s="9"/>
      <x:c r="J293" s="9"/>
      <x:c r="K293" s="9"/>
      <x:c r="L293" s="9"/>
      <x:c r="M293" s="9"/>
      <x:c r="N293" s="12" t="str">
        <x:f>IF(A293="","",IF(COUNTIF($A$6:$A$305,A293)&gt;1,"记录ID重复",IF(COUNTIF('案件索引'!$A$6:$A$105,B293)=0,"案件ID未登记",IF(AND(I293="通过",OR(C293="",H293="",L293="")),"通过须有运行、输出和评价人","格式已填；仍须人工复核"))))</x:f>
      </x:c>
    </x:row>
    <x:row r="294" ht="44" customHeight="1">
      <x:c r="A294" s="9"/>
      <x:c r="B294" s="9"/>
      <x:c r="C294" s="9"/>
      <x:c r="D294" s="9"/>
      <x:c r="E294" s="9"/>
      <x:c r="F294" s="9"/>
      <x:c r="G294" s="9"/>
      <x:c r="H294" s="9"/>
      <x:c r="I294" s="9"/>
      <x:c r="J294" s="9"/>
      <x:c r="K294" s="9"/>
      <x:c r="L294" s="9"/>
      <x:c r="M294" s="9"/>
      <x:c r="N294" s="12" t="str">
        <x:f>IF(A294="","",IF(COUNTIF($A$6:$A$305,A294)&gt;1,"记录ID重复",IF(COUNTIF('案件索引'!$A$6:$A$105,B294)=0,"案件ID未登记",IF(AND(I294="通过",OR(C294="",H294="",L294="")),"通过须有运行、输出和评价人","格式已填；仍须人工复核"))))</x:f>
      </x:c>
    </x:row>
    <x:row r="295" ht="44" customHeight="1">
      <x:c r="A295" s="9"/>
      <x:c r="B295" s="9"/>
      <x:c r="C295" s="9"/>
      <x:c r="D295" s="9"/>
      <x:c r="E295" s="9"/>
      <x:c r="F295" s="9"/>
      <x:c r="G295" s="9"/>
      <x:c r="H295" s="9"/>
      <x:c r="I295" s="9"/>
      <x:c r="J295" s="9"/>
      <x:c r="K295" s="9"/>
      <x:c r="L295" s="9"/>
      <x:c r="M295" s="9"/>
      <x:c r="N295" s="12" t="str">
        <x:f>IF(A295="","",IF(COUNTIF($A$6:$A$305,A295)&gt;1,"记录ID重复",IF(COUNTIF('案件索引'!$A$6:$A$105,B295)=0,"案件ID未登记",IF(AND(I295="通过",OR(C295="",H295="",L295="")),"通过须有运行、输出和评价人","格式已填；仍须人工复核"))))</x:f>
      </x:c>
    </x:row>
    <x:row r="296" ht="44" customHeight="1">
      <x:c r="A296" s="9"/>
      <x:c r="B296" s="9"/>
      <x:c r="C296" s="9"/>
      <x:c r="D296" s="9"/>
      <x:c r="E296" s="9"/>
      <x:c r="F296" s="9"/>
      <x:c r="G296" s="9"/>
      <x:c r="H296" s="9"/>
      <x:c r="I296" s="9"/>
      <x:c r="J296" s="9"/>
      <x:c r="K296" s="9"/>
      <x:c r="L296" s="9"/>
      <x:c r="M296" s="9"/>
      <x:c r="N296" s="12" t="str">
        <x:f>IF(A296="","",IF(COUNTIF($A$6:$A$305,A296)&gt;1,"记录ID重复",IF(COUNTIF('案件索引'!$A$6:$A$105,B296)=0,"案件ID未登记",IF(AND(I296="通过",OR(C296="",H296="",L296="")),"通过须有运行、输出和评价人","格式已填；仍须人工复核"))))</x:f>
      </x:c>
    </x:row>
    <x:row r="297" ht="44" customHeight="1">
      <x:c r="A297" s="9"/>
      <x:c r="B297" s="9"/>
      <x:c r="C297" s="9"/>
      <x:c r="D297" s="9"/>
      <x:c r="E297" s="9"/>
      <x:c r="F297" s="9"/>
      <x:c r="G297" s="9"/>
      <x:c r="H297" s="9"/>
      <x:c r="I297" s="9"/>
      <x:c r="J297" s="9"/>
      <x:c r="K297" s="9"/>
      <x:c r="L297" s="9"/>
      <x:c r="M297" s="9"/>
      <x:c r="N297" s="12" t="str">
        <x:f>IF(A297="","",IF(COUNTIF($A$6:$A$305,A297)&gt;1,"记录ID重复",IF(COUNTIF('案件索引'!$A$6:$A$105,B297)=0,"案件ID未登记",IF(AND(I297="通过",OR(C297="",H297="",L297="")),"通过须有运行、输出和评价人","格式已填；仍须人工复核"))))</x:f>
      </x:c>
    </x:row>
    <x:row r="298" ht="44" customHeight="1">
      <x:c r="A298" s="9"/>
      <x:c r="B298" s="9"/>
      <x:c r="C298" s="9"/>
      <x:c r="D298" s="9"/>
      <x:c r="E298" s="9"/>
      <x:c r="F298" s="9"/>
      <x:c r="G298" s="9"/>
      <x:c r="H298" s="9"/>
      <x:c r="I298" s="9"/>
      <x:c r="J298" s="9"/>
      <x:c r="K298" s="9"/>
      <x:c r="L298" s="9"/>
      <x:c r="M298" s="9"/>
      <x:c r="N298" s="12" t="str">
        <x:f>IF(A298="","",IF(COUNTIF($A$6:$A$305,A298)&gt;1,"记录ID重复",IF(COUNTIF('案件索引'!$A$6:$A$105,B298)=0,"案件ID未登记",IF(AND(I298="通过",OR(C298="",H298="",L298="")),"通过须有运行、输出和评价人","格式已填；仍须人工复核"))))</x:f>
      </x:c>
    </x:row>
    <x:row r="299" ht="44" customHeight="1">
      <x:c r="A299" s="9"/>
      <x:c r="B299" s="9"/>
      <x:c r="C299" s="9"/>
      <x:c r="D299" s="9"/>
      <x:c r="E299" s="9"/>
      <x:c r="F299" s="9"/>
      <x:c r="G299" s="9"/>
      <x:c r="H299" s="9"/>
      <x:c r="I299" s="9"/>
      <x:c r="J299" s="9"/>
      <x:c r="K299" s="9"/>
      <x:c r="L299" s="9"/>
      <x:c r="M299" s="9"/>
      <x:c r="N299" s="12" t="str">
        <x:f>IF(A299="","",IF(COUNTIF($A$6:$A$305,A299)&gt;1,"记录ID重复",IF(COUNTIF('案件索引'!$A$6:$A$105,B299)=0,"案件ID未登记",IF(AND(I299="通过",OR(C299="",H299="",L299="")),"通过须有运行、输出和评价人","格式已填；仍须人工复核"))))</x:f>
      </x:c>
    </x:row>
    <x:row r="300" ht="44" customHeight="1">
      <x:c r="A300" s="9"/>
      <x:c r="B300" s="9"/>
      <x:c r="C300" s="9"/>
      <x:c r="D300" s="9"/>
      <x:c r="E300" s="9"/>
      <x:c r="F300" s="9"/>
      <x:c r="G300" s="9"/>
      <x:c r="H300" s="9"/>
      <x:c r="I300" s="9"/>
      <x:c r="J300" s="9"/>
      <x:c r="K300" s="9"/>
      <x:c r="L300" s="9"/>
      <x:c r="M300" s="9"/>
      <x:c r="N300" s="12" t="str">
        <x:f>IF(A300="","",IF(COUNTIF($A$6:$A$305,A300)&gt;1,"记录ID重复",IF(COUNTIF('案件索引'!$A$6:$A$105,B300)=0,"案件ID未登记",IF(AND(I300="通过",OR(C300="",H300="",L300="")),"通过须有运行、输出和评价人","格式已填；仍须人工复核"))))</x:f>
      </x:c>
    </x:row>
    <x:row r="301" ht="44" customHeight="1">
      <x:c r="A301" s="9"/>
      <x:c r="B301" s="9"/>
      <x:c r="C301" s="9"/>
      <x:c r="D301" s="9"/>
      <x:c r="E301" s="9"/>
      <x:c r="F301" s="9"/>
      <x:c r="G301" s="9"/>
      <x:c r="H301" s="9"/>
      <x:c r="I301" s="9"/>
      <x:c r="J301" s="9"/>
      <x:c r="K301" s="9"/>
      <x:c r="L301" s="9"/>
      <x:c r="M301" s="9"/>
      <x:c r="N301" s="12" t="str">
        <x:f>IF(A301="","",IF(COUNTIF($A$6:$A$305,A301)&gt;1,"记录ID重复",IF(COUNTIF('案件索引'!$A$6:$A$105,B301)=0,"案件ID未登记",IF(AND(I301="通过",OR(C301="",H301="",L301="")),"通过须有运行、输出和评价人","格式已填；仍须人工复核"))))</x:f>
      </x:c>
    </x:row>
    <x:row r="302" ht="44" customHeight="1">
      <x:c r="A302" s="9"/>
      <x:c r="B302" s="9"/>
      <x:c r="C302" s="9"/>
      <x:c r="D302" s="9"/>
      <x:c r="E302" s="9"/>
      <x:c r="F302" s="9"/>
      <x:c r="G302" s="9"/>
      <x:c r="H302" s="9"/>
      <x:c r="I302" s="9"/>
      <x:c r="J302" s="9"/>
      <x:c r="K302" s="9"/>
      <x:c r="L302" s="9"/>
      <x:c r="M302" s="9"/>
      <x:c r="N302" s="12" t="str">
        <x:f>IF(A302="","",IF(COUNTIF($A$6:$A$305,A302)&gt;1,"记录ID重复",IF(COUNTIF('案件索引'!$A$6:$A$105,B302)=0,"案件ID未登记",IF(AND(I302="通过",OR(C302="",H302="",L302="")),"通过须有运行、输出和评价人","格式已填；仍须人工复核"))))</x:f>
      </x:c>
    </x:row>
    <x:row r="303" ht="44" customHeight="1">
      <x:c r="A303" s="9"/>
      <x:c r="B303" s="9"/>
      <x:c r="C303" s="9"/>
      <x:c r="D303" s="9"/>
      <x:c r="E303" s="9"/>
      <x:c r="F303" s="9"/>
      <x:c r="G303" s="9"/>
      <x:c r="H303" s="9"/>
      <x:c r="I303" s="9"/>
      <x:c r="J303" s="9"/>
      <x:c r="K303" s="9"/>
      <x:c r="L303" s="9"/>
      <x:c r="M303" s="9"/>
      <x:c r="N303" s="12" t="str">
        <x:f>IF(A303="","",IF(COUNTIF($A$6:$A$305,A303)&gt;1,"记录ID重复",IF(COUNTIF('案件索引'!$A$6:$A$105,B303)=0,"案件ID未登记",IF(AND(I303="通过",OR(C303="",H303="",L303="")),"通过须有运行、输出和评价人","格式已填；仍须人工复核"))))</x:f>
      </x:c>
    </x:row>
    <x:row r="304" ht="44" customHeight="1">
      <x:c r="A304" s="9"/>
      <x:c r="B304" s="9"/>
      <x:c r="C304" s="9"/>
      <x:c r="D304" s="9"/>
      <x:c r="E304" s="9"/>
      <x:c r="F304" s="9"/>
      <x:c r="G304" s="9"/>
      <x:c r="H304" s="9"/>
      <x:c r="I304" s="9"/>
      <x:c r="J304" s="9"/>
      <x:c r="K304" s="9"/>
      <x:c r="L304" s="9"/>
      <x:c r="M304" s="9"/>
      <x:c r="N304" s="12" t="str">
        <x:f>IF(A304="","",IF(COUNTIF($A$6:$A$305,A304)&gt;1,"记录ID重复",IF(COUNTIF('案件索引'!$A$6:$A$105,B304)=0,"案件ID未登记",IF(AND(I304="通过",OR(C304="",H304="",L304="")),"通过须有运行、输出和评价人","格式已填；仍须人工复核"))))</x:f>
      </x:c>
    </x:row>
    <x:row r="305" ht="44" customHeight="1">
      <x:c r="A305" s="9"/>
      <x:c r="B305" s="9"/>
      <x:c r="C305" s="9"/>
      <x:c r="D305" s="9"/>
      <x:c r="E305" s="9"/>
      <x:c r="F305" s="9"/>
      <x:c r="G305" s="9"/>
      <x:c r="H305" s="9"/>
      <x:c r="I305" s="9"/>
      <x:c r="J305" s="9"/>
      <x:c r="K305" s="9"/>
      <x:c r="L305" s="9"/>
      <x:c r="M305" s="9"/>
      <x:c r="N305" s="12" t="str">
        <x:f>IF(A305="","",IF(COUNTIF($A$6:$A$305,A305)&gt;1,"记录ID重复",IF(COUNTIF('案件索引'!$A$6:$A$105,B305)=0,"案件ID未登记",IF(AND(I305="通过",OR(C305="",H305="",L305="")),"通过须有运行、输出和评价人","格式已填；仍须人工复核"))))</x:f>
      </x:c>
    </x:row>
  </x:sheetData>
  <x:mergeCells>
    <x:mergeCell ref="A1:H1"/>
    <x:mergeCell ref="A2:L2"/>
    <x:mergeCell ref="A3:L3"/>
  </x:mergeCells>
  <x:conditionalFormatting sqref="N6:N305">
    <x:cfRule type="containsText" dxfId="4" priority="1" operator="containsText" text="须"/>
  </x:conditionalFormatting>
  <x:dataValidations count="3">
    <x:dataValidation type="list" sqref="B6:B305">
      <x:formula1>'案件索引'!$A$6:$A$15</x:formula1>
    </x:dataValidation>
    <x:dataValidation type="list" sqref="D6:D305">
      <x:formula1>'标注选项'!$B$92:$B$101</x:formula1>
    </x:dataValidation>
    <x:dataValidation type="list" sqref="I6:I305">
      <x:formula1>'标注选项'!$B$102:$B$105</x:formula1>
    </x:dataValidation>
  </x:dataValidations>
  <x:pageMargins left="0.7" right="0.7" top="0.75" bottom="0.75" header="0.3" footer="0.3"/>
  <x:legacyDrawing xmlns:r="http://schemas.openxmlformats.org/officeDocument/2006/relationships" r:id="R340a793bdf2f44f6"/>
  <x:tableParts count="1">
    <x:tablePart xmlns:r="http://schemas.openxmlformats.org/officeDocument/2006/relationships" r:id="R49b40dc365ad4864"/>
  </x:tableParts>
</x:worksheet>
</file>

<file path=xl/worksheets/sheet9.xml><?xml version="1.0" encoding="utf-8"?>
<x:worksheet xmlns:x="http://schemas.openxmlformats.org/spreadsheetml/2006/main">
  <x:sheetPr>
    <x:tabColor rgb="FF177D78"/>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38" hidden="0" customWidth="1"/>
    <x:col min="4" max="4" width="22" hidden="0" customWidth="1"/>
    <x:col min="5" max="5" width="38" hidden="0" customWidth="1"/>
    <x:col min="6" max="6" width="38" hidden="0" customWidth="1"/>
    <x:col min="7" max="7" width="58" hidden="0" customWidth="1"/>
    <x:col min="8" max="8" width="58" hidden="0" customWidth="1"/>
    <x:col min="9" max="9" width="22" hidden="0" customWidth="1"/>
    <x:col min="10" max="10" width="22" hidden="0" customWidth="1"/>
    <x:col min="11" max="11" width="58" hidden="0" customWidth="1"/>
    <x:col min="12" max="12" width="38" hidden="0" customWidth="1"/>
    <x:col min="13" max="13" width="38" hidden="0" customWidth="1"/>
    <x:col min="14" max="14" width="38" hidden="0" customWidth="1"/>
    <x:col min="15" max="15" width="22" hidden="0" customWidth="1"/>
    <x:col min="16" max="16" width="22" hidden="0" customWidth="1"/>
    <x:col min="17" max="17" width="22" hidden="0" customWidth="1"/>
    <x:col min="18" max="18" width="40" hidden="0" customWidth="1"/>
  </x:cols>
  <x:sheetData>
    <x:row r="1" ht="38" customHeight="1">
      <x:c r="A1" s="5" t="str">
        <x:v>技术反馈</x:v>
      </x:c>
      <x:c r="B1" s="5"/>
      <x:c r="C1" s="5"/>
      <x:c r="D1" s="5"/>
      <x:c r="E1" s="5"/>
      <x:c r="F1" s="5"/>
      <x:c r="G1" s="5"/>
      <x:c r="H1" s="5"/>
      <x:c r="I1" s="3"/>
      <x:c r="J1" s="3"/>
      <x:c r="K1" s="3"/>
      <x:c r="L1" s="3"/>
      <x:c r="M1" s="3"/>
      <x:c r="N1" s="3"/>
      <x:c r="O1" s="3"/>
      <x:c r="P1" s="3"/>
      <x:c r="Q1" s="3"/>
      <x:c r="R1" s="3"/>
    </x:row>
    <x:row r="2" ht="36" customHeight="1">
      <x:c r="A2" s="6" t="str">
        <x:v>预置资料审查问题不算实跑结果。技术填证据，法学答规则和标签，重跑后才能关闭。</x:v>
      </x:c>
      <x:c r="B2" s="6"/>
      <x:c r="C2" s="6"/>
      <x:c r="D2" s="6"/>
      <x:c r="E2" s="6"/>
      <x:c r="F2" s="6"/>
      <x:c r="G2" s="6"/>
      <x:c r="H2" s="6"/>
      <x:c r="I2" s="6"/>
      <x:c r="J2" s="6"/>
      <x:c r="K2" s="6"/>
      <x:c r="L2" s="6"/>
      <x:c r="M2" s="6"/>
      <x:c r="N2" s="6"/>
      <x:c r="O2" s="6"/>
      <x:c r="P2" s="6"/>
      <x:c r="Q2" s="6"/>
      <x:c r="R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c r="P3" s="7"/>
      <x:c r="Q3" s="7"/>
      <x:c r="R3" s="7"/>
    </x:row>
    <x:row r="4" ht="44" customHeight="1">
      <x:c r="A4" s="3"/>
      <x:c r="B4" s="3"/>
      <x:c r="C4" s="3"/>
      <x:c r="D4" s="3"/>
      <x:c r="E4" s="3"/>
      <x:c r="F4" s="3"/>
      <x:c r="G4" s="3"/>
      <x:c r="H4" s="3"/>
      <x:c r="I4" s="3"/>
      <x:c r="J4" s="3"/>
      <x:c r="K4" s="3"/>
      <x:c r="L4" s="3"/>
      <x:c r="M4" s="3"/>
      <x:c r="N4" s="3"/>
      <x:c r="O4" s="3"/>
      <x:c r="P4" s="3"/>
      <x:c r="Q4" s="3"/>
      <x:c r="R4" s="3"/>
    </x:row>
    <x:row r="5" ht="48" customHeight="1">
      <x:c r="A5" s="10" t="str">
        <x:v>反馈ID</x:v>
      </x:c>
      <x:c r="B5" s="10" t="str">
        <x:v>案件ID</x:v>
      </x:c>
      <x:c r="C5" s="10" t="str">
        <x:v>反馈来源</x:v>
      </x:c>
      <x:c r="D5" s="10" t="str">
        <x:v>运行ID</x:v>
      </x:c>
      <x:c r="E5" s="10" t="str">
        <x:v>代码模型规则版本</x:v>
      </x:c>
      <x:c r="F5" s="10" t="str">
        <x:v>关联记录或来源锚点</x:v>
      </x:c>
      <x:c r="G5" s="10" t="str">
        <x:v>实际观察</x:v>
      </x:c>
      <x:c r="H5" s="10" t="str">
        <x:v>期望行为</x:v>
      </x:c>
      <x:c r="I5" s="10" t="str">
        <x:v>错误类型</x:v>
      </x:c>
      <x:c r="J5" s="10" t="str">
        <x:v>优先级</x:v>
      </x:c>
      <x:c r="K5" s="10" t="str">
        <x:v>待法学回答的问题</x:v>
      </x:c>
      <x:c r="L5" s="10" t="str">
        <x:v>法学裁定及修改位置</x:v>
      </x:c>
      <x:c r="M5" s="10" t="str">
        <x:v>技术修复及版本</x:v>
      </x:c>
      <x:c r="N5" s="10" t="str">
        <x:v>负责人</x:v>
      </x:c>
      <x:c r="O5" s="10" t="str">
        <x:v>处理状态</x:v>
      </x:c>
      <x:c r="P5" s="10" t="str">
        <x:v>重跑ID与证据</x:v>
      </x:c>
      <x:c r="Q5" s="10" t="str">
        <x:v>关闭结论与日期</x:v>
      </x:c>
      <x:c r="R5" s="10" t="str">
        <x:v>质检提示</x:v>
      </x:c>
    </x:row>
    <x:row r="6" ht="90" customHeight="1">
      <x:c r="A6" s="9" t="str">
        <x:v>FB-001</x:v>
      </x:c>
      <x:c r="B6" s="9" t="str">
        <x:v>GLOBAL</x:v>
      </x:c>
      <x:c r="C6" s="9" t="str">
        <x:v>资料审查</x:v>
      </x:c>
      <x:c r="D6" s="9" t="str">
        <x:v>未试跑</x:v>
      </x:c>
      <x:c r="E6" s="9" t="str">
        <x:v>本次仅来源审查</x:v>
      </x:c>
      <x:c r="F6" s="9" t="str">
        <x:v>个人信息表E2及重复摘录；总法源目录D5</x:v>
      </x:c>
      <x:c r="G6" s="9" t="str">
        <x:v>第13条摘录删除同意项并移位，和目录概括不一致</x:v>
      </x:c>
      <x:c r="H6" s="9" t="str">
        <x:v>保留来源原文；执行依据使用已核验现行条文并记录修正版本</x:v>
      </x:c>
      <x:c r="I6" s="9" t="str">
        <x:v>法律规则待核验</x:v>
      </x:c>
      <x:c r="J6" s="9" t="str">
        <x:v>P0阻断</x:v>
      </x:c>
      <x:c r="K6" s="9" t="str">
        <x:v>请确认第13条合法基础、免同意范围与后续处理行为的适用关系。</x:v>
      </x:c>
      <x:c r="L6" s="9" t="str"/>
      <x:c r="M6" s="9" t="str"/>
      <x:c r="N6" s="9" t="str"/>
      <x:c r="O6" s="9" t="str">
        <x:v>待法学</x:v>
      </x:c>
      <x:c r="P6" s="9" t="str"/>
      <x:c r="Q6" s="9" t="str"/>
      <x:c r="R6" s="12" t="str">
        <x:f>IF(A6="","",IF(COUNTIF($A$6:$A$205,A6)&gt;1,"记录ID重复",IF(AND(O6="已验证关闭",OR(P6="",Q6="")),"关闭须有复核或重跑证据","格式已填；仍须人工复核")))</x:f>
        <x:v>格式已填；仍须人工复核</x:v>
      </x:c>
    </x:row>
    <x:row r="7" ht="90" customHeight="1">
      <x:c r="A7" s="9" t="str">
        <x:v>FB-002</x:v>
      </x:c>
      <x:c r="B7" s="9" t="str">
        <x:v>GLOBAL</x:v>
      </x:c>
      <x:c r="C7" s="9" t="str">
        <x:v>资料审查</x:v>
      </x:c>
      <x:c r="D7" s="9" t="str">
        <x:v>未试跑</x:v>
      </x:c>
      <x:c r="E7" s="9" t="str">
        <x:v>本次仅来源审查</x:v>
      </x:c>
      <x:c r="F7" s="9" t="str">
        <x:v>个人信息表C3</x:v>
      </x:c>
      <x:c r="G7" s="9" t="str">
        <x:v>身份证件号码标为通常否，不能据此统一降低保护</x:v>
      </x:c>
      <x:c r="H7" s="9" t="str">
        <x:v>按具体类型及风险复核，必要性与敏感性分开</x:v>
      </x:c>
      <x:c r="I7" s="9" t="str">
        <x:v>法律规则待核验</x:v>
      </x:c>
      <x:c r="J7" s="9" t="str">
        <x:v>P1重要</x:v>
      </x:c>
      <x:c r="K7" s="9" t="str">
        <x:v>该分类在哪些条件成立，哪些条件应进入敏感性复核？</x:v>
      </x:c>
      <x:c r="L7" s="9" t="str"/>
      <x:c r="M7" s="9" t="str"/>
      <x:c r="N7" s="9" t="str"/>
      <x:c r="O7" s="9" t="str">
        <x:v>待法学</x:v>
      </x:c>
      <x:c r="P7" s="9" t="str"/>
      <x:c r="Q7" s="9" t="str"/>
      <x:c r="R7" s="12" t="str">
        <x:f>IF(A7="","",IF(COUNTIF($A$6:$A$205,A7)&gt;1,"记录ID重复",IF(AND(O7="已验证关闭",OR(P7="",Q7="")),"关闭须有复核或重跑证据","格式已填；仍须人工复核")))</x:f>
        <x:v>格式已填；仍须人工复核</x:v>
      </x:c>
    </x:row>
    <x:row r="8" ht="90" customHeight="1">
      <x:c r="A8" s="9" t="str">
        <x:v>FB-003</x:v>
      </x:c>
      <x:c r="B8" s="9" t="str">
        <x:v>GLOBAL</x:v>
      </x:c>
      <x:c r="C8" s="9" t="str">
        <x:v>资料审查</x:v>
      </x:c>
      <x:c r="D8" s="9" t="str">
        <x:v>未试跑</x:v>
      </x:c>
      <x:c r="E8" s="9" t="str">
        <x:v>本次仅来源审查</x:v>
      </x:c>
      <x:c r="F8" s="9" t="str">
        <x:v>总法源目录C15/K15；律师法</x:v>
      </x:c>
      <x:c r="G8" s="9" t="str">
        <x:v>仍使用旧第38条与现行标记</x:v>
      </x:c>
      <x:c r="H8" s="9" t="str">
        <x:v>保留旧引文；核验2026-09-01修法后的整编条次与内容</x:v>
      </x:c>
      <x:c r="I8" s="9" t="str">
        <x:v>法律规则待核验</x:v>
      </x:c>
      <x:c r="J8" s="9" t="str">
        <x:v>P0阻断</x:v>
      </x:c>
      <x:c r="K8" s="9" t="str">
        <x:v>确认原第38条对应现条次、有效期间及本项目适用范围。</x:v>
      </x:c>
      <x:c r="L8" s="9" t="str"/>
      <x:c r="M8" s="9" t="str"/>
      <x:c r="N8" s="9" t="str"/>
      <x:c r="O8" s="9" t="str">
        <x:v>待法学</x:v>
      </x:c>
      <x:c r="P8" s="9" t="str"/>
      <x:c r="Q8" s="9" t="str"/>
      <x:c r="R8" s="12" t="str">
        <x:f>IF(A8="","",IF(COUNTIF($A$6:$A$205,A8)&gt;1,"记录ID重复",IF(AND(O8="已验证关闭",OR(P8="",Q8="")),"关闭须有复核或重跑证据","格式已填；仍须人工复核")))</x:f>
        <x:v>格式已填；仍须人工复核</x:v>
      </x:c>
    </x:row>
    <x:row r="9" ht="90" customHeight="1">
      <x:c r="A9" s="9" t="str">
        <x:v>FB-004</x:v>
      </x:c>
      <x:c r="B9" s="9" t="str">
        <x:v>LA-001</x:v>
      </x:c>
      <x:c r="C9" s="9" t="str">
        <x:v>资料审查</x:v>
      </x:c>
      <x:c r="D9" s="9" t="str">
        <x:v>未试跑</x:v>
      </x:c>
      <x:c r="E9" s="9" t="str">
        <x:v>本次仅来源审查</x:v>
      </x:c>
      <x:c r="F9" s="9" t="str">
        <x:v>劳动LA-001清单A2:E2</x:v>
      </x:c>
      <x:c r="G9" s="9" t="str">
        <x:v>类别默认删除，结果却为角色替换</x:v>
      </x:c>
      <x:c r="H9" s="9" t="str">
        <x:v>分开身份原值删除与主体关系保留；动作标假名化时写精确代称</x:v>
      </x:c>
      <x:c r="I9" s="9" t="str">
        <x:v>标注边界不清</x:v>
      </x:c>
      <x:c r="J9" s="9" t="str">
        <x:v>P1重要</x:v>
      </x:c>
      <x:c r="K9" s="9" t="str">
        <x:v>删除对象是姓名字符串、主体节点还是整个事实？</x:v>
      </x:c>
      <x:c r="L9" s="9" t="str"/>
      <x:c r="M9" s="9" t="str"/>
      <x:c r="N9" s="9" t="str"/>
      <x:c r="O9" s="9" t="str">
        <x:v>待法学</x:v>
      </x:c>
      <x:c r="P9" s="9" t="str"/>
      <x:c r="Q9" s="9" t="str"/>
      <x:c r="R9" s="12" t="str">
        <x:f>IF(A9="","",IF(COUNTIF($A$6:$A$205,A9)&gt;1,"记录ID重复",IF(AND(O9="已验证关闭",OR(P9="",Q9="")),"关闭须有复核或重跑证据","格式已填；仍须人工复核")))</x:f>
        <x:v>格式已填；仍须人工复核</x:v>
      </x:c>
    </x:row>
    <x:row r="10" ht="90" customHeight="1">
      <x:c r="A10" s="9" t="str">
        <x:v>FB-005</x:v>
      </x:c>
      <x:c r="B10" s="9" t="str">
        <x:v>LA-002</x:v>
      </x:c>
      <x:c r="C10" s="9" t="str">
        <x:v>资料审查</x:v>
      </x:c>
      <x:c r="D10" s="9" t="str">
        <x:v>未试跑</x:v>
      </x:c>
      <x:c r="E10" s="9" t="str">
        <x:v>本次仅来源审查</x:v>
      </x:c>
      <x:c r="F10" s="9" t="str">
        <x:v>抽取05_02.txt P15/P20/P23/P50/P61</x:v>
      </x:c>
      <x:c r="G10" s="9" t="str">
        <x:v>仲裁和一审09-01，二审说理和部分摘要09-25</x:v>
      </x:c>
      <x:c r="H10" s="9" t="str">
        <x:v>并列标注来源层次与值；保留日期冲突，不自行选唯一值</x:v>
      </x:c>
      <x:c r="I10" s="9" t="str">
        <x:v>原始资料问题</x:v>
      </x:c>
      <x:c r="J10" s="9" t="str">
        <x:v>P1重要</x:v>
      </x:c>
      <x:c r="K10" s="9" t="str">
        <x:v>当前摘要应如何呈现该冲突，是否需要补查正式文书？</x:v>
      </x:c>
      <x:c r="L10" s="9" t="str"/>
      <x:c r="M10" s="9" t="str"/>
      <x:c r="N10" s="9" t="str"/>
      <x:c r="O10" s="9" t="str">
        <x:v>待法学</x:v>
      </x:c>
      <x:c r="P10" s="9" t="str"/>
      <x:c r="Q10" s="9" t="str"/>
      <x:c r="R10" s="12" t="str">
        <x:f>IF(A10="","",IF(COUNTIF($A$6:$A$205,A10)&gt;1,"记录ID重复",IF(AND(O10="已验证关闭",OR(P10="",Q10="")),"关闭须有复核或重跑证据","格式已填；仍须人工复核")))</x:f>
        <x:v>格式已填；仍须人工复核</x:v>
      </x:c>
    </x:row>
    <x:row r="11" ht="90" customHeight="1">
      <x:c r="A11" s="9" t="str">
        <x:v>FB-006</x:v>
      </x:c>
      <x:c r="B11" s="9" t="str">
        <x:v>LA-003</x:v>
      </x:c>
      <x:c r="C11" s="9" t="str">
        <x:v>资料审查</x:v>
      </x:c>
      <x:c r="D11" s="9" t="str">
        <x:v>未试跑</x:v>
      </x:c>
      <x:c r="E11" s="9" t="str">
        <x:v>本次仅来源审查</x:v>
      </x:c>
      <x:c r="F11" s="9" t="str">
        <x:v>劳动LA-003清单A20:E20</x:v>
      </x:c>
      <x:c r="G11" s="9" t="str">
        <x:v>公司名称标签对应袁某，默认删除与保留袁某不一致</x:v>
      </x:c>
      <x:c r="H11" s="9" t="str">
        <x:v>回原件核验对象类型和处理范围，保留原行修订记录</x:v>
      </x:c>
      <x:c r="I11" s="9" t="str">
        <x:v>原始资料问题</x:v>
      </x:c>
      <x:c r="J11" s="9" t="str">
        <x:v>P1重要</x:v>
      </x:c>
      <x:c r="K11" s="9" t="str">
        <x:v>对象是自然人还是公司？最终应保留哪个稳定代称？</x:v>
      </x:c>
      <x:c r="L11" s="9" t="str"/>
      <x:c r="M11" s="9" t="str"/>
      <x:c r="N11" s="9" t="str"/>
      <x:c r="O11" s="9" t="str">
        <x:v>待法学</x:v>
      </x:c>
      <x:c r="P11" s="9" t="str"/>
      <x:c r="Q11" s="9" t="str"/>
      <x:c r="R11" s="12" t="str">
        <x:f>IF(A11="","",IF(COUNTIF($A$6:$A$205,A11)&gt;1,"记录ID重复",IF(AND(O11="已验证关闭",OR(P11="",Q11="")),"关闭须有复核或重跑证据","格式已填；仍须人工复核")))</x:f>
        <x:v>格式已填；仍须人工复核</x:v>
      </x:c>
    </x:row>
    <x:row r="12" ht="90" customHeight="1">
      <x:c r="A12" s="9" t="str">
        <x:v>FB-007</x:v>
      </x:c>
      <x:c r="B12" s="9" t="str">
        <x:v>LA-005</x:v>
      </x:c>
      <x:c r="C12" s="9" t="str">
        <x:v>资料审查</x:v>
      </x:c>
      <x:c r="D12" s="9" t="str">
        <x:v>未试跑</x:v>
      </x:c>
      <x:c r="E12" s="9" t="str">
        <x:v>本次仅来源审查</x:v>
      </x:c>
      <x:c r="F12" s="9" t="str">
        <x:v>抽取05_07.txt P16</x:v>
      </x:c>
      <x:c r="G12" s="9" t="str">
        <x:v>通知送达2026-06-25，待岗开始2025-06-26，时间先后可疑</x:v>
      </x:c>
      <x:c r="H12" s="9" t="str">
        <x:v>保留两个原值与事件归属，待补证，不自动改年份</x:v>
      </x:c>
      <x:c r="I12" s="9" t="str">
        <x:v>原始资料问题</x:v>
      </x:c>
      <x:c r="J12" s="9" t="str">
        <x:v>P1重要</x:v>
      </x:c>
      <x:c r="K12" s="9" t="str">
        <x:v>是否原文笔误？在不能补证时如何表述时间线？</x:v>
      </x:c>
      <x:c r="L12" s="9" t="str"/>
      <x:c r="M12" s="9" t="str"/>
      <x:c r="N12" s="9" t="str"/>
      <x:c r="O12" s="9" t="str">
        <x:v>待法学</x:v>
      </x:c>
      <x:c r="P12" s="9" t="str"/>
      <x:c r="Q12" s="9" t="str"/>
      <x:c r="R12" s="12" t="str">
        <x:f>IF(A12="","",IF(COUNTIF($A$6:$A$205,A12)&gt;1,"记录ID重复",IF(AND(O12="已验证关闭",OR(P12="",Q12="")),"关闭须有复核或重跑证据","格式已填；仍须人工复核")))</x:f>
        <x:v>格式已填；仍须人工复核</x:v>
      </x:c>
    </x:row>
    <x:row r="13" ht="90" customHeight="1">
      <x:c r="A13" s="9" t="str">
        <x:v>FB-008</x:v>
      </x:c>
      <x:c r="B13" s="9" t="str">
        <x:v>LA-005</x:v>
      </x:c>
      <x:c r="C13" s="9" t="str">
        <x:v>资料审查</x:v>
      </x:c>
      <x:c r="D13" s="9" t="str">
        <x:v>未试跑</x:v>
      </x:c>
      <x:c r="E13" s="9" t="str">
        <x:v>本次仅来源审查</x:v>
      </x:c>
      <x:c r="F13" s="9" t="str">
        <x:v>LA-005标注文书；原始分类清单</x:v>
      </x:c>
      <x:c r="G13" s="9" t="str">
        <x:v>主张69302.5、仲裁62403.86、一审61834.46</x:v>
      </x:c>
      <x:c r="H13" s="9" t="str">
        <x:v>分别标注主张/裁决/判决口径，不能合并为应付金额</x:v>
      </x:c>
      <x:c r="I13" s="9" t="str">
        <x:v>标注边界不清</x:v>
      </x:c>
      <x:c r="J13" s="9" t="str">
        <x:v>P1重要</x:v>
      </x:c>
      <x:c r="K13" s="9" t="str">
        <x:v>各金额应归哪个阶段、哪个请求项目及本审争议？</x:v>
      </x:c>
      <x:c r="L13" s="9" t="str"/>
      <x:c r="M13" s="9" t="str"/>
      <x:c r="N13" s="9" t="str"/>
      <x:c r="O13" s="9" t="str">
        <x:v>待法学</x:v>
      </x:c>
      <x:c r="P13" s="9" t="str"/>
      <x:c r="Q13" s="9" t="str"/>
      <x:c r="R13" s="12" t="str">
        <x:f>IF(A13="","",IF(COUNTIF($A$6:$A$205,A13)&gt;1,"记录ID重复",IF(AND(O13="已验证关闭",OR(P13="",Q13="")),"关闭须有复核或重跑证据","格式已填；仍须人工复核")))</x:f>
        <x:v>格式已填；仍须人工复核</x:v>
      </x:c>
    </x:row>
    <x:row r="14" ht="90" customHeight="1">
      <x:c r="A14" s="9" t="str">
        <x:v>FB-009</x:v>
      </x:c>
      <x:c r="B14" s="9" t="str">
        <x:v>GS-005</x:v>
      </x:c>
      <x:c r="C14" s="9" t="str">
        <x:v>资料审查</x:v>
      </x:c>
      <x:c r="D14" s="9" t="str">
        <x:v>未试跑</x:v>
      </x:c>
      <x:c r="E14" s="9" t="str">
        <x:v>本次仅来源审查</x:v>
      </x:c>
      <x:c r="F14" s="9" t="str">
        <x:v>工伤医疗表样例5!B10</x:v>
      </x:c>
      <x:c r="G14" s="9" t="str">
        <x:v>数值44614，原格式为General</x:v>
      </x:c>
      <x:c r="H14" s="9" t="str">
        <x:v>核对源文和工作簿日期系统后再转换；原值永久保留</x:v>
      </x:c>
      <x:c r="I14" s="9" t="str">
        <x:v>原始资料问题</x:v>
      </x:c>
      <x:c r="J14" s="9" t="str">
        <x:v>P1重要</x:v>
      </x:c>
      <x:c r="K14" s="9" t="str">
        <x:v>是否对应2022-02-22？确认前能否仅记日期待核验？</x:v>
      </x:c>
      <x:c r="L14" s="9" t="str"/>
      <x:c r="M14" s="9" t="str"/>
      <x:c r="N14" s="9" t="str"/>
      <x:c r="O14" s="9" t="str">
        <x:v>待法学</x:v>
      </x:c>
      <x:c r="P14" s="9" t="str"/>
      <x:c r="Q14" s="9" t="str"/>
      <x:c r="R14" s="12" t="str">
        <x:f>IF(A14="","",IF(COUNTIF($A$6:$A$205,A14)&gt;1,"记录ID重复",IF(AND(O14="已验证关闭",OR(P14="",Q14="")),"关闭须有复核或重跑证据","格式已填；仍须人工复核")))</x:f>
        <x:v>格式已填；仍须人工复核</x:v>
      </x:c>
    </x:row>
    <x:row r="15" ht="90" customHeight="1">
      <x:c r="A15" s="9" t="str">
        <x:v>FB-010</x:v>
      </x:c>
      <x:c r="B15" s="9" t="str">
        <x:v>GS-005</x:v>
      </x:c>
      <x:c r="C15" s="9" t="str">
        <x:v>资料审查</x:v>
      </x:c>
      <x:c r="D15" s="9" t="str">
        <x:v>未试跑</x:v>
      </x:c>
      <x:c r="E15" s="9" t="str">
        <x:v>本次仅来源审查</x:v>
      </x:c>
      <x:c r="F15" s="9" t="str">
        <x:v>工伤医疗表样例5!B33:B35</x:v>
      </x:c>
      <x:c r="G15" s="9" t="str">
        <x:v>如原材料中存在属于条件检查项</x:v>
      </x:c>
      <x:c r="H15" s="9" t="str">
        <x:v>只有原件确实出现才标正例；未出现作为检查条件</x:v>
      </x:c>
      <x:c r="I15" s="9" t="str">
        <x:v>标注边界不清</x:v>
      </x:c>
      <x:c r="J15" s="9" t="str">
        <x:v>P1重要</x:v>
      </x:c>
      <x:c r="K15" s="9" t="str">
        <x:v>这些行应作为负例/检查项还是已有事实？</x:v>
      </x:c>
      <x:c r="L15" s="9" t="str"/>
      <x:c r="M15" s="9" t="str"/>
      <x:c r="N15" s="9" t="str"/>
      <x:c r="O15" s="9" t="str">
        <x:v>待法学</x:v>
      </x:c>
      <x:c r="P15" s="9" t="str"/>
      <x:c r="Q15" s="9" t="str"/>
      <x:c r="R15" s="12" t="str">
        <x:f>IF(A15="","",IF(COUNTIF($A$6:$A$205,A15)&gt;1,"记录ID重复",IF(AND(O15="已验证关闭",OR(P15="",Q15="")),"关闭须有复核或重跑证据","格式已填；仍须人工复核")))</x:f>
        <x:v>格式已填；仍须人工复核</x:v>
      </x:c>
    </x:row>
    <x:row r="16" ht="90" customHeight="1">
      <x:c r="A16" s="9" t="str">
        <x:v>FB-011</x:v>
      </x:c>
      <x:c r="B16" s="9" t="str">
        <x:v>GS-002</x:v>
      </x:c>
      <x:c r="C16" s="9" t="str">
        <x:v>资料审查</x:v>
      </x:c>
      <x:c r="D16" s="9" t="str">
        <x:v>未试跑</x:v>
      </x:c>
      <x:c r="E16" s="9" t="str">
        <x:v>本次仅来源审查</x:v>
      </x:c>
      <x:c r="F16" s="9" t="str">
        <x:v>工伤医疗表样例2!第17/24/45行</x:v>
      </x:c>
      <x:c r="G16" s="9" t="str">
        <x:v>不成立劳动关系与承担工伤保险责任并存</x:v>
      </x:c>
      <x:c r="H16" s="9" t="str">
        <x:v>两个关系分别建模，保留裁判路径，不能归并为劳动关系成立</x:v>
      </x:c>
      <x:c r="I16" s="9" t="str">
        <x:v>标注边界不清</x:v>
      </x:c>
      <x:c r="J16" s="9" t="str">
        <x:v>P1重要</x:v>
      </x:c>
      <x:c r="K16" s="9" t="str">
        <x:v>摘要应保留哪些关系和责任依据，允许哪些概括？</x:v>
      </x:c>
      <x:c r="L16" s="9" t="str"/>
      <x:c r="M16" s="9" t="str"/>
      <x:c r="N16" s="9" t="str"/>
      <x:c r="O16" s="9" t="str">
        <x:v>待法学</x:v>
      </x:c>
      <x:c r="P16" s="9" t="str"/>
      <x:c r="Q16" s="9" t="str"/>
      <x:c r="R16" s="12" t="str">
        <x:f>IF(A16="","",IF(COUNTIF($A$6:$A$205,A16)&gt;1,"记录ID重复",IF(AND(O16="已验证关闭",OR(P16="",Q16="")),"关闭须有复核或重跑证据","格式已填；仍须人工复核")))</x:f>
        <x:v>格式已填；仍须人工复核</x:v>
      </x:c>
    </x:row>
    <x:row r="17" ht="90" customHeight="1">
      <x:c r="A17" s="9" t="str">
        <x:v>FB-012</x:v>
      </x:c>
      <x:c r="B17" s="9" t="str">
        <x:v>GLOBAL</x:v>
      </x:c>
      <x:c r="C17" s="9" t="str">
        <x:v>资料审查</x:v>
      </x:c>
      <x:c r="D17" s="9" t="str">
        <x:v>未试跑</x:v>
      </x:c>
      <x:c r="E17" s="9" t="str">
        <x:v>本次仅来源审查</x:v>
      </x:c>
      <x:c r="F17" s="9" t="str">
        <x:v>劳动关系ZIP/LA-005.zip/LA-002.zip</x:v>
      </x:c>
      <x:c r="G17" s="9" t="str">
        <x:v>嵌套LA-002与外层同案重复</x:v>
      </x:c>
      <x:c r="H17" s="9" t="str">
        <x:v>哈希去重、同案归组，不重复计数或跨校准/评估划分</x:v>
      </x:c>
      <x:c r="I17" s="9" t="str">
        <x:v>原始资料问题</x:v>
      </x:c>
      <x:c r="J17" s="9" t="str">
        <x:v>P2一般</x:v>
      </x:c>
      <x:c r="K17" s="9" t="str">
        <x:v>确认该副本是重复材料，无需另建案例。</x:v>
      </x:c>
      <x:c r="L17" s="9" t="str"/>
      <x:c r="M17" s="9" t="str"/>
      <x:c r="N17" s="9" t="str"/>
      <x:c r="O17" s="9" t="str">
        <x:v>待法学</x:v>
      </x:c>
      <x:c r="P17" s="9" t="str"/>
      <x:c r="Q17" s="9" t="str"/>
      <x:c r="R17" s="12" t="str">
        <x:f>IF(A17="","",IF(COUNTIF($A$6:$A$205,A17)&gt;1,"记录ID重复",IF(AND(O17="已验证关闭",OR(P17="",Q17="")),"关闭须有复核或重跑证据","格式已填；仍须人工复核")))</x:f>
        <x:v>格式已填；仍须人工复核</x:v>
      </x:c>
    </x:row>
    <x:row r="18" ht="44" customHeight="1">
      <x:c r="A18" s="9"/>
      <x:c r="B18" s="9"/>
      <x:c r="C18" s="9"/>
      <x:c r="D18" s="9"/>
      <x:c r="E18" s="9"/>
      <x:c r="F18" s="9"/>
      <x:c r="G18" s="9"/>
      <x:c r="H18" s="9"/>
      <x:c r="I18" s="9"/>
      <x:c r="J18" s="9"/>
      <x:c r="K18" s="9"/>
      <x:c r="L18" s="9"/>
      <x:c r="M18" s="9"/>
      <x:c r="N18" s="9"/>
      <x:c r="O18" s="9"/>
      <x:c r="P18" s="9"/>
      <x:c r="Q18" s="9"/>
      <x:c r="R18" s="12" t="str">
        <x:f>IF(A18="","",IF(COUNTIF($A$6:$A$205,A18)&gt;1,"记录ID重复",IF(AND(O18="已验证关闭",OR(P18="",Q18="")),"关闭须有复核或重跑证据","格式已填；仍须人工复核")))</x:f>
      </x:c>
    </x:row>
    <x:row r="19" ht="44" customHeight="1">
      <x:c r="A19" s="9"/>
      <x:c r="B19" s="9"/>
      <x:c r="C19" s="9"/>
      <x:c r="D19" s="9"/>
      <x:c r="E19" s="9"/>
      <x:c r="F19" s="9"/>
      <x:c r="G19" s="9"/>
      <x:c r="H19" s="9"/>
      <x:c r="I19" s="9"/>
      <x:c r="J19" s="9"/>
      <x:c r="K19" s="9"/>
      <x:c r="L19" s="9"/>
      <x:c r="M19" s="9"/>
      <x:c r="N19" s="9"/>
      <x:c r="O19" s="9"/>
      <x:c r="P19" s="9"/>
      <x:c r="Q19" s="9"/>
      <x:c r="R19" s="12" t="str">
        <x:f>IF(A19="","",IF(COUNTIF($A$6:$A$205,A19)&gt;1,"记录ID重复",IF(AND(O19="已验证关闭",OR(P19="",Q19="")),"关闭须有复核或重跑证据","格式已填；仍须人工复核")))</x:f>
      </x:c>
    </x:row>
    <x:row r="20" ht="44" customHeight="1">
      <x:c r="A20" s="9"/>
      <x:c r="B20" s="9"/>
      <x:c r="C20" s="9"/>
      <x:c r="D20" s="9"/>
      <x:c r="E20" s="9"/>
      <x:c r="F20" s="9"/>
      <x:c r="G20" s="9"/>
      <x:c r="H20" s="9"/>
      <x:c r="I20" s="9"/>
      <x:c r="J20" s="9"/>
      <x:c r="K20" s="9"/>
      <x:c r="L20" s="9"/>
      <x:c r="M20" s="9"/>
      <x:c r="N20" s="9"/>
      <x:c r="O20" s="9"/>
      <x:c r="P20" s="9"/>
      <x:c r="Q20" s="9"/>
      <x:c r="R20" s="12" t="str">
        <x:f>IF(A20="","",IF(COUNTIF($A$6:$A$205,A20)&gt;1,"记录ID重复",IF(AND(O20="已验证关闭",OR(P20="",Q20="")),"关闭须有复核或重跑证据","格式已填；仍须人工复核")))</x:f>
      </x:c>
    </x:row>
    <x:row r="21" ht="44" customHeight="1">
      <x:c r="A21" s="9"/>
      <x:c r="B21" s="9"/>
      <x:c r="C21" s="9"/>
      <x:c r="D21" s="9"/>
      <x:c r="E21" s="9"/>
      <x:c r="F21" s="9"/>
      <x:c r="G21" s="9"/>
      <x:c r="H21" s="9"/>
      <x:c r="I21" s="9"/>
      <x:c r="J21" s="9"/>
      <x:c r="K21" s="9"/>
      <x:c r="L21" s="9"/>
      <x:c r="M21" s="9"/>
      <x:c r="N21" s="9"/>
      <x:c r="O21" s="9"/>
      <x:c r="P21" s="9"/>
      <x:c r="Q21" s="9"/>
      <x:c r="R21" s="12" t="str">
        <x:f>IF(A21="","",IF(COUNTIF($A$6:$A$205,A21)&gt;1,"记录ID重复",IF(AND(O21="已验证关闭",OR(P21="",Q21="")),"关闭须有复核或重跑证据","格式已填；仍须人工复核")))</x:f>
      </x:c>
    </x:row>
    <x:row r="22" ht="44" customHeight="1">
      <x:c r="A22" s="9"/>
      <x:c r="B22" s="9"/>
      <x:c r="C22" s="9"/>
      <x:c r="D22" s="9"/>
      <x:c r="E22" s="9"/>
      <x:c r="F22" s="9"/>
      <x:c r="G22" s="9"/>
      <x:c r="H22" s="9"/>
      <x:c r="I22" s="9"/>
      <x:c r="J22" s="9"/>
      <x:c r="K22" s="9"/>
      <x:c r="L22" s="9"/>
      <x:c r="M22" s="9"/>
      <x:c r="N22" s="9"/>
      <x:c r="O22" s="9"/>
      <x:c r="P22" s="9"/>
      <x:c r="Q22" s="9"/>
      <x:c r="R22" s="12" t="str">
        <x:f>IF(A22="","",IF(COUNTIF($A$6:$A$205,A22)&gt;1,"记录ID重复",IF(AND(O22="已验证关闭",OR(P22="",Q22="")),"关闭须有复核或重跑证据","格式已填；仍须人工复核")))</x:f>
      </x:c>
    </x:row>
    <x:row r="23" ht="44" customHeight="1">
      <x:c r="A23" s="9"/>
      <x:c r="B23" s="9"/>
      <x:c r="C23" s="9"/>
      <x:c r="D23" s="9"/>
      <x:c r="E23" s="9"/>
      <x:c r="F23" s="9"/>
      <x:c r="G23" s="9"/>
      <x:c r="H23" s="9"/>
      <x:c r="I23" s="9"/>
      <x:c r="J23" s="9"/>
      <x:c r="K23" s="9"/>
      <x:c r="L23" s="9"/>
      <x:c r="M23" s="9"/>
      <x:c r="N23" s="9"/>
      <x:c r="O23" s="9"/>
      <x:c r="P23" s="9"/>
      <x:c r="Q23" s="9"/>
      <x:c r="R23" s="12" t="str">
        <x:f>IF(A23="","",IF(COUNTIF($A$6:$A$205,A23)&gt;1,"记录ID重复",IF(AND(O23="已验证关闭",OR(P23="",Q23="")),"关闭须有复核或重跑证据","格式已填；仍须人工复核")))</x:f>
      </x:c>
    </x:row>
    <x:row r="24" ht="44" customHeight="1">
      <x:c r="A24" s="9"/>
      <x:c r="B24" s="9"/>
      <x:c r="C24" s="9"/>
      <x:c r="D24" s="9"/>
      <x:c r="E24" s="9"/>
      <x:c r="F24" s="9"/>
      <x:c r="G24" s="9"/>
      <x:c r="H24" s="9"/>
      <x:c r="I24" s="9"/>
      <x:c r="J24" s="9"/>
      <x:c r="K24" s="9"/>
      <x:c r="L24" s="9"/>
      <x:c r="M24" s="9"/>
      <x:c r="N24" s="9"/>
      <x:c r="O24" s="9"/>
      <x:c r="P24" s="9"/>
      <x:c r="Q24" s="9"/>
      <x:c r="R24" s="12" t="str">
        <x:f>IF(A24="","",IF(COUNTIF($A$6:$A$205,A24)&gt;1,"记录ID重复",IF(AND(O24="已验证关闭",OR(P24="",Q24="")),"关闭须有复核或重跑证据","格式已填；仍须人工复核")))</x:f>
      </x:c>
    </x:row>
    <x:row r="25" ht="44" customHeight="1">
      <x:c r="A25" s="9"/>
      <x:c r="B25" s="9"/>
      <x:c r="C25" s="9"/>
      <x:c r="D25" s="9"/>
      <x:c r="E25" s="9"/>
      <x:c r="F25" s="9"/>
      <x:c r="G25" s="9"/>
      <x:c r="H25" s="9"/>
      <x:c r="I25" s="9"/>
      <x:c r="J25" s="9"/>
      <x:c r="K25" s="9"/>
      <x:c r="L25" s="9"/>
      <x:c r="M25" s="9"/>
      <x:c r="N25" s="9"/>
      <x:c r="O25" s="9"/>
      <x:c r="P25" s="9"/>
      <x:c r="Q25" s="9"/>
      <x:c r="R25" s="12" t="str">
        <x:f>IF(A25="","",IF(COUNTIF($A$6:$A$205,A25)&gt;1,"记录ID重复",IF(AND(O25="已验证关闭",OR(P25="",Q25="")),"关闭须有复核或重跑证据","格式已填；仍须人工复核")))</x:f>
      </x:c>
    </x:row>
    <x:row r="26" ht="44" customHeight="1">
      <x:c r="A26" s="9"/>
      <x:c r="B26" s="9"/>
      <x:c r="C26" s="9"/>
      <x:c r="D26" s="9"/>
      <x:c r="E26" s="9"/>
      <x:c r="F26" s="9"/>
      <x:c r="G26" s="9"/>
      <x:c r="H26" s="9"/>
      <x:c r="I26" s="9"/>
      <x:c r="J26" s="9"/>
      <x:c r="K26" s="9"/>
      <x:c r="L26" s="9"/>
      <x:c r="M26" s="9"/>
      <x:c r="N26" s="9"/>
      <x:c r="O26" s="9"/>
      <x:c r="P26" s="9"/>
      <x:c r="Q26" s="9"/>
      <x:c r="R26" s="12" t="str">
        <x:f>IF(A26="","",IF(COUNTIF($A$6:$A$205,A26)&gt;1,"记录ID重复",IF(AND(O26="已验证关闭",OR(P26="",Q26="")),"关闭须有复核或重跑证据","格式已填；仍须人工复核")))</x:f>
      </x:c>
    </x:row>
    <x:row r="27" ht="44" customHeight="1">
      <x:c r="A27" s="9"/>
      <x:c r="B27" s="9"/>
      <x:c r="C27" s="9"/>
      <x:c r="D27" s="9"/>
      <x:c r="E27" s="9"/>
      <x:c r="F27" s="9"/>
      <x:c r="G27" s="9"/>
      <x:c r="H27" s="9"/>
      <x:c r="I27" s="9"/>
      <x:c r="J27" s="9"/>
      <x:c r="K27" s="9"/>
      <x:c r="L27" s="9"/>
      <x:c r="M27" s="9"/>
      <x:c r="N27" s="9"/>
      <x:c r="O27" s="9"/>
      <x:c r="P27" s="9"/>
      <x:c r="Q27" s="9"/>
      <x:c r="R27" s="12" t="str">
        <x:f>IF(A27="","",IF(COUNTIF($A$6:$A$205,A27)&gt;1,"记录ID重复",IF(AND(O27="已验证关闭",OR(P27="",Q27="")),"关闭须有复核或重跑证据","格式已填；仍须人工复核")))</x:f>
      </x:c>
    </x:row>
    <x:row r="28" ht="44" customHeight="1">
      <x:c r="A28" s="9"/>
      <x:c r="B28" s="9"/>
      <x:c r="C28" s="9"/>
      <x:c r="D28" s="9"/>
      <x:c r="E28" s="9"/>
      <x:c r="F28" s="9"/>
      <x:c r="G28" s="9"/>
      <x:c r="H28" s="9"/>
      <x:c r="I28" s="9"/>
      <x:c r="J28" s="9"/>
      <x:c r="K28" s="9"/>
      <x:c r="L28" s="9"/>
      <x:c r="M28" s="9"/>
      <x:c r="N28" s="9"/>
      <x:c r="O28" s="9"/>
      <x:c r="P28" s="9"/>
      <x:c r="Q28" s="9"/>
      <x:c r="R28" s="12" t="str">
        <x:f>IF(A28="","",IF(COUNTIF($A$6:$A$205,A28)&gt;1,"记录ID重复",IF(AND(O28="已验证关闭",OR(P28="",Q28="")),"关闭须有复核或重跑证据","格式已填；仍须人工复核")))</x:f>
      </x:c>
    </x:row>
    <x:row r="29" ht="44" customHeight="1">
      <x:c r="A29" s="9"/>
      <x:c r="B29" s="9"/>
      <x:c r="C29" s="9"/>
      <x:c r="D29" s="9"/>
      <x:c r="E29" s="9"/>
      <x:c r="F29" s="9"/>
      <x:c r="G29" s="9"/>
      <x:c r="H29" s="9"/>
      <x:c r="I29" s="9"/>
      <x:c r="J29" s="9"/>
      <x:c r="K29" s="9"/>
      <x:c r="L29" s="9"/>
      <x:c r="M29" s="9"/>
      <x:c r="N29" s="9"/>
      <x:c r="O29" s="9"/>
      <x:c r="P29" s="9"/>
      <x:c r="Q29" s="9"/>
      <x:c r="R29" s="12" t="str">
        <x:f>IF(A29="","",IF(COUNTIF($A$6:$A$205,A29)&gt;1,"记录ID重复",IF(AND(O29="已验证关闭",OR(P29="",Q29="")),"关闭须有复核或重跑证据","格式已填；仍须人工复核")))</x:f>
      </x:c>
    </x:row>
    <x:row r="30" ht="44" customHeight="1">
      <x:c r="A30" s="9"/>
      <x:c r="B30" s="9"/>
      <x:c r="C30" s="9"/>
      <x:c r="D30" s="9"/>
      <x:c r="E30" s="9"/>
      <x:c r="F30" s="9"/>
      <x:c r="G30" s="9"/>
      <x:c r="H30" s="9"/>
      <x:c r="I30" s="9"/>
      <x:c r="J30" s="9"/>
      <x:c r="K30" s="9"/>
      <x:c r="L30" s="9"/>
      <x:c r="M30" s="9"/>
      <x:c r="N30" s="9"/>
      <x:c r="O30" s="9"/>
      <x:c r="P30" s="9"/>
      <x:c r="Q30" s="9"/>
      <x:c r="R30" s="12" t="str">
        <x:f>IF(A30="","",IF(COUNTIF($A$6:$A$205,A30)&gt;1,"记录ID重复",IF(AND(O30="已验证关闭",OR(P30="",Q30="")),"关闭须有复核或重跑证据","格式已填；仍须人工复核")))</x:f>
      </x:c>
    </x:row>
    <x:row r="31" ht="44" customHeight="1">
      <x:c r="A31" s="9"/>
      <x:c r="B31" s="9"/>
      <x:c r="C31" s="9"/>
      <x:c r="D31" s="9"/>
      <x:c r="E31" s="9"/>
      <x:c r="F31" s="9"/>
      <x:c r="G31" s="9"/>
      <x:c r="H31" s="9"/>
      <x:c r="I31" s="9"/>
      <x:c r="J31" s="9"/>
      <x:c r="K31" s="9"/>
      <x:c r="L31" s="9"/>
      <x:c r="M31" s="9"/>
      <x:c r="N31" s="9"/>
      <x:c r="O31" s="9"/>
      <x:c r="P31" s="9"/>
      <x:c r="Q31" s="9"/>
      <x:c r="R31" s="12" t="str">
        <x:f>IF(A31="","",IF(COUNTIF($A$6:$A$205,A31)&gt;1,"记录ID重复",IF(AND(O31="已验证关闭",OR(P31="",Q31="")),"关闭须有复核或重跑证据","格式已填；仍须人工复核")))</x:f>
      </x:c>
    </x:row>
    <x:row r="32" ht="44" customHeight="1">
      <x:c r="A32" s="9"/>
      <x:c r="B32" s="9"/>
      <x:c r="C32" s="9"/>
      <x:c r="D32" s="9"/>
      <x:c r="E32" s="9"/>
      <x:c r="F32" s="9"/>
      <x:c r="G32" s="9"/>
      <x:c r="H32" s="9"/>
      <x:c r="I32" s="9"/>
      <x:c r="J32" s="9"/>
      <x:c r="K32" s="9"/>
      <x:c r="L32" s="9"/>
      <x:c r="M32" s="9"/>
      <x:c r="N32" s="9"/>
      <x:c r="O32" s="9"/>
      <x:c r="P32" s="9"/>
      <x:c r="Q32" s="9"/>
      <x:c r="R32" s="12" t="str">
        <x:f>IF(A32="","",IF(COUNTIF($A$6:$A$205,A32)&gt;1,"记录ID重复",IF(AND(O32="已验证关闭",OR(P32="",Q32="")),"关闭须有复核或重跑证据","格式已填；仍须人工复核")))</x:f>
      </x:c>
    </x:row>
    <x:row r="33" ht="44" customHeight="1">
      <x:c r="A33" s="9"/>
      <x:c r="B33" s="9"/>
      <x:c r="C33" s="9"/>
      <x:c r="D33" s="9"/>
      <x:c r="E33" s="9"/>
      <x:c r="F33" s="9"/>
      <x:c r="G33" s="9"/>
      <x:c r="H33" s="9"/>
      <x:c r="I33" s="9"/>
      <x:c r="J33" s="9"/>
      <x:c r="K33" s="9"/>
      <x:c r="L33" s="9"/>
      <x:c r="M33" s="9"/>
      <x:c r="N33" s="9"/>
      <x:c r="O33" s="9"/>
      <x:c r="P33" s="9"/>
      <x:c r="Q33" s="9"/>
      <x:c r="R33" s="12" t="str">
        <x:f>IF(A33="","",IF(COUNTIF($A$6:$A$205,A33)&gt;1,"记录ID重复",IF(AND(O33="已验证关闭",OR(P33="",Q33="")),"关闭须有复核或重跑证据","格式已填；仍须人工复核")))</x:f>
      </x:c>
    </x:row>
    <x:row r="34" ht="44" customHeight="1">
      <x:c r="A34" s="9"/>
      <x:c r="B34" s="9"/>
      <x:c r="C34" s="9"/>
      <x:c r="D34" s="9"/>
      <x:c r="E34" s="9"/>
      <x:c r="F34" s="9"/>
      <x:c r="G34" s="9"/>
      <x:c r="H34" s="9"/>
      <x:c r="I34" s="9"/>
      <x:c r="J34" s="9"/>
      <x:c r="K34" s="9"/>
      <x:c r="L34" s="9"/>
      <x:c r="M34" s="9"/>
      <x:c r="N34" s="9"/>
      <x:c r="O34" s="9"/>
      <x:c r="P34" s="9"/>
      <x:c r="Q34" s="9"/>
      <x:c r="R34" s="12" t="str">
        <x:f>IF(A34="","",IF(COUNTIF($A$6:$A$205,A34)&gt;1,"记录ID重复",IF(AND(O34="已验证关闭",OR(P34="",Q34="")),"关闭须有复核或重跑证据","格式已填；仍须人工复核")))</x:f>
      </x:c>
    </x:row>
    <x:row r="35" ht="44" customHeight="1">
      <x:c r="A35" s="9"/>
      <x:c r="B35" s="9"/>
      <x:c r="C35" s="9"/>
      <x:c r="D35" s="9"/>
      <x:c r="E35" s="9"/>
      <x:c r="F35" s="9"/>
      <x:c r="G35" s="9"/>
      <x:c r="H35" s="9"/>
      <x:c r="I35" s="9"/>
      <x:c r="J35" s="9"/>
      <x:c r="K35" s="9"/>
      <x:c r="L35" s="9"/>
      <x:c r="M35" s="9"/>
      <x:c r="N35" s="9"/>
      <x:c r="O35" s="9"/>
      <x:c r="P35" s="9"/>
      <x:c r="Q35" s="9"/>
      <x:c r="R35" s="12" t="str">
        <x:f>IF(A35="","",IF(COUNTIF($A$6:$A$205,A35)&gt;1,"记录ID重复",IF(AND(O35="已验证关闭",OR(P35="",Q35="")),"关闭须有复核或重跑证据","格式已填；仍须人工复核")))</x:f>
      </x:c>
    </x:row>
    <x:row r="36" ht="44" customHeight="1">
      <x:c r="A36" s="9"/>
      <x:c r="B36" s="9"/>
      <x:c r="C36" s="9"/>
      <x:c r="D36" s="9"/>
      <x:c r="E36" s="9"/>
      <x:c r="F36" s="9"/>
      <x:c r="G36" s="9"/>
      <x:c r="H36" s="9"/>
      <x:c r="I36" s="9"/>
      <x:c r="J36" s="9"/>
      <x:c r="K36" s="9"/>
      <x:c r="L36" s="9"/>
      <x:c r="M36" s="9"/>
      <x:c r="N36" s="9"/>
      <x:c r="O36" s="9"/>
      <x:c r="P36" s="9"/>
      <x:c r="Q36" s="9"/>
      <x:c r="R36" s="12" t="str">
        <x:f>IF(A36="","",IF(COUNTIF($A$6:$A$205,A36)&gt;1,"记录ID重复",IF(AND(O36="已验证关闭",OR(P36="",Q36="")),"关闭须有复核或重跑证据","格式已填；仍须人工复核")))</x:f>
      </x:c>
    </x:row>
    <x:row r="37" ht="44" customHeight="1">
      <x:c r="A37" s="9"/>
      <x:c r="B37" s="9"/>
      <x:c r="C37" s="9"/>
      <x:c r="D37" s="9"/>
      <x:c r="E37" s="9"/>
      <x:c r="F37" s="9"/>
      <x:c r="G37" s="9"/>
      <x:c r="H37" s="9"/>
      <x:c r="I37" s="9"/>
      <x:c r="J37" s="9"/>
      <x:c r="K37" s="9"/>
      <x:c r="L37" s="9"/>
      <x:c r="M37" s="9"/>
      <x:c r="N37" s="9"/>
      <x:c r="O37" s="9"/>
      <x:c r="P37" s="9"/>
      <x:c r="Q37" s="9"/>
      <x:c r="R37" s="12" t="str">
        <x:f>IF(A37="","",IF(COUNTIF($A$6:$A$205,A37)&gt;1,"记录ID重复",IF(AND(O37="已验证关闭",OR(P37="",Q37="")),"关闭须有复核或重跑证据","格式已填；仍须人工复核")))</x:f>
      </x:c>
    </x:row>
    <x:row r="38" ht="44" customHeight="1">
      <x:c r="A38" s="9"/>
      <x:c r="B38" s="9"/>
      <x:c r="C38" s="9"/>
      <x:c r="D38" s="9"/>
      <x:c r="E38" s="9"/>
      <x:c r="F38" s="9"/>
      <x:c r="G38" s="9"/>
      <x:c r="H38" s="9"/>
      <x:c r="I38" s="9"/>
      <x:c r="J38" s="9"/>
      <x:c r="K38" s="9"/>
      <x:c r="L38" s="9"/>
      <x:c r="M38" s="9"/>
      <x:c r="N38" s="9"/>
      <x:c r="O38" s="9"/>
      <x:c r="P38" s="9"/>
      <x:c r="Q38" s="9"/>
      <x:c r="R38" s="12" t="str">
        <x:f>IF(A38="","",IF(COUNTIF($A$6:$A$205,A38)&gt;1,"记录ID重复",IF(AND(O38="已验证关闭",OR(P38="",Q38="")),"关闭须有复核或重跑证据","格式已填；仍须人工复核")))</x:f>
      </x:c>
    </x:row>
    <x:row r="39" ht="44" customHeight="1">
      <x:c r="A39" s="9"/>
      <x:c r="B39" s="9"/>
      <x:c r="C39" s="9"/>
      <x:c r="D39" s="9"/>
      <x:c r="E39" s="9"/>
      <x:c r="F39" s="9"/>
      <x:c r="G39" s="9"/>
      <x:c r="H39" s="9"/>
      <x:c r="I39" s="9"/>
      <x:c r="J39" s="9"/>
      <x:c r="K39" s="9"/>
      <x:c r="L39" s="9"/>
      <x:c r="M39" s="9"/>
      <x:c r="N39" s="9"/>
      <x:c r="O39" s="9"/>
      <x:c r="P39" s="9"/>
      <x:c r="Q39" s="9"/>
      <x:c r="R39" s="12" t="str">
        <x:f>IF(A39="","",IF(COUNTIF($A$6:$A$205,A39)&gt;1,"记录ID重复",IF(AND(O39="已验证关闭",OR(P39="",Q39="")),"关闭须有复核或重跑证据","格式已填；仍须人工复核")))</x:f>
      </x:c>
    </x:row>
    <x:row r="40" ht="44" customHeight="1">
      <x:c r="A40" s="9"/>
      <x:c r="B40" s="9"/>
      <x:c r="C40" s="9"/>
      <x:c r="D40" s="9"/>
      <x:c r="E40" s="9"/>
      <x:c r="F40" s="9"/>
      <x:c r="G40" s="9"/>
      <x:c r="H40" s="9"/>
      <x:c r="I40" s="9"/>
      <x:c r="J40" s="9"/>
      <x:c r="K40" s="9"/>
      <x:c r="L40" s="9"/>
      <x:c r="M40" s="9"/>
      <x:c r="N40" s="9"/>
      <x:c r="O40" s="9"/>
      <x:c r="P40" s="9"/>
      <x:c r="Q40" s="9"/>
      <x:c r="R40" s="12" t="str">
        <x:f>IF(A40="","",IF(COUNTIF($A$6:$A$205,A40)&gt;1,"记录ID重复",IF(AND(O40="已验证关闭",OR(P40="",Q40="")),"关闭须有复核或重跑证据","格式已填；仍须人工复核")))</x:f>
      </x:c>
    </x:row>
    <x:row r="41" ht="44" customHeight="1">
      <x:c r="A41" s="9"/>
      <x:c r="B41" s="9"/>
      <x:c r="C41" s="9"/>
      <x:c r="D41" s="9"/>
      <x:c r="E41" s="9"/>
      <x:c r="F41" s="9"/>
      <x:c r="G41" s="9"/>
      <x:c r="H41" s="9"/>
      <x:c r="I41" s="9"/>
      <x:c r="J41" s="9"/>
      <x:c r="K41" s="9"/>
      <x:c r="L41" s="9"/>
      <x:c r="M41" s="9"/>
      <x:c r="N41" s="9"/>
      <x:c r="O41" s="9"/>
      <x:c r="P41" s="9"/>
      <x:c r="Q41" s="9"/>
      <x:c r="R41" s="12" t="str">
        <x:f>IF(A41="","",IF(COUNTIF($A$6:$A$205,A41)&gt;1,"记录ID重复",IF(AND(O41="已验证关闭",OR(P41="",Q41="")),"关闭须有复核或重跑证据","格式已填；仍须人工复核")))</x:f>
      </x:c>
    </x:row>
    <x:row r="42" ht="44" customHeight="1">
      <x:c r="A42" s="9"/>
      <x:c r="B42" s="9"/>
      <x:c r="C42" s="9"/>
      <x:c r="D42" s="9"/>
      <x:c r="E42" s="9"/>
      <x:c r="F42" s="9"/>
      <x:c r="G42" s="9"/>
      <x:c r="H42" s="9"/>
      <x:c r="I42" s="9"/>
      <x:c r="J42" s="9"/>
      <x:c r="K42" s="9"/>
      <x:c r="L42" s="9"/>
      <x:c r="M42" s="9"/>
      <x:c r="N42" s="9"/>
      <x:c r="O42" s="9"/>
      <x:c r="P42" s="9"/>
      <x:c r="Q42" s="9"/>
      <x:c r="R42" s="12" t="str">
        <x:f>IF(A42="","",IF(COUNTIF($A$6:$A$205,A42)&gt;1,"记录ID重复",IF(AND(O42="已验证关闭",OR(P42="",Q42="")),"关闭须有复核或重跑证据","格式已填；仍须人工复核")))</x:f>
      </x:c>
    </x:row>
    <x:row r="43" ht="44" customHeight="1">
      <x:c r="A43" s="9"/>
      <x:c r="B43" s="9"/>
      <x:c r="C43" s="9"/>
      <x:c r="D43" s="9"/>
      <x:c r="E43" s="9"/>
      <x:c r="F43" s="9"/>
      <x:c r="G43" s="9"/>
      <x:c r="H43" s="9"/>
      <x:c r="I43" s="9"/>
      <x:c r="J43" s="9"/>
      <x:c r="K43" s="9"/>
      <x:c r="L43" s="9"/>
      <x:c r="M43" s="9"/>
      <x:c r="N43" s="9"/>
      <x:c r="O43" s="9"/>
      <x:c r="P43" s="9"/>
      <x:c r="Q43" s="9"/>
      <x:c r="R43" s="12" t="str">
        <x:f>IF(A43="","",IF(COUNTIF($A$6:$A$205,A43)&gt;1,"记录ID重复",IF(AND(O43="已验证关闭",OR(P43="",Q43="")),"关闭须有复核或重跑证据","格式已填；仍须人工复核")))</x:f>
      </x:c>
    </x:row>
    <x:row r="44" ht="44" customHeight="1">
      <x:c r="A44" s="9"/>
      <x:c r="B44" s="9"/>
      <x:c r="C44" s="9"/>
      <x:c r="D44" s="9"/>
      <x:c r="E44" s="9"/>
      <x:c r="F44" s="9"/>
      <x:c r="G44" s="9"/>
      <x:c r="H44" s="9"/>
      <x:c r="I44" s="9"/>
      <x:c r="J44" s="9"/>
      <x:c r="K44" s="9"/>
      <x:c r="L44" s="9"/>
      <x:c r="M44" s="9"/>
      <x:c r="N44" s="9"/>
      <x:c r="O44" s="9"/>
      <x:c r="P44" s="9"/>
      <x:c r="Q44" s="9"/>
      <x:c r="R44" s="12" t="str">
        <x:f>IF(A44="","",IF(COUNTIF($A$6:$A$205,A44)&gt;1,"记录ID重复",IF(AND(O44="已验证关闭",OR(P44="",Q44="")),"关闭须有复核或重跑证据","格式已填；仍须人工复核")))</x:f>
      </x:c>
    </x:row>
    <x:row r="45" ht="44" customHeight="1">
      <x:c r="A45" s="9"/>
      <x:c r="B45" s="9"/>
      <x:c r="C45" s="9"/>
      <x:c r="D45" s="9"/>
      <x:c r="E45" s="9"/>
      <x:c r="F45" s="9"/>
      <x:c r="G45" s="9"/>
      <x:c r="H45" s="9"/>
      <x:c r="I45" s="9"/>
      <x:c r="J45" s="9"/>
      <x:c r="K45" s="9"/>
      <x:c r="L45" s="9"/>
      <x:c r="M45" s="9"/>
      <x:c r="N45" s="9"/>
      <x:c r="O45" s="9"/>
      <x:c r="P45" s="9"/>
      <x:c r="Q45" s="9"/>
      <x:c r="R45" s="12" t="str">
        <x:f>IF(A45="","",IF(COUNTIF($A$6:$A$205,A45)&gt;1,"记录ID重复",IF(AND(O45="已验证关闭",OR(P45="",Q45="")),"关闭须有复核或重跑证据","格式已填；仍须人工复核")))</x:f>
      </x:c>
    </x:row>
    <x:row r="46" ht="44" customHeight="1">
      <x:c r="A46" s="9"/>
      <x:c r="B46" s="9"/>
      <x:c r="C46" s="9"/>
      <x:c r="D46" s="9"/>
      <x:c r="E46" s="9"/>
      <x:c r="F46" s="9"/>
      <x:c r="G46" s="9"/>
      <x:c r="H46" s="9"/>
      <x:c r="I46" s="9"/>
      <x:c r="J46" s="9"/>
      <x:c r="K46" s="9"/>
      <x:c r="L46" s="9"/>
      <x:c r="M46" s="9"/>
      <x:c r="N46" s="9"/>
      <x:c r="O46" s="9"/>
      <x:c r="P46" s="9"/>
      <x:c r="Q46" s="9"/>
      <x:c r="R46" s="12" t="str">
        <x:f>IF(A46="","",IF(COUNTIF($A$6:$A$205,A46)&gt;1,"记录ID重复",IF(AND(O46="已验证关闭",OR(P46="",Q46="")),"关闭须有复核或重跑证据","格式已填；仍须人工复核")))</x:f>
      </x:c>
    </x:row>
    <x:row r="47" ht="44" customHeight="1">
      <x:c r="A47" s="9"/>
      <x:c r="B47" s="9"/>
      <x:c r="C47" s="9"/>
      <x:c r="D47" s="9"/>
      <x:c r="E47" s="9"/>
      <x:c r="F47" s="9"/>
      <x:c r="G47" s="9"/>
      <x:c r="H47" s="9"/>
      <x:c r="I47" s="9"/>
      <x:c r="J47" s="9"/>
      <x:c r="K47" s="9"/>
      <x:c r="L47" s="9"/>
      <x:c r="M47" s="9"/>
      <x:c r="N47" s="9"/>
      <x:c r="O47" s="9"/>
      <x:c r="P47" s="9"/>
      <x:c r="Q47" s="9"/>
      <x:c r="R47" s="12" t="str">
        <x:f>IF(A47="","",IF(COUNTIF($A$6:$A$205,A47)&gt;1,"记录ID重复",IF(AND(O47="已验证关闭",OR(P47="",Q47="")),"关闭须有复核或重跑证据","格式已填；仍须人工复核")))</x:f>
      </x:c>
    </x:row>
    <x:row r="48" ht="44" customHeight="1">
      <x:c r="A48" s="9"/>
      <x:c r="B48" s="9"/>
      <x:c r="C48" s="9"/>
      <x:c r="D48" s="9"/>
      <x:c r="E48" s="9"/>
      <x:c r="F48" s="9"/>
      <x:c r="G48" s="9"/>
      <x:c r="H48" s="9"/>
      <x:c r="I48" s="9"/>
      <x:c r="J48" s="9"/>
      <x:c r="K48" s="9"/>
      <x:c r="L48" s="9"/>
      <x:c r="M48" s="9"/>
      <x:c r="N48" s="9"/>
      <x:c r="O48" s="9"/>
      <x:c r="P48" s="9"/>
      <x:c r="Q48" s="9"/>
      <x:c r="R48" s="12" t="str">
        <x:f>IF(A48="","",IF(COUNTIF($A$6:$A$205,A48)&gt;1,"记录ID重复",IF(AND(O48="已验证关闭",OR(P48="",Q48="")),"关闭须有复核或重跑证据","格式已填；仍须人工复核")))</x:f>
      </x:c>
    </x:row>
    <x:row r="49" ht="44" customHeight="1">
      <x:c r="A49" s="9"/>
      <x:c r="B49" s="9"/>
      <x:c r="C49" s="9"/>
      <x:c r="D49" s="9"/>
      <x:c r="E49" s="9"/>
      <x:c r="F49" s="9"/>
      <x:c r="G49" s="9"/>
      <x:c r="H49" s="9"/>
      <x:c r="I49" s="9"/>
      <x:c r="J49" s="9"/>
      <x:c r="K49" s="9"/>
      <x:c r="L49" s="9"/>
      <x:c r="M49" s="9"/>
      <x:c r="N49" s="9"/>
      <x:c r="O49" s="9"/>
      <x:c r="P49" s="9"/>
      <x:c r="Q49" s="9"/>
      <x:c r="R49" s="12" t="str">
        <x:f>IF(A49="","",IF(COUNTIF($A$6:$A$205,A49)&gt;1,"记录ID重复",IF(AND(O49="已验证关闭",OR(P49="",Q49="")),"关闭须有复核或重跑证据","格式已填；仍须人工复核")))</x:f>
      </x:c>
    </x:row>
    <x:row r="50" ht="44" customHeight="1">
      <x:c r="A50" s="9"/>
      <x:c r="B50" s="9"/>
      <x:c r="C50" s="9"/>
      <x:c r="D50" s="9"/>
      <x:c r="E50" s="9"/>
      <x:c r="F50" s="9"/>
      <x:c r="G50" s="9"/>
      <x:c r="H50" s="9"/>
      <x:c r="I50" s="9"/>
      <x:c r="J50" s="9"/>
      <x:c r="K50" s="9"/>
      <x:c r="L50" s="9"/>
      <x:c r="M50" s="9"/>
      <x:c r="N50" s="9"/>
      <x:c r="O50" s="9"/>
      <x:c r="P50" s="9"/>
      <x:c r="Q50" s="9"/>
      <x:c r="R50" s="12" t="str">
        <x:f>IF(A50="","",IF(COUNTIF($A$6:$A$205,A50)&gt;1,"记录ID重复",IF(AND(O50="已验证关闭",OR(P50="",Q50="")),"关闭须有复核或重跑证据","格式已填；仍须人工复核")))</x:f>
      </x:c>
    </x:row>
    <x:row r="51" ht="44" customHeight="1">
      <x:c r="A51" s="9"/>
      <x:c r="B51" s="9"/>
      <x:c r="C51" s="9"/>
      <x:c r="D51" s="9"/>
      <x:c r="E51" s="9"/>
      <x:c r="F51" s="9"/>
      <x:c r="G51" s="9"/>
      <x:c r="H51" s="9"/>
      <x:c r="I51" s="9"/>
      <x:c r="J51" s="9"/>
      <x:c r="K51" s="9"/>
      <x:c r="L51" s="9"/>
      <x:c r="M51" s="9"/>
      <x:c r="N51" s="9"/>
      <x:c r="O51" s="9"/>
      <x:c r="P51" s="9"/>
      <x:c r="Q51" s="9"/>
      <x:c r="R51" s="12" t="str">
        <x:f>IF(A51="","",IF(COUNTIF($A$6:$A$205,A51)&gt;1,"记录ID重复",IF(AND(O51="已验证关闭",OR(P51="",Q51="")),"关闭须有复核或重跑证据","格式已填；仍须人工复核")))</x:f>
      </x:c>
    </x:row>
    <x:row r="52" ht="44" customHeight="1">
      <x:c r="A52" s="9"/>
      <x:c r="B52" s="9"/>
      <x:c r="C52" s="9"/>
      <x:c r="D52" s="9"/>
      <x:c r="E52" s="9"/>
      <x:c r="F52" s="9"/>
      <x:c r="G52" s="9"/>
      <x:c r="H52" s="9"/>
      <x:c r="I52" s="9"/>
      <x:c r="J52" s="9"/>
      <x:c r="K52" s="9"/>
      <x:c r="L52" s="9"/>
      <x:c r="M52" s="9"/>
      <x:c r="N52" s="9"/>
      <x:c r="O52" s="9"/>
      <x:c r="P52" s="9"/>
      <x:c r="Q52" s="9"/>
      <x:c r="R52" s="12" t="str">
        <x:f>IF(A52="","",IF(COUNTIF($A$6:$A$205,A52)&gt;1,"记录ID重复",IF(AND(O52="已验证关闭",OR(P52="",Q52="")),"关闭须有复核或重跑证据","格式已填；仍须人工复核")))</x:f>
      </x:c>
    </x:row>
    <x:row r="53" ht="44" customHeight="1">
      <x:c r="A53" s="9"/>
      <x:c r="B53" s="9"/>
      <x:c r="C53" s="9"/>
      <x:c r="D53" s="9"/>
      <x:c r="E53" s="9"/>
      <x:c r="F53" s="9"/>
      <x:c r="G53" s="9"/>
      <x:c r="H53" s="9"/>
      <x:c r="I53" s="9"/>
      <x:c r="J53" s="9"/>
      <x:c r="K53" s="9"/>
      <x:c r="L53" s="9"/>
      <x:c r="M53" s="9"/>
      <x:c r="N53" s="9"/>
      <x:c r="O53" s="9"/>
      <x:c r="P53" s="9"/>
      <x:c r="Q53" s="9"/>
      <x:c r="R53" s="12" t="str">
        <x:f>IF(A53="","",IF(COUNTIF($A$6:$A$205,A53)&gt;1,"记录ID重复",IF(AND(O53="已验证关闭",OR(P53="",Q53="")),"关闭须有复核或重跑证据","格式已填；仍须人工复核")))</x:f>
      </x:c>
    </x:row>
    <x:row r="54" ht="44" customHeight="1">
      <x:c r="A54" s="9"/>
      <x:c r="B54" s="9"/>
      <x:c r="C54" s="9"/>
      <x:c r="D54" s="9"/>
      <x:c r="E54" s="9"/>
      <x:c r="F54" s="9"/>
      <x:c r="G54" s="9"/>
      <x:c r="H54" s="9"/>
      <x:c r="I54" s="9"/>
      <x:c r="J54" s="9"/>
      <x:c r="K54" s="9"/>
      <x:c r="L54" s="9"/>
      <x:c r="M54" s="9"/>
      <x:c r="N54" s="9"/>
      <x:c r="O54" s="9"/>
      <x:c r="P54" s="9"/>
      <x:c r="Q54" s="9"/>
      <x:c r="R54" s="12" t="str">
        <x:f>IF(A54="","",IF(COUNTIF($A$6:$A$205,A54)&gt;1,"记录ID重复",IF(AND(O54="已验证关闭",OR(P54="",Q54="")),"关闭须有复核或重跑证据","格式已填；仍须人工复核")))</x:f>
      </x:c>
    </x:row>
    <x:row r="55" ht="44" customHeight="1">
      <x:c r="A55" s="9"/>
      <x:c r="B55" s="9"/>
      <x:c r="C55" s="9"/>
      <x:c r="D55" s="9"/>
      <x:c r="E55" s="9"/>
      <x:c r="F55" s="9"/>
      <x:c r="G55" s="9"/>
      <x:c r="H55" s="9"/>
      <x:c r="I55" s="9"/>
      <x:c r="J55" s="9"/>
      <x:c r="K55" s="9"/>
      <x:c r="L55" s="9"/>
      <x:c r="M55" s="9"/>
      <x:c r="N55" s="9"/>
      <x:c r="O55" s="9"/>
      <x:c r="P55" s="9"/>
      <x:c r="Q55" s="9"/>
      <x:c r="R55" s="12" t="str">
        <x:f>IF(A55="","",IF(COUNTIF($A$6:$A$205,A55)&gt;1,"记录ID重复",IF(AND(O55="已验证关闭",OR(P55="",Q55="")),"关闭须有复核或重跑证据","格式已填；仍须人工复核")))</x:f>
      </x:c>
    </x:row>
    <x:row r="56" ht="44" customHeight="1">
      <x:c r="A56" s="9"/>
      <x:c r="B56" s="9"/>
      <x:c r="C56" s="9"/>
      <x:c r="D56" s="9"/>
      <x:c r="E56" s="9"/>
      <x:c r="F56" s="9"/>
      <x:c r="G56" s="9"/>
      <x:c r="H56" s="9"/>
      <x:c r="I56" s="9"/>
      <x:c r="J56" s="9"/>
      <x:c r="K56" s="9"/>
      <x:c r="L56" s="9"/>
      <x:c r="M56" s="9"/>
      <x:c r="N56" s="9"/>
      <x:c r="O56" s="9"/>
      <x:c r="P56" s="9"/>
      <x:c r="Q56" s="9"/>
      <x:c r="R56" s="12" t="str">
        <x:f>IF(A56="","",IF(COUNTIF($A$6:$A$205,A56)&gt;1,"记录ID重复",IF(AND(O56="已验证关闭",OR(P56="",Q56="")),"关闭须有复核或重跑证据","格式已填；仍须人工复核")))</x:f>
      </x:c>
    </x:row>
    <x:row r="57" ht="44" customHeight="1">
      <x:c r="A57" s="9"/>
      <x:c r="B57" s="9"/>
      <x:c r="C57" s="9"/>
      <x:c r="D57" s="9"/>
      <x:c r="E57" s="9"/>
      <x:c r="F57" s="9"/>
      <x:c r="G57" s="9"/>
      <x:c r="H57" s="9"/>
      <x:c r="I57" s="9"/>
      <x:c r="J57" s="9"/>
      <x:c r="K57" s="9"/>
      <x:c r="L57" s="9"/>
      <x:c r="M57" s="9"/>
      <x:c r="N57" s="9"/>
      <x:c r="O57" s="9"/>
      <x:c r="P57" s="9"/>
      <x:c r="Q57" s="9"/>
      <x:c r="R57" s="12" t="str">
        <x:f>IF(A57="","",IF(COUNTIF($A$6:$A$205,A57)&gt;1,"记录ID重复",IF(AND(O57="已验证关闭",OR(P57="",Q57="")),"关闭须有复核或重跑证据","格式已填；仍须人工复核")))</x:f>
      </x:c>
    </x:row>
    <x:row r="58" ht="44" customHeight="1">
      <x:c r="A58" s="9"/>
      <x:c r="B58" s="9"/>
      <x:c r="C58" s="9"/>
      <x:c r="D58" s="9"/>
      <x:c r="E58" s="9"/>
      <x:c r="F58" s="9"/>
      <x:c r="G58" s="9"/>
      <x:c r="H58" s="9"/>
      <x:c r="I58" s="9"/>
      <x:c r="J58" s="9"/>
      <x:c r="K58" s="9"/>
      <x:c r="L58" s="9"/>
      <x:c r="M58" s="9"/>
      <x:c r="N58" s="9"/>
      <x:c r="O58" s="9"/>
      <x:c r="P58" s="9"/>
      <x:c r="Q58" s="9"/>
      <x:c r="R58" s="12" t="str">
        <x:f>IF(A58="","",IF(COUNTIF($A$6:$A$205,A58)&gt;1,"记录ID重复",IF(AND(O58="已验证关闭",OR(P58="",Q58="")),"关闭须有复核或重跑证据","格式已填；仍须人工复核")))</x:f>
      </x:c>
    </x:row>
    <x:row r="59" ht="44" customHeight="1">
      <x:c r="A59" s="9"/>
      <x:c r="B59" s="9"/>
      <x:c r="C59" s="9"/>
      <x:c r="D59" s="9"/>
      <x:c r="E59" s="9"/>
      <x:c r="F59" s="9"/>
      <x:c r="G59" s="9"/>
      <x:c r="H59" s="9"/>
      <x:c r="I59" s="9"/>
      <x:c r="J59" s="9"/>
      <x:c r="K59" s="9"/>
      <x:c r="L59" s="9"/>
      <x:c r="M59" s="9"/>
      <x:c r="N59" s="9"/>
      <x:c r="O59" s="9"/>
      <x:c r="P59" s="9"/>
      <x:c r="Q59" s="9"/>
      <x:c r="R59" s="12" t="str">
        <x:f>IF(A59="","",IF(COUNTIF($A$6:$A$205,A59)&gt;1,"记录ID重复",IF(AND(O59="已验证关闭",OR(P59="",Q59="")),"关闭须有复核或重跑证据","格式已填；仍须人工复核")))</x:f>
      </x:c>
    </x:row>
    <x:row r="60" ht="44" customHeight="1">
      <x:c r="A60" s="9"/>
      <x:c r="B60" s="9"/>
      <x:c r="C60" s="9"/>
      <x:c r="D60" s="9"/>
      <x:c r="E60" s="9"/>
      <x:c r="F60" s="9"/>
      <x:c r="G60" s="9"/>
      <x:c r="H60" s="9"/>
      <x:c r="I60" s="9"/>
      <x:c r="J60" s="9"/>
      <x:c r="K60" s="9"/>
      <x:c r="L60" s="9"/>
      <x:c r="M60" s="9"/>
      <x:c r="N60" s="9"/>
      <x:c r="O60" s="9"/>
      <x:c r="P60" s="9"/>
      <x:c r="Q60" s="9"/>
      <x:c r="R60" s="12" t="str">
        <x:f>IF(A60="","",IF(COUNTIF($A$6:$A$205,A60)&gt;1,"记录ID重复",IF(AND(O60="已验证关闭",OR(P60="",Q60="")),"关闭须有复核或重跑证据","格式已填；仍须人工复核")))</x:f>
      </x:c>
    </x:row>
    <x:row r="61" ht="44" customHeight="1">
      <x:c r="A61" s="9"/>
      <x:c r="B61" s="9"/>
      <x:c r="C61" s="9"/>
      <x:c r="D61" s="9"/>
      <x:c r="E61" s="9"/>
      <x:c r="F61" s="9"/>
      <x:c r="G61" s="9"/>
      <x:c r="H61" s="9"/>
      <x:c r="I61" s="9"/>
      <x:c r="J61" s="9"/>
      <x:c r="K61" s="9"/>
      <x:c r="L61" s="9"/>
      <x:c r="M61" s="9"/>
      <x:c r="N61" s="9"/>
      <x:c r="O61" s="9"/>
      <x:c r="P61" s="9"/>
      <x:c r="Q61" s="9"/>
      <x:c r="R61" s="12" t="str">
        <x:f>IF(A61="","",IF(COUNTIF($A$6:$A$205,A61)&gt;1,"记录ID重复",IF(AND(O61="已验证关闭",OR(P61="",Q61="")),"关闭须有复核或重跑证据","格式已填；仍须人工复核")))</x:f>
      </x:c>
    </x:row>
    <x:row r="62" ht="44" customHeight="1">
      <x:c r="A62" s="9"/>
      <x:c r="B62" s="9"/>
      <x:c r="C62" s="9"/>
      <x:c r="D62" s="9"/>
      <x:c r="E62" s="9"/>
      <x:c r="F62" s="9"/>
      <x:c r="G62" s="9"/>
      <x:c r="H62" s="9"/>
      <x:c r="I62" s="9"/>
      <x:c r="J62" s="9"/>
      <x:c r="K62" s="9"/>
      <x:c r="L62" s="9"/>
      <x:c r="M62" s="9"/>
      <x:c r="N62" s="9"/>
      <x:c r="O62" s="9"/>
      <x:c r="P62" s="9"/>
      <x:c r="Q62" s="9"/>
      <x:c r="R62" s="12" t="str">
        <x:f>IF(A62="","",IF(COUNTIF($A$6:$A$205,A62)&gt;1,"记录ID重复",IF(AND(O62="已验证关闭",OR(P62="",Q62="")),"关闭须有复核或重跑证据","格式已填；仍须人工复核")))</x:f>
      </x:c>
    </x:row>
    <x:row r="63" ht="44" customHeight="1">
      <x:c r="A63" s="9"/>
      <x:c r="B63" s="9"/>
      <x:c r="C63" s="9"/>
      <x:c r="D63" s="9"/>
      <x:c r="E63" s="9"/>
      <x:c r="F63" s="9"/>
      <x:c r="G63" s="9"/>
      <x:c r="H63" s="9"/>
      <x:c r="I63" s="9"/>
      <x:c r="J63" s="9"/>
      <x:c r="K63" s="9"/>
      <x:c r="L63" s="9"/>
      <x:c r="M63" s="9"/>
      <x:c r="N63" s="9"/>
      <x:c r="O63" s="9"/>
      <x:c r="P63" s="9"/>
      <x:c r="Q63" s="9"/>
      <x:c r="R63" s="12" t="str">
        <x:f>IF(A63="","",IF(COUNTIF($A$6:$A$205,A63)&gt;1,"记录ID重复",IF(AND(O63="已验证关闭",OR(P63="",Q63="")),"关闭须有复核或重跑证据","格式已填；仍须人工复核")))</x:f>
      </x:c>
    </x:row>
    <x:row r="64" ht="44" customHeight="1">
      <x:c r="A64" s="9"/>
      <x:c r="B64" s="9"/>
      <x:c r="C64" s="9"/>
      <x:c r="D64" s="9"/>
      <x:c r="E64" s="9"/>
      <x:c r="F64" s="9"/>
      <x:c r="G64" s="9"/>
      <x:c r="H64" s="9"/>
      <x:c r="I64" s="9"/>
      <x:c r="J64" s="9"/>
      <x:c r="K64" s="9"/>
      <x:c r="L64" s="9"/>
      <x:c r="M64" s="9"/>
      <x:c r="N64" s="9"/>
      <x:c r="O64" s="9"/>
      <x:c r="P64" s="9"/>
      <x:c r="Q64" s="9"/>
      <x:c r="R64" s="12" t="str">
        <x:f>IF(A64="","",IF(COUNTIF($A$6:$A$205,A64)&gt;1,"记录ID重复",IF(AND(O64="已验证关闭",OR(P64="",Q64="")),"关闭须有复核或重跑证据","格式已填；仍须人工复核")))</x:f>
      </x:c>
    </x:row>
    <x:row r="65" ht="44" customHeight="1">
      <x:c r="A65" s="9"/>
      <x:c r="B65" s="9"/>
      <x:c r="C65" s="9"/>
      <x:c r="D65" s="9"/>
      <x:c r="E65" s="9"/>
      <x:c r="F65" s="9"/>
      <x:c r="G65" s="9"/>
      <x:c r="H65" s="9"/>
      <x:c r="I65" s="9"/>
      <x:c r="J65" s="9"/>
      <x:c r="K65" s="9"/>
      <x:c r="L65" s="9"/>
      <x:c r="M65" s="9"/>
      <x:c r="N65" s="9"/>
      <x:c r="O65" s="9"/>
      <x:c r="P65" s="9"/>
      <x:c r="Q65" s="9"/>
      <x:c r="R65" s="12" t="str">
        <x:f>IF(A65="","",IF(COUNTIF($A$6:$A$205,A65)&gt;1,"记录ID重复",IF(AND(O65="已验证关闭",OR(P65="",Q65="")),"关闭须有复核或重跑证据","格式已填；仍须人工复核")))</x:f>
      </x:c>
    </x:row>
    <x:row r="66" ht="44" customHeight="1">
      <x:c r="A66" s="9"/>
      <x:c r="B66" s="9"/>
      <x:c r="C66" s="9"/>
      <x:c r="D66" s="9"/>
      <x:c r="E66" s="9"/>
      <x:c r="F66" s="9"/>
      <x:c r="G66" s="9"/>
      <x:c r="H66" s="9"/>
      <x:c r="I66" s="9"/>
      <x:c r="J66" s="9"/>
      <x:c r="K66" s="9"/>
      <x:c r="L66" s="9"/>
      <x:c r="M66" s="9"/>
      <x:c r="N66" s="9"/>
      <x:c r="O66" s="9"/>
      <x:c r="P66" s="9"/>
      <x:c r="Q66" s="9"/>
      <x:c r="R66" s="12" t="str">
        <x:f>IF(A66="","",IF(COUNTIF($A$6:$A$205,A66)&gt;1,"记录ID重复",IF(AND(O66="已验证关闭",OR(P66="",Q66="")),"关闭须有复核或重跑证据","格式已填；仍须人工复核")))</x:f>
      </x:c>
    </x:row>
    <x:row r="67" ht="44" customHeight="1">
      <x:c r="A67" s="9"/>
      <x:c r="B67" s="9"/>
      <x:c r="C67" s="9"/>
      <x:c r="D67" s="9"/>
      <x:c r="E67" s="9"/>
      <x:c r="F67" s="9"/>
      <x:c r="G67" s="9"/>
      <x:c r="H67" s="9"/>
      <x:c r="I67" s="9"/>
      <x:c r="J67" s="9"/>
      <x:c r="K67" s="9"/>
      <x:c r="L67" s="9"/>
      <x:c r="M67" s="9"/>
      <x:c r="N67" s="9"/>
      <x:c r="O67" s="9"/>
      <x:c r="P67" s="9"/>
      <x:c r="Q67" s="9"/>
      <x:c r="R67" s="12" t="str">
        <x:f>IF(A67="","",IF(COUNTIF($A$6:$A$205,A67)&gt;1,"记录ID重复",IF(AND(O67="已验证关闭",OR(P67="",Q67="")),"关闭须有复核或重跑证据","格式已填；仍须人工复核")))</x:f>
      </x:c>
    </x:row>
    <x:row r="68" ht="44" customHeight="1">
      <x:c r="A68" s="9"/>
      <x:c r="B68" s="9"/>
      <x:c r="C68" s="9"/>
      <x:c r="D68" s="9"/>
      <x:c r="E68" s="9"/>
      <x:c r="F68" s="9"/>
      <x:c r="G68" s="9"/>
      <x:c r="H68" s="9"/>
      <x:c r="I68" s="9"/>
      <x:c r="J68" s="9"/>
      <x:c r="K68" s="9"/>
      <x:c r="L68" s="9"/>
      <x:c r="M68" s="9"/>
      <x:c r="N68" s="9"/>
      <x:c r="O68" s="9"/>
      <x:c r="P68" s="9"/>
      <x:c r="Q68" s="9"/>
      <x:c r="R68" s="12" t="str">
        <x:f>IF(A68="","",IF(COUNTIF($A$6:$A$205,A68)&gt;1,"记录ID重复",IF(AND(O68="已验证关闭",OR(P68="",Q68="")),"关闭须有复核或重跑证据","格式已填；仍须人工复核")))</x:f>
      </x:c>
    </x:row>
    <x:row r="69" ht="44" customHeight="1">
      <x:c r="A69" s="9"/>
      <x:c r="B69" s="9"/>
      <x:c r="C69" s="9"/>
      <x:c r="D69" s="9"/>
      <x:c r="E69" s="9"/>
      <x:c r="F69" s="9"/>
      <x:c r="G69" s="9"/>
      <x:c r="H69" s="9"/>
      <x:c r="I69" s="9"/>
      <x:c r="J69" s="9"/>
      <x:c r="K69" s="9"/>
      <x:c r="L69" s="9"/>
      <x:c r="M69" s="9"/>
      <x:c r="N69" s="9"/>
      <x:c r="O69" s="9"/>
      <x:c r="P69" s="9"/>
      <x:c r="Q69" s="9"/>
      <x:c r="R69" s="12" t="str">
        <x:f>IF(A69="","",IF(COUNTIF($A$6:$A$205,A69)&gt;1,"记录ID重复",IF(AND(O69="已验证关闭",OR(P69="",Q69="")),"关闭须有复核或重跑证据","格式已填；仍须人工复核")))</x:f>
      </x:c>
    </x:row>
    <x:row r="70" ht="44" customHeight="1">
      <x:c r="A70" s="9"/>
      <x:c r="B70" s="9"/>
      <x:c r="C70" s="9"/>
      <x:c r="D70" s="9"/>
      <x:c r="E70" s="9"/>
      <x:c r="F70" s="9"/>
      <x:c r="G70" s="9"/>
      <x:c r="H70" s="9"/>
      <x:c r="I70" s="9"/>
      <x:c r="J70" s="9"/>
      <x:c r="K70" s="9"/>
      <x:c r="L70" s="9"/>
      <x:c r="M70" s="9"/>
      <x:c r="N70" s="9"/>
      <x:c r="O70" s="9"/>
      <x:c r="P70" s="9"/>
      <x:c r="Q70" s="9"/>
      <x:c r="R70" s="12" t="str">
        <x:f>IF(A70="","",IF(COUNTIF($A$6:$A$205,A70)&gt;1,"记录ID重复",IF(AND(O70="已验证关闭",OR(P70="",Q70="")),"关闭须有复核或重跑证据","格式已填；仍须人工复核")))</x:f>
      </x:c>
    </x:row>
    <x:row r="71" ht="44" customHeight="1">
      <x:c r="A71" s="9"/>
      <x:c r="B71" s="9"/>
      <x:c r="C71" s="9"/>
      <x:c r="D71" s="9"/>
      <x:c r="E71" s="9"/>
      <x:c r="F71" s="9"/>
      <x:c r="G71" s="9"/>
      <x:c r="H71" s="9"/>
      <x:c r="I71" s="9"/>
      <x:c r="J71" s="9"/>
      <x:c r="K71" s="9"/>
      <x:c r="L71" s="9"/>
      <x:c r="M71" s="9"/>
      <x:c r="N71" s="9"/>
      <x:c r="O71" s="9"/>
      <x:c r="P71" s="9"/>
      <x:c r="Q71" s="9"/>
      <x:c r="R71" s="12" t="str">
        <x:f>IF(A71="","",IF(COUNTIF($A$6:$A$205,A71)&gt;1,"记录ID重复",IF(AND(O71="已验证关闭",OR(P71="",Q71="")),"关闭须有复核或重跑证据","格式已填；仍须人工复核")))</x:f>
      </x:c>
    </x:row>
    <x:row r="72" ht="44" customHeight="1">
      <x:c r="A72" s="9"/>
      <x:c r="B72" s="9"/>
      <x:c r="C72" s="9"/>
      <x:c r="D72" s="9"/>
      <x:c r="E72" s="9"/>
      <x:c r="F72" s="9"/>
      <x:c r="G72" s="9"/>
      <x:c r="H72" s="9"/>
      <x:c r="I72" s="9"/>
      <x:c r="J72" s="9"/>
      <x:c r="K72" s="9"/>
      <x:c r="L72" s="9"/>
      <x:c r="M72" s="9"/>
      <x:c r="N72" s="9"/>
      <x:c r="O72" s="9"/>
      <x:c r="P72" s="9"/>
      <x:c r="Q72" s="9"/>
      <x:c r="R72" s="12" t="str">
        <x:f>IF(A72="","",IF(COUNTIF($A$6:$A$205,A72)&gt;1,"记录ID重复",IF(AND(O72="已验证关闭",OR(P72="",Q72="")),"关闭须有复核或重跑证据","格式已填；仍须人工复核")))</x:f>
      </x:c>
    </x:row>
    <x:row r="73" ht="44" customHeight="1">
      <x:c r="A73" s="9"/>
      <x:c r="B73" s="9"/>
      <x:c r="C73" s="9"/>
      <x:c r="D73" s="9"/>
      <x:c r="E73" s="9"/>
      <x:c r="F73" s="9"/>
      <x:c r="G73" s="9"/>
      <x:c r="H73" s="9"/>
      <x:c r="I73" s="9"/>
      <x:c r="J73" s="9"/>
      <x:c r="K73" s="9"/>
      <x:c r="L73" s="9"/>
      <x:c r="M73" s="9"/>
      <x:c r="N73" s="9"/>
      <x:c r="O73" s="9"/>
      <x:c r="P73" s="9"/>
      <x:c r="Q73" s="9"/>
      <x:c r="R73" s="12" t="str">
        <x:f>IF(A73="","",IF(COUNTIF($A$6:$A$205,A73)&gt;1,"记录ID重复",IF(AND(O73="已验证关闭",OR(P73="",Q73="")),"关闭须有复核或重跑证据","格式已填；仍须人工复核")))</x:f>
      </x:c>
    </x:row>
    <x:row r="74" ht="44" customHeight="1">
      <x:c r="A74" s="9"/>
      <x:c r="B74" s="9"/>
      <x:c r="C74" s="9"/>
      <x:c r="D74" s="9"/>
      <x:c r="E74" s="9"/>
      <x:c r="F74" s="9"/>
      <x:c r="G74" s="9"/>
      <x:c r="H74" s="9"/>
      <x:c r="I74" s="9"/>
      <x:c r="J74" s="9"/>
      <x:c r="K74" s="9"/>
      <x:c r="L74" s="9"/>
      <x:c r="M74" s="9"/>
      <x:c r="N74" s="9"/>
      <x:c r="O74" s="9"/>
      <x:c r="P74" s="9"/>
      <x:c r="Q74" s="9"/>
      <x:c r="R74" s="12" t="str">
        <x:f>IF(A74="","",IF(COUNTIF($A$6:$A$205,A74)&gt;1,"记录ID重复",IF(AND(O74="已验证关闭",OR(P74="",Q74="")),"关闭须有复核或重跑证据","格式已填；仍须人工复核")))</x:f>
      </x:c>
    </x:row>
    <x:row r="75" ht="44" customHeight="1">
      <x:c r="A75" s="9"/>
      <x:c r="B75" s="9"/>
      <x:c r="C75" s="9"/>
      <x:c r="D75" s="9"/>
      <x:c r="E75" s="9"/>
      <x:c r="F75" s="9"/>
      <x:c r="G75" s="9"/>
      <x:c r="H75" s="9"/>
      <x:c r="I75" s="9"/>
      <x:c r="J75" s="9"/>
      <x:c r="K75" s="9"/>
      <x:c r="L75" s="9"/>
      <x:c r="M75" s="9"/>
      <x:c r="N75" s="9"/>
      <x:c r="O75" s="9"/>
      <x:c r="P75" s="9"/>
      <x:c r="Q75" s="9"/>
      <x:c r="R75" s="12" t="str">
        <x:f>IF(A75="","",IF(COUNTIF($A$6:$A$205,A75)&gt;1,"记录ID重复",IF(AND(O75="已验证关闭",OR(P75="",Q75="")),"关闭须有复核或重跑证据","格式已填；仍须人工复核")))</x:f>
      </x:c>
    </x:row>
    <x:row r="76" ht="44" customHeight="1">
      <x:c r="A76" s="9"/>
      <x:c r="B76" s="9"/>
      <x:c r="C76" s="9"/>
      <x:c r="D76" s="9"/>
      <x:c r="E76" s="9"/>
      <x:c r="F76" s="9"/>
      <x:c r="G76" s="9"/>
      <x:c r="H76" s="9"/>
      <x:c r="I76" s="9"/>
      <x:c r="J76" s="9"/>
      <x:c r="K76" s="9"/>
      <x:c r="L76" s="9"/>
      <x:c r="M76" s="9"/>
      <x:c r="N76" s="9"/>
      <x:c r="O76" s="9"/>
      <x:c r="P76" s="9"/>
      <x:c r="Q76" s="9"/>
      <x:c r="R76" s="12" t="str">
        <x:f>IF(A76="","",IF(COUNTIF($A$6:$A$205,A76)&gt;1,"记录ID重复",IF(AND(O76="已验证关闭",OR(P76="",Q76="")),"关闭须有复核或重跑证据","格式已填；仍须人工复核")))</x:f>
      </x:c>
    </x:row>
    <x:row r="77" ht="44" customHeight="1">
      <x:c r="A77" s="9"/>
      <x:c r="B77" s="9"/>
      <x:c r="C77" s="9"/>
      <x:c r="D77" s="9"/>
      <x:c r="E77" s="9"/>
      <x:c r="F77" s="9"/>
      <x:c r="G77" s="9"/>
      <x:c r="H77" s="9"/>
      <x:c r="I77" s="9"/>
      <x:c r="J77" s="9"/>
      <x:c r="K77" s="9"/>
      <x:c r="L77" s="9"/>
      <x:c r="M77" s="9"/>
      <x:c r="N77" s="9"/>
      <x:c r="O77" s="9"/>
      <x:c r="P77" s="9"/>
      <x:c r="Q77" s="9"/>
      <x:c r="R77" s="12" t="str">
        <x:f>IF(A77="","",IF(COUNTIF($A$6:$A$205,A77)&gt;1,"记录ID重复",IF(AND(O77="已验证关闭",OR(P77="",Q77="")),"关闭须有复核或重跑证据","格式已填；仍须人工复核")))</x:f>
      </x:c>
    </x:row>
    <x:row r="78" ht="44" customHeight="1">
      <x:c r="A78" s="9"/>
      <x:c r="B78" s="9"/>
      <x:c r="C78" s="9"/>
      <x:c r="D78" s="9"/>
      <x:c r="E78" s="9"/>
      <x:c r="F78" s="9"/>
      <x:c r="G78" s="9"/>
      <x:c r="H78" s="9"/>
      <x:c r="I78" s="9"/>
      <x:c r="J78" s="9"/>
      <x:c r="K78" s="9"/>
      <x:c r="L78" s="9"/>
      <x:c r="M78" s="9"/>
      <x:c r="N78" s="9"/>
      <x:c r="O78" s="9"/>
      <x:c r="P78" s="9"/>
      <x:c r="Q78" s="9"/>
      <x:c r="R78" s="12" t="str">
        <x:f>IF(A78="","",IF(COUNTIF($A$6:$A$205,A78)&gt;1,"记录ID重复",IF(AND(O78="已验证关闭",OR(P78="",Q78="")),"关闭须有复核或重跑证据","格式已填；仍须人工复核")))</x:f>
      </x:c>
    </x:row>
    <x:row r="79" ht="44" customHeight="1">
      <x:c r="A79" s="9"/>
      <x:c r="B79" s="9"/>
      <x:c r="C79" s="9"/>
      <x:c r="D79" s="9"/>
      <x:c r="E79" s="9"/>
      <x:c r="F79" s="9"/>
      <x:c r="G79" s="9"/>
      <x:c r="H79" s="9"/>
      <x:c r="I79" s="9"/>
      <x:c r="J79" s="9"/>
      <x:c r="K79" s="9"/>
      <x:c r="L79" s="9"/>
      <x:c r="M79" s="9"/>
      <x:c r="N79" s="9"/>
      <x:c r="O79" s="9"/>
      <x:c r="P79" s="9"/>
      <x:c r="Q79" s="9"/>
      <x:c r="R79" s="12" t="str">
        <x:f>IF(A79="","",IF(COUNTIF($A$6:$A$205,A79)&gt;1,"记录ID重复",IF(AND(O79="已验证关闭",OR(P79="",Q79="")),"关闭须有复核或重跑证据","格式已填；仍须人工复核")))</x:f>
      </x:c>
    </x:row>
    <x:row r="80" ht="44" customHeight="1">
      <x:c r="A80" s="9"/>
      <x:c r="B80" s="9"/>
      <x:c r="C80" s="9"/>
      <x:c r="D80" s="9"/>
      <x:c r="E80" s="9"/>
      <x:c r="F80" s="9"/>
      <x:c r="G80" s="9"/>
      <x:c r="H80" s="9"/>
      <x:c r="I80" s="9"/>
      <x:c r="J80" s="9"/>
      <x:c r="K80" s="9"/>
      <x:c r="L80" s="9"/>
      <x:c r="M80" s="9"/>
      <x:c r="N80" s="9"/>
      <x:c r="O80" s="9"/>
      <x:c r="P80" s="9"/>
      <x:c r="Q80" s="9"/>
      <x:c r="R80" s="12" t="str">
        <x:f>IF(A80="","",IF(COUNTIF($A$6:$A$205,A80)&gt;1,"记录ID重复",IF(AND(O80="已验证关闭",OR(P80="",Q80="")),"关闭须有复核或重跑证据","格式已填；仍须人工复核")))</x:f>
      </x:c>
    </x:row>
    <x:row r="81" ht="44" customHeight="1">
      <x:c r="A81" s="9"/>
      <x:c r="B81" s="9"/>
      <x:c r="C81" s="9"/>
      <x:c r="D81" s="9"/>
      <x:c r="E81" s="9"/>
      <x:c r="F81" s="9"/>
      <x:c r="G81" s="9"/>
      <x:c r="H81" s="9"/>
      <x:c r="I81" s="9"/>
      <x:c r="J81" s="9"/>
      <x:c r="K81" s="9"/>
      <x:c r="L81" s="9"/>
      <x:c r="M81" s="9"/>
      <x:c r="N81" s="9"/>
      <x:c r="O81" s="9"/>
      <x:c r="P81" s="9"/>
      <x:c r="Q81" s="9"/>
      <x:c r="R81" s="12" t="str">
        <x:f>IF(A81="","",IF(COUNTIF($A$6:$A$205,A81)&gt;1,"记录ID重复",IF(AND(O81="已验证关闭",OR(P81="",Q81="")),"关闭须有复核或重跑证据","格式已填；仍须人工复核")))</x:f>
      </x:c>
    </x:row>
    <x:row r="82" ht="44" customHeight="1">
      <x:c r="A82" s="9"/>
      <x:c r="B82" s="9"/>
      <x:c r="C82" s="9"/>
      <x:c r="D82" s="9"/>
      <x:c r="E82" s="9"/>
      <x:c r="F82" s="9"/>
      <x:c r="G82" s="9"/>
      <x:c r="H82" s="9"/>
      <x:c r="I82" s="9"/>
      <x:c r="J82" s="9"/>
      <x:c r="K82" s="9"/>
      <x:c r="L82" s="9"/>
      <x:c r="M82" s="9"/>
      <x:c r="N82" s="9"/>
      <x:c r="O82" s="9"/>
      <x:c r="P82" s="9"/>
      <x:c r="Q82" s="9"/>
      <x:c r="R82" s="12" t="str">
        <x:f>IF(A82="","",IF(COUNTIF($A$6:$A$205,A82)&gt;1,"记录ID重复",IF(AND(O82="已验证关闭",OR(P82="",Q82="")),"关闭须有复核或重跑证据","格式已填；仍须人工复核")))</x:f>
      </x:c>
    </x:row>
    <x:row r="83" ht="44" customHeight="1">
      <x:c r="A83" s="9"/>
      <x:c r="B83" s="9"/>
      <x:c r="C83" s="9"/>
      <x:c r="D83" s="9"/>
      <x:c r="E83" s="9"/>
      <x:c r="F83" s="9"/>
      <x:c r="G83" s="9"/>
      <x:c r="H83" s="9"/>
      <x:c r="I83" s="9"/>
      <x:c r="J83" s="9"/>
      <x:c r="K83" s="9"/>
      <x:c r="L83" s="9"/>
      <x:c r="M83" s="9"/>
      <x:c r="N83" s="9"/>
      <x:c r="O83" s="9"/>
      <x:c r="P83" s="9"/>
      <x:c r="Q83" s="9"/>
      <x:c r="R83" s="12" t="str">
        <x:f>IF(A83="","",IF(COUNTIF($A$6:$A$205,A83)&gt;1,"记录ID重复",IF(AND(O83="已验证关闭",OR(P83="",Q83="")),"关闭须有复核或重跑证据","格式已填；仍须人工复核")))</x:f>
      </x:c>
    </x:row>
    <x:row r="84" ht="44" customHeight="1">
      <x:c r="A84" s="9"/>
      <x:c r="B84" s="9"/>
      <x:c r="C84" s="9"/>
      <x:c r="D84" s="9"/>
      <x:c r="E84" s="9"/>
      <x:c r="F84" s="9"/>
      <x:c r="G84" s="9"/>
      <x:c r="H84" s="9"/>
      <x:c r="I84" s="9"/>
      <x:c r="J84" s="9"/>
      <x:c r="K84" s="9"/>
      <x:c r="L84" s="9"/>
      <x:c r="M84" s="9"/>
      <x:c r="N84" s="9"/>
      <x:c r="O84" s="9"/>
      <x:c r="P84" s="9"/>
      <x:c r="Q84" s="9"/>
      <x:c r="R84" s="12" t="str">
        <x:f>IF(A84="","",IF(COUNTIF($A$6:$A$205,A84)&gt;1,"记录ID重复",IF(AND(O84="已验证关闭",OR(P84="",Q84="")),"关闭须有复核或重跑证据","格式已填；仍须人工复核")))</x:f>
      </x:c>
    </x:row>
    <x:row r="85" ht="44" customHeight="1">
      <x:c r="A85" s="9"/>
      <x:c r="B85" s="9"/>
      <x:c r="C85" s="9"/>
      <x:c r="D85" s="9"/>
      <x:c r="E85" s="9"/>
      <x:c r="F85" s="9"/>
      <x:c r="G85" s="9"/>
      <x:c r="H85" s="9"/>
      <x:c r="I85" s="9"/>
      <x:c r="J85" s="9"/>
      <x:c r="K85" s="9"/>
      <x:c r="L85" s="9"/>
      <x:c r="M85" s="9"/>
      <x:c r="N85" s="9"/>
      <x:c r="O85" s="9"/>
      <x:c r="P85" s="9"/>
      <x:c r="Q85" s="9"/>
      <x:c r="R85" s="12" t="str">
        <x:f>IF(A85="","",IF(COUNTIF($A$6:$A$205,A85)&gt;1,"记录ID重复",IF(AND(O85="已验证关闭",OR(P85="",Q85="")),"关闭须有复核或重跑证据","格式已填；仍须人工复核")))</x:f>
      </x:c>
    </x:row>
    <x:row r="86" ht="44" customHeight="1">
      <x:c r="A86" s="9"/>
      <x:c r="B86" s="9"/>
      <x:c r="C86" s="9"/>
      <x:c r="D86" s="9"/>
      <x:c r="E86" s="9"/>
      <x:c r="F86" s="9"/>
      <x:c r="G86" s="9"/>
      <x:c r="H86" s="9"/>
      <x:c r="I86" s="9"/>
      <x:c r="J86" s="9"/>
      <x:c r="K86" s="9"/>
      <x:c r="L86" s="9"/>
      <x:c r="M86" s="9"/>
      <x:c r="N86" s="9"/>
      <x:c r="O86" s="9"/>
      <x:c r="P86" s="9"/>
      <x:c r="Q86" s="9"/>
      <x:c r="R86" s="12" t="str">
        <x:f>IF(A86="","",IF(COUNTIF($A$6:$A$205,A86)&gt;1,"记录ID重复",IF(AND(O86="已验证关闭",OR(P86="",Q86="")),"关闭须有复核或重跑证据","格式已填；仍须人工复核")))</x:f>
      </x:c>
    </x:row>
    <x:row r="87" ht="44" customHeight="1">
      <x:c r="A87" s="9"/>
      <x:c r="B87" s="9"/>
      <x:c r="C87" s="9"/>
      <x:c r="D87" s="9"/>
      <x:c r="E87" s="9"/>
      <x:c r="F87" s="9"/>
      <x:c r="G87" s="9"/>
      <x:c r="H87" s="9"/>
      <x:c r="I87" s="9"/>
      <x:c r="J87" s="9"/>
      <x:c r="K87" s="9"/>
      <x:c r="L87" s="9"/>
      <x:c r="M87" s="9"/>
      <x:c r="N87" s="9"/>
      <x:c r="O87" s="9"/>
      <x:c r="P87" s="9"/>
      <x:c r="Q87" s="9"/>
      <x:c r="R87" s="12" t="str">
        <x:f>IF(A87="","",IF(COUNTIF($A$6:$A$205,A87)&gt;1,"记录ID重复",IF(AND(O87="已验证关闭",OR(P87="",Q87="")),"关闭须有复核或重跑证据","格式已填；仍须人工复核")))</x:f>
      </x:c>
    </x:row>
    <x:row r="88" ht="44" customHeight="1">
      <x:c r="A88" s="9"/>
      <x:c r="B88" s="9"/>
      <x:c r="C88" s="9"/>
      <x:c r="D88" s="9"/>
      <x:c r="E88" s="9"/>
      <x:c r="F88" s="9"/>
      <x:c r="G88" s="9"/>
      <x:c r="H88" s="9"/>
      <x:c r="I88" s="9"/>
      <x:c r="J88" s="9"/>
      <x:c r="K88" s="9"/>
      <x:c r="L88" s="9"/>
      <x:c r="M88" s="9"/>
      <x:c r="N88" s="9"/>
      <x:c r="O88" s="9"/>
      <x:c r="P88" s="9"/>
      <x:c r="Q88" s="9"/>
      <x:c r="R88" s="12" t="str">
        <x:f>IF(A88="","",IF(COUNTIF($A$6:$A$205,A88)&gt;1,"记录ID重复",IF(AND(O88="已验证关闭",OR(P88="",Q88="")),"关闭须有复核或重跑证据","格式已填；仍须人工复核")))</x:f>
      </x:c>
    </x:row>
    <x:row r="89" ht="44" customHeight="1">
      <x:c r="A89" s="9"/>
      <x:c r="B89" s="9"/>
      <x:c r="C89" s="9"/>
      <x:c r="D89" s="9"/>
      <x:c r="E89" s="9"/>
      <x:c r="F89" s="9"/>
      <x:c r="G89" s="9"/>
      <x:c r="H89" s="9"/>
      <x:c r="I89" s="9"/>
      <x:c r="J89" s="9"/>
      <x:c r="K89" s="9"/>
      <x:c r="L89" s="9"/>
      <x:c r="M89" s="9"/>
      <x:c r="N89" s="9"/>
      <x:c r="O89" s="9"/>
      <x:c r="P89" s="9"/>
      <x:c r="Q89" s="9"/>
      <x:c r="R89" s="12" t="str">
        <x:f>IF(A89="","",IF(COUNTIF($A$6:$A$205,A89)&gt;1,"记录ID重复",IF(AND(O89="已验证关闭",OR(P89="",Q89="")),"关闭须有复核或重跑证据","格式已填；仍须人工复核")))</x:f>
      </x:c>
    </x:row>
    <x:row r="90" ht="44" customHeight="1">
      <x:c r="A90" s="9"/>
      <x:c r="B90" s="9"/>
      <x:c r="C90" s="9"/>
      <x:c r="D90" s="9"/>
      <x:c r="E90" s="9"/>
      <x:c r="F90" s="9"/>
      <x:c r="G90" s="9"/>
      <x:c r="H90" s="9"/>
      <x:c r="I90" s="9"/>
      <x:c r="J90" s="9"/>
      <x:c r="K90" s="9"/>
      <x:c r="L90" s="9"/>
      <x:c r="M90" s="9"/>
      <x:c r="N90" s="9"/>
      <x:c r="O90" s="9"/>
      <x:c r="P90" s="9"/>
      <x:c r="Q90" s="9"/>
      <x:c r="R90" s="12" t="str">
        <x:f>IF(A90="","",IF(COUNTIF($A$6:$A$205,A90)&gt;1,"记录ID重复",IF(AND(O90="已验证关闭",OR(P90="",Q90="")),"关闭须有复核或重跑证据","格式已填；仍须人工复核")))</x:f>
      </x:c>
    </x:row>
    <x:row r="91" ht="44" customHeight="1">
      <x:c r="A91" s="9"/>
      <x:c r="B91" s="9"/>
      <x:c r="C91" s="9"/>
      <x:c r="D91" s="9"/>
      <x:c r="E91" s="9"/>
      <x:c r="F91" s="9"/>
      <x:c r="G91" s="9"/>
      <x:c r="H91" s="9"/>
      <x:c r="I91" s="9"/>
      <x:c r="J91" s="9"/>
      <x:c r="K91" s="9"/>
      <x:c r="L91" s="9"/>
      <x:c r="M91" s="9"/>
      <x:c r="N91" s="9"/>
      <x:c r="O91" s="9"/>
      <x:c r="P91" s="9"/>
      <x:c r="Q91" s="9"/>
      <x:c r="R91" s="12" t="str">
        <x:f>IF(A91="","",IF(COUNTIF($A$6:$A$205,A91)&gt;1,"记录ID重复",IF(AND(O91="已验证关闭",OR(P91="",Q91="")),"关闭须有复核或重跑证据","格式已填；仍须人工复核")))</x:f>
      </x:c>
    </x:row>
    <x:row r="92" ht="44" customHeight="1">
      <x:c r="A92" s="9"/>
      <x:c r="B92" s="9"/>
      <x:c r="C92" s="9"/>
      <x:c r="D92" s="9"/>
      <x:c r="E92" s="9"/>
      <x:c r="F92" s="9"/>
      <x:c r="G92" s="9"/>
      <x:c r="H92" s="9"/>
      <x:c r="I92" s="9"/>
      <x:c r="J92" s="9"/>
      <x:c r="K92" s="9"/>
      <x:c r="L92" s="9"/>
      <x:c r="M92" s="9"/>
      <x:c r="N92" s="9"/>
      <x:c r="O92" s="9"/>
      <x:c r="P92" s="9"/>
      <x:c r="Q92" s="9"/>
      <x:c r="R92" s="12" t="str">
        <x:f>IF(A92="","",IF(COUNTIF($A$6:$A$205,A92)&gt;1,"记录ID重复",IF(AND(O92="已验证关闭",OR(P92="",Q92="")),"关闭须有复核或重跑证据","格式已填；仍须人工复核")))</x:f>
      </x:c>
    </x:row>
    <x:row r="93" ht="44" customHeight="1">
      <x:c r="A93" s="9"/>
      <x:c r="B93" s="9"/>
      <x:c r="C93" s="9"/>
      <x:c r="D93" s="9"/>
      <x:c r="E93" s="9"/>
      <x:c r="F93" s="9"/>
      <x:c r="G93" s="9"/>
      <x:c r="H93" s="9"/>
      <x:c r="I93" s="9"/>
      <x:c r="J93" s="9"/>
      <x:c r="K93" s="9"/>
      <x:c r="L93" s="9"/>
      <x:c r="M93" s="9"/>
      <x:c r="N93" s="9"/>
      <x:c r="O93" s="9"/>
      <x:c r="P93" s="9"/>
      <x:c r="Q93" s="9"/>
      <x:c r="R93" s="12" t="str">
        <x:f>IF(A93="","",IF(COUNTIF($A$6:$A$205,A93)&gt;1,"记录ID重复",IF(AND(O93="已验证关闭",OR(P93="",Q93="")),"关闭须有复核或重跑证据","格式已填；仍须人工复核")))</x:f>
      </x:c>
    </x:row>
    <x:row r="94" ht="44" customHeight="1">
      <x:c r="A94" s="9"/>
      <x:c r="B94" s="9"/>
      <x:c r="C94" s="9"/>
      <x:c r="D94" s="9"/>
      <x:c r="E94" s="9"/>
      <x:c r="F94" s="9"/>
      <x:c r="G94" s="9"/>
      <x:c r="H94" s="9"/>
      <x:c r="I94" s="9"/>
      <x:c r="J94" s="9"/>
      <x:c r="K94" s="9"/>
      <x:c r="L94" s="9"/>
      <x:c r="M94" s="9"/>
      <x:c r="N94" s="9"/>
      <x:c r="O94" s="9"/>
      <x:c r="P94" s="9"/>
      <x:c r="Q94" s="9"/>
      <x:c r="R94" s="12" t="str">
        <x:f>IF(A94="","",IF(COUNTIF($A$6:$A$205,A94)&gt;1,"记录ID重复",IF(AND(O94="已验证关闭",OR(P94="",Q94="")),"关闭须有复核或重跑证据","格式已填；仍须人工复核")))</x:f>
      </x:c>
    </x:row>
    <x:row r="95" ht="44" customHeight="1">
      <x:c r="A95" s="9"/>
      <x:c r="B95" s="9"/>
      <x:c r="C95" s="9"/>
      <x:c r="D95" s="9"/>
      <x:c r="E95" s="9"/>
      <x:c r="F95" s="9"/>
      <x:c r="G95" s="9"/>
      <x:c r="H95" s="9"/>
      <x:c r="I95" s="9"/>
      <x:c r="J95" s="9"/>
      <x:c r="K95" s="9"/>
      <x:c r="L95" s="9"/>
      <x:c r="M95" s="9"/>
      <x:c r="N95" s="9"/>
      <x:c r="O95" s="9"/>
      <x:c r="P95" s="9"/>
      <x:c r="Q95" s="9"/>
      <x:c r="R95" s="12" t="str">
        <x:f>IF(A95="","",IF(COUNTIF($A$6:$A$205,A95)&gt;1,"记录ID重复",IF(AND(O95="已验证关闭",OR(P95="",Q95="")),"关闭须有复核或重跑证据","格式已填；仍须人工复核")))</x:f>
      </x:c>
    </x:row>
    <x:row r="96" ht="44" customHeight="1">
      <x:c r="A96" s="9"/>
      <x:c r="B96" s="9"/>
      <x:c r="C96" s="9"/>
      <x:c r="D96" s="9"/>
      <x:c r="E96" s="9"/>
      <x:c r="F96" s="9"/>
      <x:c r="G96" s="9"/>
      <x:c r="H96" s="9"/>
      <x:c r="I96" s="9"/>
      <x:c r="J96" s="9"/>
      <x:c r="K96" s="9"/>
      <x:c r="L96" s="9"/>
      <x:c r="M96" s="9"/>
      <x:c r="N96" s="9"/>
      <x:c r="O96" s="9"/>
      <x:c r="P96" s="9"/>
      <x:c r="Q96" s="9"/>
      <x:c r="R96" s="12" t="str">
        <x:f>IF(A96="","",IF(COUNTIF($A$6:$A$205,A96)&gt;1,"记录ID重复",IF(AND(O96="已验证关闭",OR(P96="",Q96="")),"关闭须有复核或重跑证据","格式已填；仍须人工复核")))</x:f>
      </x:c>
    </x:row>
    <x:row r="97" ht="44" customHeight="1">
      <x:c r="A97" s="9"/>
      <x:c r="B97" s="9"/>
      <x:c r="C97" s="9"/>
      <x:c r="D97" s="9"/>
      <x:c r="E97" s="9"/>
      <x:c r="F97" s="9"/>
      <x:c r="G97" s="9"/>
      <x:c r="H97" s="9"/>
      <x:c r="I97" s="9"/>
      <x:c r="J97" s="9"/>
      <x:c r="K97" s="9"/>
      <x:c r="L97" s="9"/>
      <x:c r="M97" s="9"/>
      <x:c r="N97" s="9"/>
      <x:c r="O97" s="9"/>
      <x:c r="P97" s="9"/>
      <x:c r="Q97" s="9"/>
      <x:c r="R97" s="12" t="str">
        <x:f>IF(A97="","",IF(COUNTIF($A$6:$A$205,A97)&gt;1,"记录ID重复",IF(AND(O97="已验证关闭",OR(P97="",Q97="")),"关闭须有复核或重跑证据","格式已填；仍须人工复核")))</x:f>
      </x:c>
    </x:row>
    <x:row r="98" ht="44" customHeight="1">
      <x:c r="A98" s="9"/>
      <x:c r="B98" s="9"/>
      <x:c r="C98" s="9"/>
      <x:c r="D98" s="9"/>
      <x:c r="E98" s="9"/>
      <x:c r="F98" s="9"/>
      <x:c r="G98" s="9"/>
      <x:c r="H98" s="9"/>
      <x:c r="I98" s="9"/>
      <x:c r="J98" s="9"/>
      <x:c r="K98" s="9"/>
      <x:c r="L98" s="9"/>
      <x:c r="M98" s="9"/>
      <x:c r="N98" s="9"/>
      <x:c r="O98" s="9"/>
      <x:c r="P98" s="9"/>
      <x:c r="Q98" s="9"/>
      <x:c r="R98" s="12" t="str">
        <x:f>IF(A98="","",IF(COUNTIF($A$6:$A$205,A98)&gt;1,"记录ID重复",IF(AND(O98="已验证关闭",OR(P98="",Q98="")),"关闭须有复核或重跑证据","格式已填；仍须人工复核")))</x:f>
      </x:c>
    </x:row>
    <x:row r="99" ht="44" customHeight="1">
      <x:c r="A99" s="9"/>
      <x:c r="B99" s="9"/>
      <x:c r="C99" s="9"/>
      <x:c r="D99" s="9"/>
      <x:c r="E99" s="9"/>
      <x:c r="F99" s="9"/>
      <x:c r="G99" s="9"/>
      <x:c r="H99" s="9"/>
      <x:c r="I99" s="9"/>
      <x:c r="J99" s="9"/>
      <x:c r="K99" s="9"/>
      <x:c r="L99" s="9"/>
      <x:c r="M99" s="9"/>
      <x:c r="N99" s="9"/>
      <x:c r="O99" s="9"/>
      <x:c r="P99" s="9"/>
      <x:c r="Q99" s="9"/>
      <x:c r="R99" s="12" t="str">
        <x:f>IF(A99="","",IF(COUNTIF($A$6:$A$205,A99)&gt;1,"记录ID重复",IF(AND(O99="已验证关闭",OR(P99="",Q99="")),"关闭须有复核或重跑证据","格式已填；仍须人工复核")))</x:f>
      </x:c>
    </x:row>
    <x:row r="100" ht="44" customHeight="1">
      <x:c r="A100" s="9"/>
      <x:c r="B100" s="9"/>
      <x:c r="C100" s="9"/>
      <x:c r="D100" s="9"/>
      <x:c r="E100" s="9"/>
      <x:c r="F100" s="9"/>
      <x:c r="G100" s="9"/>
      <x:c r="H100" s="9"/>
      <x:c r="I100" s="9"/>
      <x:c r="J100" s="9"/>
      <x:c r="K100" s="9"/>
      <x:c r="L100" s="9"/>
      <x:c r="M100" s="9"/>
      <x:c r="N100" s="9"/>
      <x:c r="O100" s="9"/>
      <x:c r="P100" s="9"/>
      <x:c r="Q100" s="9"/>
      <x:c r="R100" s="12" t="str">
        <x:f>IF(A100="","",IF(COUNTIF($A$6:$A$205,A100)&gt;1,"记录ID重复",IF(AND(O100="已验证关闭",OR(P100="",Q100="")),"关闭须有复核或重跑证据","格式已填；仍须人工复核")))</x:f>
      </x:c>
    </x:row>
    <x:row r="101" ht="44" customHeight="1">
      <x:c r="A101" s="9"/>
      <x:c r="B101" s="9"/>
      <x:c r="C101" s="9"/>
      <x:c r="D101" s="9"/>
      <x:c r="E101" s="9"/>
      <x:c r="F101" s="9"/>
      <x:c r="G101" s="9"/>
      <x:c r="H101" s="9"/>
      <x:c r="I101" s="9"/>
      <x:c r="J101" s="9"/>
      <x:c r="K101" s="9"/>
      <x:c r="L101" s="9"/>
      <x:c r="M101" s="9"/>
      <x:c r="N101" s="9"/>
      <x:c r="O101" s="9"/>
      <x:c r="P101" s="9"/>
      <x:c r="Q101" s="9"/>
      <x:c r="R101" s="12" t="str">
        <x:f>IF(A101="","",IF(COUNTIF($A$6:$A$205,A101)&gt;1,"记录ID重复",IF(AND(O101="已验证关闭",OR(P101="",Q101="")),"关闭须有复核或重跑证据","格式已填；仍须人工复核")))</x:f>
      </x:c>
    </x:row>
    <x:row r="102" ht="44" customHeight="1">
      <x:c r="A102" s="9"/>
      <x:c r="B102" s="9"/>
      <x:c r="C102" s="9"/>
      <x:c r="D102" s="9"/>
      <x:c r="E102" s="9"/>
      <x:c r="F102" s="9"/>
      <x:c r="G102" s="9"/>
      <x:c r="H102" s="9"/>
      <x:c r="I102" s="9"/>
      <x:c r="J102" s="9"/>
      <x:c r="K102" s="9"/>
      <x:c r="L102" s="9"/>
      <x:c r="M102" s="9"/>
      <x:c r="N102" s="9"/>
      <x:c r="O102" s="9"/>
      <x:c r="P102" s="9"/>
      <x:c r="Q102" s="9"/>
      <x:c r="R102" s="12" t="str">
        <x:f>IF(A102="","",IF(COUNTIF($A$6:$A$205,A102)&gt;1,"记录ID重复",IF(AND(O102="已验证关闭",OR(P102="",Q102="")),"关闭须有复核或重跑证据","格式已填；仍须人工复核")))</x:f>
      </x:c>
    </x:row>
    <x:row r="103" ht="44" customHeight="1">
      <x:c r="A103" s="9"/>
      <x:c r="B103" s="9"/>
      <x:c r="C103" s="9"/>
      <x:c r="D103" s="9"/>
      <x:c r="E103" s="9"/>
      <x:c r="F103" s="9"/>
      <x:c r="G103" s="9"/>
      <x:c r="H103" s="9"/>
      <x:c r="I103" s="9"/>
      <x:c r="J103" s="9"/>
      <x:c r="K103" s="9"/>
      <x:c r="L103" s="9"/>
      <x:c r="M103" s="9"/>
      <x:c r="N103" s="9"/>
      <x:c r="O103" s="9"/>
      <x:c r="P103" s="9"/>
      <x:c r="Q103" s="9"/>
      <x:c r="R103" s="12" t="str">
        <x:f>IF(A103="","",IF(COUNTIF($A$6:$A$205,A103)&gt;1,"记录ID重复",IF(AND(O103="已验证关闭",OR(P103="",Q103="")),"关闭须有复核或重跑证据","格式已填；仍须人工复核")))</x:f>
      </x:c>
    </x:row>
    <x:row r="104" ht="44" customHeight="1">
      <x:c r="A104" s="9"/>
      <x:c r="B104" s="9"/>
      <x:c r="C104" s="9"/>
      <x:c r="D104" s="9"/>
      <x:c r="E104" s="9"/>
      <x:c r="F104" s="9"/>
      <x:c r="G104" s="9"/>
      <x:c r="H104" s="9"/>
      <x:c r="I104" s="9"/>
      <x:c r="J104" s="9"/>
      <x:c r="K104" s="9"/>
      <x:c r="L104" s="9"/>
      <x:c r="M104" s="9"/>
      <x:c r="N104" s="9"/>
      <x:c r="O104" s="9"/>
      <x:c r="P104" s="9"/>
      <x:c r="Q104" s="9"/>
      <x:c r="R104" s="12" t="str">
        <x:f>IF(A104="","",IF(COUNTIF($A$6:$A$205,A104)&gt;1,"记录ID重复",IF(AND(O104="已验证关闭",OR(P104="",Q104="")),"关闭须有复核或重跑证据","格式已填；仍须人工复核")))</x:f>
      </x:c>
    </x:row>
    <x:row r="105" ht="44" customHeight="1">
      <x:c r="A105" s="9"/>
      <x:c r="B105" s="9"/>
      <x:c r="C105" s="9"/>
      <x:c r="D105" s="9"/>
      <x:c r="E105" s="9"/>
      <x:c r="F105" s="9"/>
      <x:c r="G105" s="9"/>
      <x:c r="H105" s="9"/>
      <x:c r="I105" s="9"/>
      <x:c r="J105" s="9"/>
      <x:c r="K105" s="9"/>
      <x:c r="L105" s="9"/>
      <x:c r="M105" s="9"/>
      <x:c r="N105" s="9"/>
      <x:c r="O105" s="9"/>
      <x:c r="P105" s="9"/>
      <x:c r="Q105" s="9"/>
      <x:c r="R105" s="12" t="str">
        <x:f>IF(A105="","",IF(COUNTIF($A$6:$A$205,A105)&gt;1,"记录ID重复",IF(AND(O105="已验证关闭",OR(P105="",Q105="")),"关闭须有复核或重跑证据","格式已填；仍须人工复核")))</x:f>
      </x:c>
    </x:row>
    <x:row r="106" ht="44" customHeight="1">
      <x:c r="A106" s="9"/>
      <x:c r="B106" s="9"/>
      <x:c r="C106" s="9"/>
      <x:c r="D106" s="9"/>
      <x:c r="E106" s="9"/>
      <x:c r="F106" s="9"/>
      <x:c r="G106" s="9"/>
      <x:c r="H106" s="9"/>
      <x:c r="I106" s="9"/>
      <x:c r="J106" s="9"/>
      <x:c r="K106" s="9"/>
      <x:c r="L106" s="9"/>
      <x:c r="M106" s="9"/>
      <x:c r="N106" s="9"/>
      <x:c r="O106" s="9"/>
      <x:c r="P106" s="9"/>
      <x:c r="Q106" s="9"/>
      <x:c r="R106" s="12" t="str">
        <x:f>IF(A106="","",IF(COUNTIF($A$6:$A$205,A106)&gt;1,"记录ID重复",IF(AND(O106="已验证关闭",OR(P106="",Q106="")),"关闭须有复核或重跑证据","格式已填；仍须人工复核")))</x:f>
      </x:c>
    </x:row>
    <x:row r="107" ht="44" customHeight="1">
      <x:c r="A107" s="9"/>
      <x:c r="B107" s="9"/>
      <x:c r="C107" s="9"/>
      <x:c r="D107" s="9"/>
      <x:c r="E107" s="9"/>
      <x:c r="F107" s="9"/>
      <x:c r="G107" s="9"/>
      <x:c r="H107" s="9"/>
      <x:c r="I107" s="9"/>
      <x:c r="J107" s="9"/>
      <x:c r="K107" s="9"/>
      <x:c r="L107" s="9"/>
      <x:c r="M107" s="9"/>
      <x:c r="N107" s="9"/>
      <x:c r="O107" s="9"/>
      <x:c r="P107" s="9"/>
      <x:c r="Q107" s="9"/>
      <x:c r="R107" s="12" t="str">
        <x:f>IF(A107="","",IF(COUNTIF($A$6:$A$205,A107)&gt;1,"记录ID重复",IF(AND(O107="已验证关闭",OR(P107="",Q107="")),"关闭须有复核或重跑证据","格式已填；仍须人工复核")))</x:f>
      </x:c>
    </x:row>
    <x:row r="108" ht="44" customHeight="1">
      <x:c r="A108" s="9"/>
      <x:c r="B108" s="9"/>
      <x:c r="C108" s="9"/>
      <x:c r="D108" s="9"/>
      <x:c r="E108" s="9"/>
      <x:c r="F108" s="9"/>
      <x:c r="G108" s="9"/>
      <x:c r="H108" s="9"/>
      <x:c r="I108" s="9"/>
      <x:c r="J108" s="9"/>
      <x:c r="K108" s="9"/>
      <x:c r="L108" s="9"/>
      <x:c r="M108" s="9"/>
      <x:c r="N108" s="9"/>
      <x:c r="O108" s="9"/>
      <x:c r="P108" s="9"/>
      <x:c r="Q108" s="9"/>
      <x:c r="R108" s="12" t="str">
        <x:f>IF(A108="","",IF(COUNTIF($A$6:$A$205,A108)&gt;1,"记录ID重复",IF(AND(O108="已验证关闭",OR(P108="",Q108="")),"关闭须有复核或重跑证据","格式已填；仍须人工复核")))</x:f>
      </x:c>
    </x:row>
    <x:row r="109" ht="44" customHeight="1">
      <x:c r="A109" s="9"/>
      <x:c r="B109" s="9"/>
      <x:c r="C109" s="9"/>
      <x:c r="D109" s="9"/>
      <x:c r="E109" s="9"/>
      <x:c r="F109" s="9"/>
      <x:c r="G109" s="9"/>
      <x:c r="H109" s="9"/>
      <x:c r="I109" s="9"/>
      <x:c r="J109" s="9"/>
      <x:c r="K109" s="9"/>
      <x:c r="L109" s="9"/>
      <x:c r="M109" s="9"/>
      <x:c r="N109" s="9"/>
      <x:c r="O109" s="9"/>
      <x:c r="P109" s="9"/>
      <x:c r="Q109" s="9"/>
      <x:c r="R109" s="12" t="str">
        <x:f>IF(A109="","",IF(COUNTIF($A$6:$A$205,A109)&gt;1,"记录ID重复",IF(AND(O109="已验证关闭",OR(P109="",Q109="")),"关闭须有复核或重跑证据","格式已填；仍须人工复核")))</x:f>
      </x:c>
    </x:row>
    <x:row r="110" ht="44" customHeight="1">
      <x:c r="A110" s="9"/>
      <x:c r="B110" s="9"/>
      <x:c r="C110" s="9"/>
      <x:c r="D110" s="9"/>
      <x:c r="E110" s="9"/>
      <x:c r="F110" s="9"/>
      <x:c r="G110" s="9"/>
      <x:c r="H110" s="9"/>
      <x:c r="I110" s="9"/>
      <x:c r="J110" s="9"/>
      <x:c r="K110" s="9"/>
      <x:c r="L110" s="9"/>
      <x:c r="M110" s="9"/>
      <x:c r="N110" s="9"/>
      <x:c r="O110" s="9"/>
      <x:c r="P110" s="9"/>
      <x:c r="Q110" s="9"/>
      <x:c r="R110" s="12" t="str">
        <x:f>IF(A110="","",IF(COUNTIF($A$6:$A$205,A110)&gt;1,"记录ID重复",IF(AND(O110="已验证关闭",OR(P110="",Q110="")),"关闭须有复核或重跑证据","格式已填；仍须人工复核")))</x:f>
      </x:c>
    </x:row>
    <x:row r="111" ht="44" customHeight="1">
      <x:c r="A111" s="9"/>
      <x:c r="B111" s="9"/>
      <x:c r="C111" s="9"/>
      <x:c r="D111" s="9"/>
      <x:c r="E111" s="9"/>
      <x:c r="F111" s="9"/>
      <x:c r="G111" s="9"/>
      <x:c r="H111" s="9"/>
      <x:c r="I111" s="9"/>
      <x:c r="J111" s="9"/>
      <x:c r="K111" s="9"/>
      <x:c r="L111" s="9"/>
      <x:c r="M111" s="9"/>
      <x:c r="N111" s="9"/>
      <x:c r="O111" s="9"/>
      <x:c r="P111" s="9"/>
      <x:c r="Q111" s="9"/>
      <x:c r="R111" s="12" t="str">
        <x:f>IF(A111="","",IF(COUNTIF($A$6:$A$205,A111)&gt;1,"记录ID重复",IF(AND(O111="已验证关闭",OR(P111="",Q111="")),"关闭须有复核或重跑证据","格式已填；仍须人工复核")))</x:f>
      </x:c>
    </x:row>
    <x:row r="112" ht="44" customHeight="1">
      <x:c r="A112" s="9"/>
      <x:c r="B112" s="9"/>
      <x:c r="C112" s="9"/>
      <x:c r="D112" s="9"/>
      <x:c r="E112" s="9"/>
      <x:c r="F112" s="9"/>
      <x:c r="G112" s="9"/>
      <x:c r="H112" s="9"/>
      <x:c r="I112" s="9"/>
      <x:c r="J112" s="9"/>
      <x:c r="K112" s="9"/>
      <x:c r="L112" s="9"/>
      <x:c r="M112" s="9"/>
      <x:c r="N112" s="9"/>
      <x:c r="O112" s="9"/>
      <x:c r="P112" s="9"/>
      <x:c r="Q112" s="9"/>
      <x:c r="R112" s="12" t="str">
        <x:f>IF(A112="","",IF(COUNTIF($A$6:$A$205,A112)&gt;1,"记录ID重复",IF(AND(O112="已验证关闭",OR(P112="",Q112="")),"关闭须有复核或重跑证据","格式已填；仍须人工复核")))</x:f>
      </x:c>
    </x:row>
    <x:row r="113" ht="44" customHeight="1">
      <x:c r="A113" s="9"/>
      <x:c r="B113" s="9"/>
      <x:c r="C113" s="9"/>
      <x:c r="D113" s="9"/>
      <x:c r="E113" s="9"/>
      <x:c r="F113" s="9"/>
      <x:c r="G113" s="9"/>
      <x:c r="H113" s="9"/>
      <x:c r="I113" s="9"/>
      <x:c r="J113" s="9"/>
      <x:c r="K113" s="9"/>
      <x:c r="L113" s="9"/>
      <x:c r="M113" s="9"/>
      <x:c r="N113" s="9"/>
      <x:c r="O113" s="9"/>
      <x:c r="P113" s="9"/>
      <x:c r="Q113" s="9"/>
      <x:c r="R113" s="12" t="str">
        <x:f>IF(A113="","",IF(COUNTIF($A$6:$A$205,A113)&gt;1,"记录ID重复",IF(AND(O113="已验证关闭",OR(P113="",Q113="")),"关闭须有复核或重跑证据","格式已填；仍须人工复核")))</x:f>
      </x:c>
    </x:row>
    <x:row r="114" ht="44" customHeight="1">
      <x:c r="A114" s="9"/>
      <x:c r="B114" s="9"/>
      <x:c r="C114" s="9"/>
      <x:c r="D114" s="9"/>
      <x:c r="E114" s="9"/>
      <x:c r="F114" s="9"/>
      <x:c r="G114" s="9"/>
      <x:c r="H114" s="9"/>
      <x:c r="I114" s="9"/>
      <x:c r="J114" s="9"/>
      <x:c r="K114" s="9"/>
      <x:c r="L114" s="9"/>
      <x:c r="M114" s="9"/>
      <x:c r="N114" s="9"/>
      <x:c r="O114" s="9"/>
      <x:c r="P114" s="9"/>
      <x:c r="Q114" s="9"/>
      <x:c r="R114" s="12" t="str">
        <x:f>IF(A114="","",IF(COUNTIF($A$6:$A$205,A114)&gt;1,"记录ID重复",IF(AND(O114="已验证关闭",OR(P114="",Q114="")),"关闭须有复核或重跑证据","格式已填；仍须人工复核")))</x:f>
      </x:c>
    </x:row>
    <x:row r="115" ht="44" customHeight="1">
      <x:c r="A115" s="9"/>
      <x:c r="B115" s="9"/>
      <x:c r="C115" s="9"/>
      <x:c r="D115" s="9"/>
      <x:c r="E115" s="9"/>
      <x:c r="F115" s="9"/>
      <x:c r="G115" s="9"/>
      <x:c r="H115" s="9"/>
      <x:c r="I115" s="9"/>
      <x:c r="J115" s="9"/>
      <x:c r="K115" s="9"/>
      <x:c r="L115" s="9"/>
      <x:c r="M115" s="9"/>
      <x:c r="N115" s="9"/>
      <x:c r="O115" s="9"/>
      <x:c r="P115" s="9"/>
      <x:c r="Q115" s="9"/>
      <x:c r="R115" s="12" t="str">
        <x:f>IF(A115="","",IF(COUNTIF($A$6:$A$205,A115)&gt;1,"记录ID重复",IF(AND(O115="已验证关闭",OR(P115="",Q115="")),"关闭须有复核或重跑证据","格式已填；仍须人工复核")))</x:f>
      </x:c>
    </x:row>
    <x:row r="116" ht="44" customHeight="1">
      <x:c r="A116" s="9"/>
      <x:c r="B116" s="9"/>
      <x:c r="C116" s="9"/>
      <x:c r="D116" s="9"/>
      <x:c r="E116" s="9"/>
      <x:c r="F116" s="9"/>
      <x:c r="G116" s="9"/>
      <x:c r="H116" s="9"/>
      <x:c r="I116" s="9"/>
      <x:c r="J116" s="9"/>
      <x:c r="K116" s="9"/>
      <x:c r="L116" s="9"/>
      <x:c r="M116" s="9"/>
      <x:c r="N116" s="9"/>
      <x:c r="O116" s="9"/>
      <x:c r="P116" s="9"/>
      <x:c r="Q116" s="9"/>
      <x:c r="R116" s="12" t="str">
        <x:f>IF(A116="","",IF(COUNTIF($A$6:$A$205,A116)&gt;1,"记录ID重复",IF(AND(O116="已验证关闭",OR(P116="",Q116="")),"关闭须有复核或重跑证据","格式已填；仍须人工复核")))</x:f>
      </x:c>
    </x:row>
    <x:row r="117" ht="44" customHeight="1">
      <x:c r="A117" s="9"/>
      <x:c r="B117" s="9"/>
      <x:c r="C117" s="9"/>
      <x:c r="D117" s="9"/>
      <x:c r="E117" s="9"/>
      <x:c r="F117" s="9"/>
      <x:c r="G117" s="9"/>
      <x:c r="H117" s="9"/>
      <x:c r="I117" s="9"/>
      <x:c r="J117" s="9"/>
      <x:c r="K117" s="9"/>
      <x:c r="L117" s="9"/>
      <x:c r="M117" s="9"/>
      <x:c r="N117" s="9"/>
      <x:c r="O117" s="9"/>
      <x:c r="P117" s="9"/>
      <x:c r="Q117" s="9"/>
      <x:c r="R117" s="12" t="str">
        <x:f>IF(A117="","",IF(COUNTIF($A$6:$A$205,A117)&gt;1,"记录ID重复",IF(AND(O117="已验证关闭",OR(P117="",Q117="")),"关闭须有复核或重跑证据","格式已填；仍须人工复核")))</x:f>
      </x:c>
    </x:row>
    <x:row r="118" ht="44" customHeight="1">
      <x:c r="A118" s="9"/>
      <x:c r="B118" s="9"/>
      <x:c r="C118" s="9"/>
      <x:c r="D118" s="9"/>
      <x:c r="E118" s="9"/>
      <x:c r="F118" s="9"/>
      <x:c r="G118" s="9"/>
      <x:c r="H118" s="9"/>
      <x:c r="I118" s="9"/>
      <x:c r="J118" s="9"/>
      <x:c r="K118" s="9"/>
      <x:c r="L118" s="9"/>
      <x:c r="M118" s="9"/>
      <x:c r="N118" s="9"/>
      <x:c r="O118" s="9"/>
      <x:c r="P118" s="9"/>
      <x:c r="Q118" s="9"/>
      <x:c r="R118" s="12" t="str">
        <x:f>IF(A118="","",IF(COUNTIF($A$6:$A$205,A118)&gt;1,"记录ID重复",IF(AND(O118="已验证关闭",OR(P118="",Q118="")),"关闭须有复核或重跑证据","格式已填；仍须人工复核")))</x:f>
      </x:c>
    </x:row>
    <x:row r="119" ht="44" customHeight="1">
      <x:c r="A119" s="9"/>
      <x:c r="B119" s="9"/>
      <x:c r="C119" s="9"/>
      <x:c r="D119" s="9"/>
      <x:c r="E119" s="9"/>
      <x:c r="F119" s="9"/>
      <x:c r="G119" s="9"/>
      <x:c r="H119" s="9"/>
      <x:c r="I119" s="9"/>
      <x:c r="J119" s="9"/>
      <x:c r="K119" s="9"/>
      <x:c r="L119" s="9"/>
      <x:c r="M119" s="9"/>
      <x:c r="N119" s="9"/>
      <x:c r="O119" s="9"/>
      <x:c r="P119" s="9"/>
      <x:c r="Q119" s="9"/>
      <x:c r="R119" s="12" t="str">
        <x:f>IF(A119="","",IF(COUNTIF($A$6:$A$205,A119)&gt;1,"记录ID重复",IF(AND(O119="已验证关闭",OR(P119="",Q119="")),"关闭须有复核或重跑证据","格式已填；仍须人工复核")))</x:f>
      </x:c>
    </x:row>
    <x:row r="120" ht="44" customHeight="1">
      <x:c r="A120" s="9"/>
      <x:c r="B120" s="9"/>
      <x:c r="C120" s="9"/>
      <x:c r="D120" s="9"/>
      <x:c r="E120" s="9"/>
      <x:c r="F120" s="9"/>
      <x:c r="G120" s="9"/>
      <x:c r="H120" s="9"/>
      <x:c r="I120" s="9"/>
      <x:c r="J120" s="9"/>
      <x:c r="K120" s="9"/>
      <x:c r="L120" s="9"/>
      <x:c r="M120" s="9"/>
      <x:c r="N120" s="9"/>
      <x:c r="O120" s="9"/>
      <x:c r="P120" s="9"/>
      <x:c r="Q120" s="9"/>
      <x:c r="R120" s="12" t="str">
        <x:f>IF(A120="","",IF(COUNTIF($A$6:$A$205,A120)&gt;1,"记录ID重复",IF(AND(O120="已验证关闭",OR(P120="",Q120="")),"关闭须有复核或重跑证据","格式已填；仍须人工复核")))</x:f>
      </x:c>
    </x:row>
    <x:row r="121" ht="44" customHeight="1">
      <x:c r="A121" s="9"/>
      <x:c r="B121" s="9"/>
      <x:c r="C121" s="9"/>
      <x:c r="D121" s="9"/>
      <x:c r="E121" s="9"/>
      <x:c r="F121" s="9"/>
      <x:c r="G121" s="9"/>
      <x:c r="H121" s="9"/>
      <x:c r="I121" s="9"/>
      <x:c r="J121" s="9"/>
      <x:c r="K121" s="9"/>
      <x:c r="L121" s="9"/>
      <x:c r="M121" s="9"/>
      <x:c r="N121" s="9"/>
      <x:c r="O121" s="9"/>
      <x:c r="P121" s="9"/>
      <x:c r="Q121" s="9"/>
      <x:c r="R121" s="12" t="str">
        <x:f>IF(A121="","",IF(COUNTIF($A$6:$A$205,A121)&gt;1,"记录ID重复",IF(AND(O121="已验证关闭",OR(P121="",Q121="")),"关闭须有复核或重跑证据","格式已填；仍须人工复核")))</x:f>
      </x:c>
    </x:row>
    <x:row r="122" ht="44" customHeight="1">
      <x:c r="A122" s="9"/>
      <x:c r="B122" s="9"/>
      <x:c r="C122" s="9"/>
      <x:c r="D122" s="9"/>
      <x:c r="E122" s="9"/>
      <x:c r="F122" s="9"/>
      <x:c r="G122" s="9"/>
      <x:c r="H122" s="9"/>
      <x:c r="I122" s="9"/>
      <x:c r="J122" s="9"/>
      <x:c r="K122" s="9"/>
      <x:c r="L122" s="9"/>
      <x:c r="M122" s="9"/>
      <x:c r="N122" s="9"/>
      <x:c r="O122" s="9"/>
      <x:c r="P122" s="9"/>
      <x:c r="Q122" s="9"/>
      <x:c r="R122" s="12" t="str">
        <x:f>IF(A122="","",IF(COUNTIF($A$6:$A$205,A122)&gt;1,"记录ID重复",IF(AND(O122="已验证关闭",OR(P122="",Q122="")),"关闭须有复核或重跑证据","格式已填；仍须人工复核")))</x:f>
      </x:c>
    </x:row>
    <x:row r="123" ht="44" customHeight="1">
      <x:c r="A123" s="9"/>
      <x:c r="B123" s="9"/>
      <x:c r="C123" s="9"/>
      <x:c r="D123" s="9"/>
      <x:c r="E123" s="9"/>
      <x:c r="F123" s="9"/>
      <x:c r="G123" s="9"/>
      <x:c r="H123" s="9"/>
      <x:c r="I123" s="9"/>
      <x:c r="J123" s="9"/>
      <x:c r="K123" s="9"/>
      <x:c r="L123" s="9"/>
      <x:c r="M123" s="9"/>
      <x:c r="N123" s="9"/>
      <x:c r="O123" s="9"/>
      <x:c r="P123" s="9"/>
      <x:c r="Q123" s="9"/>
      <x:c r="R123" s="12" t="str">
        <x:f>IF(A123="","",IF(COUNTIF($A$6:$A$205,A123)&gt;1,"记录ID重复",IF(AND(O123="已验证关闭",OR(P123="",Q123="")),"关闭须有复核或重跑证据","格式已填；仍须人工复核")))</x:f>
      </x:c>
    </x:row>
    <x:row r="124" ht="44" customHeight="1">
      <x:c r="A124" s="9"/>
      <x:c r="B124" s="9"/>
      <x:c r="C124" s="9"/>
      <x:c r="D124" s="9"/>
      <x:c r="E124" s="9"/>
      <x:c r="F124" s="9"/>
      <x:c r="G124" s="9"/>
      <x:c r="H124" s="9"/>
      <x:c r="I124" s="9"/>
      <x:c r="J124" s="9"/>
      <x:c r="K124" s="9"/>
      <x:c r="L124" s="9"/>
      <x:c r="M124" s="9"/>
      <x:c r="N124" s="9"/>
      <x:c r="O124" s="9"/>
      <x:c r="P124" s="9"/>
      <x:c r="Q124" s="9"/>
      <x:c r="R124" s="12" t="str">
        <x:f>IF(A124="","",IF(COUNTIF($A$6:$A$205,A124)&gt;1,"记录ID重复",IF(AND(O124="已验证关闭",OR(P124="",Q124="")),"关闭须有复核或重跑证据","格式已填；仍须人工复核")))</x:f>
      </x:c>
    </x:row>
    <x:row r="125" ht="44" customHeight="1">
      <x:c r="A125" s="9"/>
      <x:c r="B125" s="9"/>
      <x:c r="C125" s="9"/>
      <x:c r="D125" s="9"/>
      <x:c r="E125" s="9"/>
      <x:c r="F125" s="9"/>
      <x:c r="G125" s="9"/>
      <x:c r="H125" s="9"/>
      <x:c r="I125" s="9"/>
      <x:c r="J125" s="9"/>
      <x:c r="K125" s="9"/>
      <x:c r="L125" s="9"/>
      <x:c r="M125" s="9"/>
      <x:c r="N125" s="9"/>
      <x:c r="O125" s="9"/>
      <x:c r="P125" s="9"/>
      <x:c r="Q125" s="9"/>
      <x:c r="R125" s="12" t="str">
        <x:f>IF(A125="","",IF(COUNTIF($A$6:$A$205,A125)&gt;1,"记录ID重复",IF(AND(O125="已验证关闭",OR(P125="",Q125="")),"关闭须有复核或重跑证据","格式已填；仍须人工复核")))</x:f>
      </x:c>
    </x:row>
    <x:row r="126" ht="44" customHeight="1">
      <x:c r="A126" s="9"/>
      <x:c r="B126" s="9"/>
      <x:c r="C126" s="9"/>
      <x:c r="D126" s="9"/>
      <x:c r="E126" s="9"/>
      <x:c r="F126" s="9"/>
      <x:c r="G126" s="9"/>
      <x:c r="H126" s="9"/>
      <x:c r="I126" s="9"/>
      <x:c r="J126" s="9"/>
      <x:c r="K126" s="9"/>
      <x:c r="L126" s="9"/>
      <x:c r="M126" s="9"/>
      <x:c r="N126" s="9"/>
      <x:c r="O126" s="9"/>
      <x:c r="P126" s="9"/>
      <x:c r="Q126" s="9"/>
      <x:c r="R126" s="12" t="str">
        <x:f>IF(A126="","",IF(COUNTIF($A$6:$A$205,A126)&gt;1,"记录ID重复",IF(AND(O126="已验证关闭",OR(P126="",Q126="")),"关闭须有复核或重跑证据","格式已填；仍须人工复核")))</x:f>
      </x:c>
    </x:row>
    <x:row r="127" ht="44" customHeight="1">
      <x:c r="A127" s="9"/>
      <x:c r="B127" s="9"/>
      <x:c r="C127" s="9"/>
      <x:c r="D127" s="9"/>
      <x:c r="E127" s="9"/>
      <x:c r="F127" s="9"/>
      <x:c r="G127" s="9"/>
      <x:c r="H127" s="9"/>
      <x:c r="I127" s="9"/>
      <x:c r="J127" s="9"/>
      <x:c r="K127" s="9"/>
      <x:c r="L127" s="9"/>
      <x:c r="M127" s="9"/>
      <x:c r="N127" s="9"/>
      <x:c r="O127" s="9"/>
      <x:c r="P127" s="9"/>
      <x:c r="Q127" s="9"/>
      <x:c r="R127" s="12" t="str">
        <x:f>IF(A127="","",IF(COUNTIF($A$6:$A$205,A127)&gt;1,"记录ID重复",IF(AND(O127="已验证关闭",OR(P127="",Q127="")),"关闭须有复核或重跑证据","格式已填；仍须人工复核")))</x:f>
      </x:c>
    </x:row>
    <x:row r="128" ht="44" customHeight="1">
      <x:c r="A128" s="9"/>
      <x:c r="B128" s="9"/>
      <x:c r="C128" s="9"/>
      <x:c r="D128" s="9"/>
      <x:c r="E128" s="9"/>
      <x:c r="F128" s="9"/>
      <x:c r="G128" s="9"/>
      <x:c r="H128" s="9"/>
      <x:c r="I128" s="9"/>
      <x:c r="J128" s="9"/>
      <x:c r="K128" s="9"/>
      <x:c r="L128" s="9"/>
      <x:c r="M128" s="9"/>
      <x:c r="N128" s="9"/>
      <x:c r="O128" s="9"/>
      <x:c r="P128" s="9"/>
      <x:c r="Q128" s="9"/>
      <x:c r="R128" s="12" t="str">
        <x:f>IF(A128="","",IF(COUNTIF($A$6:$A$205,A128)&gt;1,"记录ID重复",IF(AND(O128="已验证关闭",OR(P128="",Q128="")),"关闭须有复核或重跑证据","格式已填；仍须人工复核")))</x:f>
      </x:c>
    </x:row>
    <x:row r="129" ht="44" customHeight="1">
      <x:c r="A129" s="9"/>
      <x:c r="B129" s="9"/>
      <x:c r="C129" s="9"/>
      <x:c r="D129" s="9"/>
      <x:c r="E129" s="9"/>
      <x:c r="F129" s="9"/>
      <x:c r="G129" s="9"/>
      <x:c r="H129" s="9"/>
      <x:c r="I129" s="9"/>
      <x:c r="J129" s="9"/>
      <x:c r="K129" s="9"/>
      <x:c r="L129" s="9"/>
      <x:c r="M129" s="9"/>
      <x:c r="N129" s="9"/>
      <x:c r="O129" s="9"/>
      <x:c r="P129" s="9"/>
      <x:c r="Q129" s="9"/>
      <x:c r="R129" s="12" t="str">
        <x:f>IF(A129="","",IF(COUNTIF($A$6:$A$205,A129)&gt;1,"记录ID重复",IF(AND(O129="已验证关闭",OR(P129="",Q129="")),"关闭须有复核或重跑证据","格式已填；仍须人工复核")))</x:f>
      </x:c>
    </x:row>
    <x:row r="130" ht="44" customHeight="1">
      <x:c r="A130" s="9"/>
      <x:c r="B130" s="9"/>
      <x:c r="C130" s="9"/>
      <x:c r="D130" s="9"/>
      <x:c r="E130" s="9"/>
      <x:c r="F130" s="9"/>
      <x:c r="G130" s="9"/>
      <x:c r="H130" s="9"/>
      <x:c r="I130" s="9"/>
      <x:c r="J130" s="9"/>
      <x:c r="K130" s="9"/>
      <x:c r="L130" s="9"/>
      <x:c r="M130" s="9"/>
      <x:c r="N130" s="9"/>
      <x:c r="O130" s="9"/>
      <x:c r="P130" s="9"/>
      <x:c r="Q130" s="9"/>
      <x:c r="R130" s="12" t="str">
        <x:f>IF(A130="","",IF(COUNTIF($A$6:$A$205,A130)&gt;1,"记录ID重复",IF(AND(O130="已验证关闭",OR(P130="",Q130="")),"关闭须有复核或重跑证据","格式已填；仍须人工复核")))</x:f>
      </x:c>
    </x:row>
    <x:row r="131" ht="44" customHeight="1">
      <x:c r="A131" s="9"/>
      <x:c r="B131" s="9"/>
      <x:c r="C131" s="9"/>
      <x:c r="D131" s="9"/>
      <x:c r="E131" s="9"/>
      <x:c r="F131" s="9"/>
      <x:c r="G131" s="9"/>
      <x:c r="H131" s="9"/>
      <x:c r="I131" s="9"/>
      <x:c r="J131" s="9"/>
      <x:c r="K131" s="9"/>
      <x:c r="L131" s="9"/>
      <x:c r="M131" s="9"/>
      <x:c r="N131" s="9"/>
      <x:c r="O131" s="9"/>
      <x:c r="P131" s="9"/>
      <x:c r="Q131" s="9"/>
      <x:c r="R131" s="12" t="str">
        <x:f>IF(A131="","",IF(COUNTIF($A$6:$A$205,A131)&gt;1,"记录ID重复",IF(AND(O131="已验证关闭",OR(P131="",Q131="")),"关闭须有复核或重跑证据","格式已填；仍须人工复核")))</x:f>
      </x:c>
    </x:row>
    <x:row r="132" ht="44" customHeight="1">
      <x:c r="A132" s="9"/>
      <x:c r="B132" s="9"/>
      <x:c r="C132" s="9"/>
      <x:c r="D132" s="9"/>
      <x:c r="E132" s="9"/>
      <x:c r="F132" s="9"/>
      <x:c r="G132" s="9"/>
      <x:c r="H132" s="9"/>
      <x:c r="I132" s="9"/>
      <x:c r="J132" s="9"/>
      <x:c r="K132" s="9"/>
      <x:c r="L132" s="9"/>
      <x:c r="M132" s="9"/>
      <x:c r="N132" s="9"/>
      <x:c r="O132" s="9"/>
      <x:c r="P132" s="9"/>
      <x:c r="Q132" s="9"/>
      <x:c r="R132" s="12" t="str">
        <x:f>IF(A132="","",IF(COUNTIF($A$6:$A$205,A132)&gt;1,"记录ID重复",IF(AND(O132="已验证关闭",OR(P132="",Q132="")),"关闭须有复核或重跑证据","格式已填；仍须人工复核")))</x:f>
      </x:c>
    </x:row>
    <x:row r="133" ht="44" customHeight="1">
      <x:c r="A133" s="9"/>
      <x:c r="B133" s="9"/>
      <x:c r="C133" s="9"/>
      <x:c r="D133" s="9"/>
      <x:c r="E133" s="9"/>
      <x:c r="F133" s="9"/>
      <x:c r="G133" s="9"/>
      <x:c r="H133" s="9"/>
      <x:c r="I133" s="9"/>
      <x:c r="J133" s="9"/>
      <x:c r="K133" s="9"/>
      <x:c r="L133" s="9"/>
      <x:c r="M133" s="9"/>
      <x:c r="N133" s="9"/>
      <x:c r="O133" s="9"/>
      <x:c r="P133" s="9"/>
      <x:c r="Q133" s="9"/>
      <x:c r="R133" s="12" t="str">
        <x:f>IF(A133="","",IF(COUNTIF($A$6:$A$205,A133)&gt;1,"记录ID重复",IF(AND(O133="已验证关闭",OR(P133="",Q133="")),"关闭须有复核或重跑证据","格式已填；仍须人工复核")))</x:f>
      </x:c>
    </x:row>
    <x:row r="134" ht="44" customHeight="1">
      <x:c r="A134" s="9"/>
      <x:c r="B134" s="9"/>
      <x:c r="C134" s="9"/>
      <x:c r="D134" s="9"/>
      <x:c r="E134" s="9"/>
      <x:c r="F134" s="9"/>
      <x:c r="G134" s="9"/>
      <x:c r="H134" s="9"/>
      <x:c r="I134" s="9"/>
      <x:c r="J134" s="9"/>
      <x:c r="K134" s="9"/>
      <x:c r="L134" s="9"/>
      <x:c r="M134" s="9"/>
      <x:c r="N134" s="9"/>
      <x:c r="O134" s="9"/>
      <x:c r="P134" s="9"/>
      <x:c r="Q134" s="9"/>
      <x:c r="R134" s="12" t="str">
        <x:f>IF(A134="","",IF(COUNTIF($A$6:$A$205,A134)&gt;1,"记录ID重复",IF(AND(O134="已验证关闭",OR(P134="",Q134="")),"关闭须有复核或重跑证据","格式已填；仍须人工复核")))</x:f>
      </x:c>
    </x:row>
    <x:row r="135" ht="44" customHeight="1">
      <x:c r="A135" s="9"/>
      <x:c r="B135" s="9"/>
      <x:c r="C135" s="9"/>
      <x:c r="D135" s="9"/>
      <x:c r="E135" s="9"/>
      <x:c r="F135" s="9"/>
      <x:c r="G135" s="9"/>
      <x:c r="H135" s="9"/>
      <x:c r="I135" s="9"/>
      <x:c r="J135" s="9"/>
      <x:c r="K135" s="9"/>
      <x:c r="L135" s="9"/>
      <x:c r="M135" s="9"/>
      <x:c r="N135" s="9"/>
      <x:c r="O135" s="9"/>
      <x:c r="P135" s="9"/>
      <x:c r="Q135" s="9"/>
      <x:c r="R135" s="12" t="str">
        <x:f>IF(A135="","",IF(COUNTIF($A$6:$A$205,A135)&gt;1,"记录ID重复",IF(AND(O135="已验证关闭",OR(P135="",Q135="")),"关闭须有复核或重跑证据","格式已填；仍须人工复核")))</x:f>
      </x:c>
    </x:row>
    <x:row r="136" ht="44" customHeight="1">
      <x:c r="A136" s="9"/>
      <x:c r="B136" s="9"/>
      <x:c r="C136" s="9"/>
      <x:c r="D136" s="9"/>
      <x:c r="E136" s="9"/>
      <x:c r="F136" s="9"/>
      <x:c r="G136" s="9"/>
      <x:c r="H136" s="9"/>
      <x:c r="I136" s="9"/>
      <x:c r="J136" s="9"/>
      <x:c r="K136" s="9"/>
      <x:c r="L136" s="9"/>
      <x:c r="M136" s="9"/>
      <x:c r="N136" s="9"/>
      <x:c r="O136" s="9"/>
      <x:c r="P136" s="9"/>
      <x:c r="Q136" s="9"/>
      <x:c r="R136" s="12" t="str">
        <x:f>IF(A136="","",IF(COUNTIF($A$6:$A$205,A136)&gt;1,"记录ID重复",IF(AND(O136="已验证关闭",OR(P136="",Q136="")),"关闭须有复核或重跑证据","格式已填；仍须人工复核")))</x:f>
      </x:c>
    </x:row>
    <x:row r="137" ht="44" customHeight="1">
      <x:c r="A137" s="9"/>
      <x:c r="B137" s="9"/>
      <x:c r="C137" s="9"/>
      <x:c r="D137" s="9"/>
      <x:c r="E137" s="9"/>
      <x:c r="F137" s="9"/>
      <x:c r="G137" s="9"/>
      <x:c r="H137" s="9"/>
      <x:c r="I137" s="9"/>
      <x:c r="J137" s="9"/>
      <x:c r="K137" s="9"/>
      <x:c r="L137" s="9"/>
      <x:c r="M137" s="9"/>
      <x:c r="N137" s="9"/>
      <x:c r="O137" s="9"/>
      <x:c r="P137" s="9"/>
      <x:c r="Q137" s="9"/>
      <x:c r="R137" s="12" t="str">
        <x:f>IF(A137="","",IF(COUNTIF($A$6:$A$205,A137)&gt;1,"记录ID重复",IF(AND(O137="已验证关闭",OR(P137="",Q137="")),"关闭须有复核或重跑证据","格式已填；仍须人工复核")))</x:f>
      </x:c>
    </x:row>
    <x:row r="138" ht="44" customHeight="1">
      <x:c r="A138" s="9"/>
      <x:c r="B138" s="9"/>
      <x:c r="C138" s="9"/>
      <x:c r="D138" s="9"/>
      <x:c r="E138" s="9"/>
      <x:c r="F138" s="9"/>
      <x:c r="G138" s="9"/>
      <x:c r="H138" s="9"/>
      <x:c r="I138" s="9"/>
      <x:c r="J138" s="9"/>
      <x:c r="K138" s="9"/>
      <x:c r="L138" s="9"/>
      <x:c r="M138" s="9"/>
      <x:c r="N138" s="9"/>
      <x:c r="O138" s="9"/>
      <x:c r="P138" s="9"/>
      <x:c r="Q138" s="9"/>
      <x:c r="R138" s="12" t="str">
        <x:f>IF(A138="","",IF(COUNTIF($A$6:$A$205,A138)&gt;1,"记录ID重复",IF(AND(O138="已验证关闭",OR(P138="",Q138="")),"关闭须有复核或重跑证据","格式已填；仍须人工复核")))</x:f>
      </x:c>
    </x:row>
    <x:row r="139" ht="44" customHeight="1">
      <x:c r="A139" s="9"/>
      <x:c r="B139" s="9"/>
      <x:c r="C139" s="9"/>
      <x:c r="D139" s="9"/>
      <x:c r="E139" s="9"/>
      <x:c r="F139" s="9"/>
      <x:c r="G139" s="9"/>
      <x:c r="H139" s="9"/>
      <x:c r="I139" s="9"/>
      <x:c r="J139" s="9"/>
      <x:c r="K139" s="9"/>
      <x:c r="L139" s="9"/>
      <x:c r="M139" s="9"/>
      <x:c r="N139" s="9"/>
      <x:c r="O139" s="9"/>
      <x:c r="P139" s="9"/>
      <x:c r="Q139" s="9"/>
      <x:c r="R139" s="12" t="str">
        <x:f>IF(A139="","",IF(COUNTIF($A$6:$A$205,A139)&gt;1,"记录ID重复",IF(AND(O139="已验证关闭",OR(P139="",Q139="")),"关闭须有复核或重跑证据","格式已填；仍须人工复核")))</x:f>
      </x:c>
    </x:row>
    <x:row r="140" ht="44" customHeight="1">
      <x:c r="A140" s="9"/>
      <x:c r="B140" s="9"/>
      <x:c r="C140" s="9"/>
      <x:c r="D140" s="9"/>
      <x:c r="E140" s="9"/>
      <x:c r="F140" s="9"/>
      <x:c r="G140" s="9"/>
      <x:c r="H140" s="9"/>
      <x:c r="I140" s="9"/>
      <x:c r="J140" s="9"/>
      <x:c r="K140" s="9"/>
      <x:c r="L140" s="9"/>
      <x:c r="M140" s="9"/>
      <x:c r="N140" s="9"/>
      <x:c r="O140" s="9"/>
      <x:c r="P140" s="9"/>
      <x:c r="Q140" s="9"/>
      <x:c r="R140" s="12" t="str">
        <x:f>IF(A140="","",IF(COUNTIF($A$6:$A$205,A140)&gt;1,"记录ID重复",IF(AND(O140="已验证关闭",OR(P140="",Q140="")),"关闭须有复核或重跑证据","格式已填；仍须人工复核")))</x:f>
      </x:c>
    </x:row>
    <x:row r="141" ht="44" customHeight="1">
      <x:c r="A141" s="9"/>
      <x:c r="B141" s="9"/>
      <x:c r="C141" s="9"/>
      <x:c r="D141" s="9"/>
      <x:c r="E141" s="9"/>
      <x:c r="F141" s="9"/>
      <x:c r="G141" s="9"/>
      <x:c r="H141" s="9"/>
      <x:c r="I141" s="9"/>
      <x:c r="J141" s="9"/>
      <x:c r="K141" s="9"/>
      <x:c r="L141" s="9"/>
      <x:c r="M141" s="9"/>
      <x:c r="N141" s="9"/>
      <x:c r="O141" s="9"/>
      <x:c r="P141" s="9"/>
      <x:c r="Q141" s="9"/>
      <x:c r="R141" s="12" t="str">
        <x:f>IF(A141="","",IF(COUNTIF($A$6:$A$205,A141)&gt;1,"记录ID重复",IF(AND(O141="已验证关闭",OR(P141="",Q141="")),"关闭须有复核或重跑证据","格式已填；仍须人工复核")))</x:f>
      </x:c>
    </x:row>
    <x:row r="142" ht="44" customHeight="1">
      <x:c r="A142" s="9"/>
      <x:c r="B142" s="9"/>
      <x:c r="C142" s="9"/>
      <x:c r="D142" s="9"/>
      <x:c r="E142" s="9"/>
      <x:c r="F142" s="9"/>
      <x:c r="G142" s="9"/>
      <x:c r="H142" s="9"/>
      <x:c r="I142" s="9"/>
      <x:c r="J142" s="9"/>
      <x:c r="K142" s="9"/>
      <x:c r="L142" s="9"/>
      <x:c r="M142" s="9"/>
      <x:c r="N142" s="9"/>
      <x:c r="O142" s="9"/>
      <x:c r="P142" s="9"/>
      <x:c r="Q142" s="9"/>
      <x:c r="R142" s="12" t="str">
        <x:f>IF(A142="","",IF(COUNTIF($A$6:$A$205,A142)&gt;1,"记录ID重复",IF(AND(O142="已验证关闭",OR(P142="",Q142="")),"关闭须有复核或重跑证据","格式已填；仍须人工复核")))</x:f>
      </x:c>
    </x:row>
    <x:row r="143" ht="44" customHeight="1">
      <x:c r="A143" s="9"/>
      <x:c r="B143" s="9"/>
      <x:c r="C143" s="9"/>
      <x:c r="D143" s="9"/>
      <x:c r="E143" s="9"/>
      <x:c r="F143" s="9"/>
      <x:c r="G143" s="9"/>
      <x:c r="H143" s="9"/>
      <x:c r="I143" s="9"/>
      <x:c r="J143" s="9"/>
      <x:c r="K143" s="9"/>
      <x:c r="L143" s="9"/>
      <x:c r="M143" s="9"/>
      <x:c r="N143" s="9"/>
      <x:c r="O143" s="9"/>
      <x:c r="P143" s="9"/>
      <x:c r="Q143" s="9"/>
      <x:c r="R143" s="12" t="str">
        <x:f>IF(A143="","",IF(COUNTIF($A$6:$A$205,A143)&gt;1,"记录ID重复",IF(AND(O143="已验证关闭",OR(P143="",Q143="")),"关闭须有复核或重跑证据","格式已填；仍须人工复核")))</x:f>
      </x:c>
    </x:row>
    <x:row r="144" ht="44" customHeight="1">
      <x:c r="A144" s="9"/>
      <x:c r="B144" s="9"/>
      <x:c r="C144" s="9"/>
      <x:c r="D144" s="9"/>
      <x:c r="E144" s="9"/>
      <x:c r="F144" s="9"/>
      <x:c r="G144" s="9"/>
      <x:c r="H144" s="9"/>
      <x:c r="I144" s="9"/>
      <x:c r="J144" s="9"/>
      <x:c r="K144" s="9"/>
      <x:c r="L144" s="9"/>
      <x:c r="M144" s="9"/>
      <x:c r="N144" s="9"/>
      <x:c r="O144" s="9"/>
      <x:c r="P144" s="9"/>
      <x:c r="Q144" s="9"/>
      <x:c r="R144" s="12" t="str">
        <x:f>IF(A144="","",IF(COUNTIF($A$6:$A$205,A144)&gt;1,"记录ID重复",IF(AND(O144="已验证关闭",OR(P144="",Q144="")),"关闭须有复核或重跑证据","格式已填；仍须人工复核")))</x:f>
      </x:c>
    </x:row>
    <x:row r="145" ht="44" customHeight="1">
      <x:c r="A145" s="9"/>
      <x:c r="B145" s="9"/>
      <x:c r="C145" s="9"/>
      <x:c r="D145" s="9"/>
      <x:c r="E145" s="9"/>
      <x:c r="F145" s="9"/>
      <x:c r="G145" s="9"/>
      <x:c r="H145" s="9"/>
      <x:c r="I145" s="9"/>
      <x:c r="J145" s="9"/>
      <x:c r="K145" s="9"/>
      <x:c r="L145" s="9"/>
      <x:c r="M145" s="9"/>
      <x:c r="N145" s="9"/>
      <x:c r="O145" s="9"/>
      <x:c r="P145" s="9"/>
      <x:c r="Q145" s="9"/>
      <x:c r="R145" s="12" t="str">
        <x:f>IF(A145="","",IF(COUNTIF($A$6:$A$205,A145)&gt;1,"记录ID重复",IF(AND(O145="已验证关闭",OR(P145="",Q145="")),"关闭须有复核或重跑证据","格式已填；仍须人工复核")))</x:f>
      </x:c>
    </x:row>
    <x:row r="146" ht="44" customHeight="1">
      <x:c r="A146" s="9"/>
      <x:c r="B146" s="9"/>
      <x:c r="C146" s="9"/>
      <x:c r="D146" s="9"/>
      <x:c r="E146" s="9"/>
      <x:c r="F146" s="9"/>
      <x:c r="G146" s="9"/>
      <x:c r="H146" s="9"/>
      <x:c r="I146" s="9"/>
      <x:c r="J146" s="9"/>
      <x:c r="K146" s="9"/>
      <x:c r="L146" s="9"/>
      <x:c r="M146" s="9"/>
      <x:c r="N146" s="9"/>
      <x:c r="O146" s="9"/>
      <x:c r="P146" s="9"/>
      <x:c r="Q146" s="9"/>
      <x:c r="R146" s="12" t="str">
        <x:f>IF(A146="","",IF(COUNTIF($A$6:$A$205,A146)&gt;1,"记录ID重复",IF(AND(O146="已验证关闭",OR(P146="",Q146="")),"关闭须有复核或重跑证据","格式已填；仍须人工复核")))</x:f>
      </x:c>
    </x:row>
    <x:row r="147" ht="44" customHeight="1">
      <x:c r="A147" s="9"/>
      <x:c r="B147" s="9"/>
      <x:c r="C147" s="9"/>
      <x:c r="D147" s="9"/>
      <x:c r="E147" s="9"/>
      <x:c r="F147" s="9"/>
      <x:c r="G147" s="9"/>
      <x:c r="H147" s="9"/>
      <x:c r="I147" s="9"/>
      <x:c r="J147" s="9"/>
      <x:c r="K147" s="9"/>
      <x:c r="L147" s="9"/>
      <x:c r="M147" s="9"/>
      <x:c r="N147" s="9"/>
      <x:c r="O147" s="9"/>
      <x:c r="P147" s="9"/>
      <x:c r="Q147" s="9"/>
      <x:c r="R147" s="12" t="str">
        <x:f>IF(A147="","",IF(COUNTIF($A$6:$A$205,A147)&gt;1,"记录ID重复",IF(AND(O147="已验证关闭",OR(P147="",Q147="")),"关闭须有复核或重跑证据","格式已填；仍须人工复核")))</x:f>
      </x:c>
    </x:row>
    <x:row r="148" ht="44" customHeight="1">
      <x:c r="A148" s="9"/>
      <x:c r="B148" s="9"/>
      <x:c r="C148" s="9"/>
      <x:c r="D148" s="9"/>
      <x:c r="E148" s="9"/>
      <x:c r="F148" s="9"/>
      <x:c r="G148" s="9"/>
      <x:c r="H148" s="9"/>
      <x:c r="I148" s="9"/>
      <x:c r="J148" s="9"/>
      <x:c r="K148" s="9"/>
      <x:c r="L148" s="9"/>
      <x:c r="M148" s="9"/>
      <x:c r="N148" s="9"/>
      <x:c r="O148" s="9"/>
      <x:c r="P148" s="9"/>
      <x:c r="Q148" s="9"/>
      <x:c r="R148" s="12" t="str">
        <x:f>IF(A148="","",IF(COUNTIF($A$6:$A$205,A148)&gt;1,"记录ID重复",IF(AND(O148="已验证关闭",OR(P148="",Q148="")),"关闭须有复核或重跑证据","格式已填；仍须人工复核")))</x:f>
      </x:c>
    </x:row>
    <x:row r="149" ht="44" customHeight="1">
      <x:c r="A149" s="9"/>
      <x:c r="B149" s="9"/>
      <x:c r="C149" s="9"/>
      <x:c r="D149" s="9"/>
      <x:c r="E149" s="9"/>
      <x:c r="F149" s="9"/>
      <x:c r="G149" s="9"/>
      <x:c r="H149" s="9"/>
      <x:c r="I149" s="9"/>
      <x:c r="J149" s="9"/>
      <x:c r="K149" s="9"/>
      <x:c r="L149" s="9"/>
      <x:c r="M149" s="9"/>
      <x:c r="N149" s="9"/>
      <x:c r="O149" s="9"/>
      <x:c r="P149" s="9"/>
      <x:c r="Q149" s="9"/>
      <x:c r="R149" s="12" t="str">
        <x:f>IF(A149="","",IF(COUNTIF($A$6:$A$205,A149)&gt;1,"记录ID重复",IF(AND(O149="已验证关闭",OR(P149="",Q149="")),"关闭须有复核或重跑证据","格式已填；仍须人工复核")))</x:f>
      </x:c>
    </x:row>
    <x:row r="150" ht="44" customHeight="1">
      <x:c r="A150" s="9"/>
      <x:c r="B150" s="9"/>
      <x:c r="C150" s="9"/>
      <x:c r="D150" s="9"/>
      <x:c r="E150" s="9"/>
      <x:c r="F150" s="9"/>
      <x:c r="G150" s="9"/>
      <x:c r="H150" s="9"/>
      <x:c r="I150" s="9"/>
      <x:c r="J150" s="9"/>
      <x:c r="K150" s="9"/>
      <x:c r="L150" s="9"/>
      <x:c r="M150" s="9"/>
      <x:c r="N150" s="9"/>
      <x:c r="O150" s="9"/>
      <x:c r="P150" s="9"/>
      <x:c r="Q150" s="9"/>
      <x:c r="R150" s="12" t="str">
        <x:f>IF(A150="","",IF(COUNTIF($A$6:$A$205,A150)&gt;1,"记录ID重复",IF(AND(O150="已验证关闭",OR(P150="",Q150="")),"关闭须有复核或重跑证据","格式已填；仍须人工复核")))</x:f>
      </x:c>
    </x:row>
    <x:row r="151" ht="44" customHeight="1">
      <x:c r="A151" s="9"/>
      <x:c r="B151" s="9"/>
      <x:c r="C151" s="9"/>
      <x:c r="D151" s="9"/>
      <x:c r="E151" s="9"/>
      <x:c r="F151" s="9"/>
      <x:c r="G151" s="9"/>
      <x:c r="H151" s="9"/>
      <x:c r="I151" s="9"/>
      <x:c r="J151" s="9"/>
      <x:c r="K151" s="9"/>
      <x:c r="L151" s="9"/>
      <x:c r="M151" s="9"/>
      <x:c r="N151" s="9"/>
      <x:c r="O151" s="9"/>
      <x:c r="P151" s="9"/>
      <x:c r="Q151" s="9"/>
      <x:c r="R151" s="12" t="str">
        <x:f>IF(A151="","",IF(COUNTIF($A$6:$A$205,A151)&gt;1,"记录ID重复",IF(AND(O151="已验证关闭",OR(P151="",Q151="")),"关闭须有复核或重跑证据","格式已填；仍须人工复核")))</x:f>
      </x:c>
    </x:row>
    <x:row r="152" ht="44" customHeight="1">
      <x:c r="A152" s="9"/>
      <x:c r="B152" s="9"/>
      <x:c r="C152" s="9"/>
      <x:c r="D152" s="9"/>
      <x:c r="E152" s="9"/>
      <x:c r="F152" s="9"/>
      <x:c r="G152" s="9"/>
      <x:c r="H152" s="9"/>
      <x:c r="I152" s="9"/>
      <x:c r="J152" s="9"/>
      <x:c r="K152" s="9"/>
      <x:c r="L152" s="9"/>
      <x:c r="M152" s="9"/>
      <x:c r="N152" s="9"/>
      <x:c r="O152" s="9"/>
      <x:c r="P152" s="9"/>
      <x:c r="Q152" s="9"/>
      <x:c r="R152" s="12" t="str">
        <x:f>IF(A152="","",IF(COUNTIF($A$6:$A$205,A152)&gt;1,"记录ID重复",IF(AND(O152="已验证关闭",OR(P152="",Q152="")),"关闭须有复核或重跑证据","格式已填；仍须人工复核")))</x:f>
      </x:c>
    </x:row>
    <x:row r="153" ht="44" customHeight="1">
      <x:c r="A153" s="9"/>
      <x:c r="B153" s="9"/>
      <x:c r="C153" s="9"/>
      <x:c r="D153" s="9"/>
      <x:c r="E153" s="9"/>
      <x:c r="F153" s="9"/>
      <x:c r="G153" s="9"/>
      <x:c r="H153" s="9"/>
      <x:c r="I153" s="9"/>
      <x:c r="J153" s="9"/>
      <x:c r="K153" s="9"/>
      <x:c r="L153" s="9"/>
      <x:c r="M153" s="9"/>
      <x:c r="N153" s="9"/>
      <x:c r="O153" s="9"/>
      <x:c r="P153" s="9"/>
      <x:c r="Q153" s="9"/>
      <x:c r="R153" s="12" t="str">
        <x:f>IF(A153="","",IF(COUNTIF($A$6:$A$205,A153)&gt;1,"记录ID重复",IF(AND(O153="已验证关闭",OR(P153="",Q153="")),"关闭须有复核或重跑证据","格式已填；仍须人工复核")))</x:f>
      </x:c>
    </x:row>
    <x:row r="154" ht="44" customHeight="1">
      <x:c r="A154" s="9"/>
      <x:c r="B154" s="9"/>
      <x:c r="C154" s="9"/>
      <x:c r="D154" s="9"/>
      <x:c r="E154" s="9"/>
      <x:c r="F154" s="9"/>
      <x:c r="G154" s="9"/>
      <x:c r="H154" s="9"/>
      <x:c r="I154" s="9"/>
      <x:c r="J154" s="9"/>
      <x:c r="K154" s="9"/>
      <x:c r="L154" s="9"/>
      <x:c r="M154" s="9"/>
      <x:c r="N154" s="9"/>
      <x:c r="O154" s="9"/>
      <x:c r="P154" s="9"/>
      <x:c r="Q154" s="9"/>
      <x:c r="R154" s="12" t="str">
        <x:f>IF(A154="","",IF(COUNTIF($A$6:$A$205,A154)&gt;1,"记录ID重复",IF(AND(O154="已验证关闭",OR(P154="",Q154="")),"关闭须有复核或重跑证据","格式已填；仍须人工复核")))</x:f>
      </x:c>
    </x:row>
    <x:row r="155" ht="44" customHeight="1">
      <x:c r="A155" s="9"/>
      <x:c r="B155" s="9"/>
      <x:c r="C155" s="9"/>
      <x:c r="D155" s="9"/>
      <x:c r="E155" s="9"/>
      <x:c r="F155" s="9"/>
      <x:c r="G155" s="9"/>
      <x:c r="H155" s="9"/>
      <x:c r="I155" s="9"/>
      <x:c r="J155" s="9"/>
      <x:c r="K155" s="9"/>
      <x:c r="L155" s="9"/>
      <x:c r="M155" s="9"/>
      <x:c r="N155" s="9"/>
      <x:c r="O155" s="9"/>
      <x:c r="P155" s="9"/>
      <x:c r="Q155" s="9"/>
      <x:c r="R155" s="12" t="str">
        <x:f>IF(A155="","",IF(COUNTIF($A$6:$A$205,A155)&gt;1,"记录ID重复",IF(AND(O155="已验证关闭",OR(P155="",Q155="")),"关闭须有复核或重跑证据","格式已填；仍须人工复核")))</x:f>
      </x:c>
    </x:row>
    <x:row r="156" ht="44" customHeight="1">
      <x:c r="A156" s="9"/>
      <x:c r="B156" s="9"/>
      <x:c r="C156" s="9"/>
      <x:c r="D156" s="9"/>
      <x:c r="E156" s="9"/>
      <x:c r="F156" s="9"/>
      <x:c r="G156" s="9"/>
      <x:c r="H156" s="9"/>
      <x:c r="I156" s="9"/>
      <x:c r="J156" s="9"/>
      <x:c r="K156" s="9"/>
      <x:c r="L156" s="9"/>
      <x:c r="M156" s="9"/>
      <x:c r="N156" s="9"/>
      <x:c r="O156" s="9"/>
      <x:c r="P156" s="9"/>
      <x:c r="Q156" s="9"/>
      <x:c r="R156" s="12" t="str">
        <x:f>IF(A156="","",IF(COUNTIF($A$6:$A$205,A156)&gt;1,"记录ID重复",IF(AND(O156="已验证关闭",OR(P156="",Q156="")),"关闭须有复核或重跑证据","格式已填；仍须人工复核")))</x:f>
      </x:c>
    </x:row>
    <x:row r="157" ht="44" customHeight="1">
      <x:c r="A157" s="9"/>
      <x:c r="B157" s="9"/>
      <x:c r="C157" s="9"/>
      <x:c r="D157" s="9"/>
      <x:c r="E157" s="9"/>
      <x:c r="F157" s="9"/>
      <x:c r="G157" s="9"/>
      <x:c r="H157" s="9"/>
      <x:c r="I157" s="9"/>
      <x:c r="J157" s="9"/>
      <x:c r="K157" s="9"/>
      <x:c r="L157" s="9"/>
      <x:c r="M157" s="9"/>
      <x:c r="N157" s="9"/>
      <x:c r="O157" s="9"/>
      <x:c r="P157" s="9"/>
      <x:c r="Q157" s="9"/>
      <x:c r="R157" s="12" t="str">
        <x:f>IF(A157="","",IF(COUNTIF($A$6:$A$205,A157)&gt;1,"记录ID重复",IF(AND(O157="已验证关闭",OR(P157="",Q157="")),"关闭须有复核或重跑证据","格式已填；仍须人工复核")))</x:f>
      </x:c>
    </x:row>
    <x:row r="158" ht="44" customHeight="1">
      <x:c r="A158" s="9"/>
      <x:c r="B158" s="9"/>
      <x:c r="C158" s="9"/>
      <x:c r="D158" s="9"/>
      <x:c r="E158" s="9"/>
      <x:c r="F158" s="9"/>
      <x:c r="G158" s="9"/>
      <x:c r="H158" s="9"/>
      <x:c r="I158" s="9"/>
      <x:c r="J158" s="9"/>
      <x:c r="K158" s="9"/>
      <x:c r="L158" s="9"/>
      <x:c r="M158" s="9"/>
      <x:c r="N158" s="9"/>
      <x:c r="O158" s="9"/>
      <x:c r="P158" s="9"/>
      <x:c r="Q158" s="9"/>
      <x:c r="R158" s="12" t="str">
        <x:f>IF(A158="","",IF(COUNTIF($A$6:$A$205,A158)&gt;1,"记录ID重复",IF(AND(O158="已验证关闭",OR(P158="",Q158="")),"关闭须有复核或重跑证据","格式已填；仍须人工复核")))</x:f>
      </x:c>
    </x:row>
    <x:row r="159" ht="44" customHeight="1">
      <x:c r="A159" s="9"/>
      <x:c r="B159" s="9"/>
      <x:c r="C159" s="9"/>
      <x:c r="D159" s="9"/>
      <x:c r="E159" s="9"/>
      <x:c r="F159" s="9"/>
      <x:c r="G159" s="9"/>
      <x:c r="H159" s="9"/>
      <x:c r="I159" s="9"/>
      <x:c r="J159" s="9"/>
      <x:c r="K159" s="9"/>
      <x:c r="L159" s="9"/>
      <x:c r="M159" s="9"/>
      <x:c r="N159" s="9"/>
      <x:c r="O159" s="9"/>
      <x:c r="P159" s="9"/>
      <x:c r="Q159" s="9"/>
      <x:c r="R159" s="12" t="str">
        <x:f>IF(A159="","",IF(COUNTIF($A$6:$A$205,A159)&gt;1,"记录ID重复",IF(AND(O159="已验证关闭",OR(P159="",Q159="")),"关闭须有复核或重跑证据","格式已填；仍须人工复核")))</x:f>
      </x:c>
    </x:row>
    <x:row r="160" ht="44" customHeight="1">
      <x:c r="A160" s="9"/>
      <x:c r="B160" s="9"/>
      <x:c r="C160" s="9"/>
      <x:c r="D160" s="9"/>
      <x:c r="E160" s="9"/>
      <x:c r="F160" s="9"/>
      <x:c r="G160" s="9"/>
      <x:c r="H160" s="9"/>
      <x:c r="I160" s="9"/>
      <x:c r="J160" s="9"/>
      <x:c r="K160" s="9"/>
      <x:c r="L160" s="9"/>
      <x:c r="M160" s="9"/>
      <x:c r="N160" s="9"/>
      <x:c r="O160" s="9"/>
      <x:c r="P160" s="9"/>
      <x:c r="Q160" s="9"/>
      <x:c r="R160" s="12" t="str">
        <x:f>IF(A160="","",IF(COUNTIF($A$6:$A$205,A160)&gt;1,"记录ID重复",IF(AND(O160="已验证关闭",OR(P160="",Q160="")),"关闭须有复核或重跑证据","格式已填；仍须人工复核")))</x:f>
      </x:c>
    </x:row>
    <x:row r="161" ht="44" customHeight="1">
      <x:c r="A161" s="9"/>
      <x:c r="B161" s="9"/>
      <x:c r="C161" s="9"/>
      <x:c r="D161" s="9"/>
      <x:c r="E161" s="9"/>
      <x:c r="F161" s="9"/>
      <x:c r="G161" s="9"/>
      <x:c r="H161" s="9"/>
      <x:c r="I161" s="9"/>
      <x:c r="J161" s="9"/>
      <x:c r="K161" s="9"/>
      <x:c r="L161" s="9"/>
      <x:c r="M161" s="9"/>
      <x:c r="N161" s="9"/>
      <x:c r="O161" s="9"/>
      <x:c r="P161" s="9"/>
      <x:c r="Q161" s="9"/>
      <x:c r="R161" s="12" t="str">
        <x:f>IF(A161="","",IF(COUNTIF($A$6:$A$205,A161)&gt;1,"记录ID重复",IF(AND(O161="已验证关闭",OR(P161="",Q161="")),"关闭须有复核或重跑证据","格式已填；仍须人工复核")))</x:f>
      </x:c>
    </x:row>
    <x:row r="162" ht="44" customHeight="1">
      <x:c r="A162" s="9"/>
      <x:c r="B162" s="9"/>
      <x:c r="C162" s="9"/>
      <x:c r="D162" s="9"/>
      <x:c r="E162" s="9"/>
      <x:c r="F162" s="9"/>
      <x:c r="G162" s="9"/>
      <x:c r="H162" s="9"/>
      <x:c r="I162" s="9"/>
      <x:c r="J162" s="9"/>
      <x:c r="K162" s="9"/>
      <x:c r="L162" s="9"/>
      <x:c r="M162" s="9"/>
      <x:c r="N162" s="9"/>
      <x:c r="O162" s="9"/>
      <x:c r="P162" s="9"/>
      <x:c r="Q162" s="9"/>
      <x:c r="R162" s="12" t="str">
        <x:f>IF(A162="","",IF(COUNTIF($A$6:$A$205,A162)&gt;1,"记录ID重复",IF(AND(O162="已验证关闭",OR(P162="",Q162="")),"关闭须有复核或重跑证据","格式已填；仍须人工复核")))</x:f>
      </x:c>
    </x:row>
    <x:row r="163" ht="44" customHeight="1">
      <x:c r="A163" s="9"/>
      <x:c r="B163" s="9"/>
      <x:c r="C163" s="9"/>
      <x:c r="D163" s="9"/>
      <x:c r="E163" s="9"/>
      <x:c r="F163" s="9"/>
      <x:c r="G163" s="9"/>
      <x:c r="H163" s="9"/>
      <x:c r="I163" s="9"/>
      <x:c r="J163" s="9"/>
      <x:c r="K163" s="9"/>
      <x:c r="L163" s="9"/>
      <x:c r="M163" s="9"/>
      <x:c r="N163" s="9"/>
      <x:c r="O163" s="9"/>
      <x:c r="P163" s="9"/>
      <x:c r="Q163" s="9"/>
      <x:c r="R163" s="12" t="str">
        <x:f>IF(A163="","",IF(COUNTIF($A$6:$A$205,A163)&gt;1,"记录ID重复",IF(AND(O163="已验证关闭",OR(P163="",Q163="")),"关闭须有复核或重跑证据","格式已填；仍须人工复核")))</x:f>
      </x:c>
    </x:row>
    <x:row r="164" ht="44" customHeight="1">
      <x:c r="A164" s="9"/>
      <x:c r="B164" s="9"/>
      <x:c r="C164" s="9"/>
      <x:c r="D164" s="9"/>
      <x:c r="E164" s="9"/>
      <x:c r="F164" s="9"/>
      <x:c r="G164" s="9"/>
      <x:c r="H164" s="9"/>
      <x:c r="I164" s="9"/>
      <x:c r="J164" s="9"/>
      <x:c r="K164" s="9"/>
      <x:c r="L164" s="9"/>
      <x:c r="M164" s="9"/>
      <x:c r="N164" s="9"/>
      <x:c r="O164" s="9"/>
      <x:c r="P164" s="9"/>
      <x:c r="Q164" s="9"/>
      <x:c r="R164" s="12" t="str">
        <x:f>IF(A164="","",IF(COUNTIF($A$6:$A$205,A164)&gt;1,"记录ID重复",IF(AND(O164="已验证关闭",OR(P164="",Q164="")),"关闭须有复核或重跑证据","格式已填；仍须人工复核")))</x:f>
      </x:c>
    </x:row>
    <x:row r="165" ht="44" customHeight="1">
      <x:c r="A165" s="9"/>
      <x:c r="B165" s="9"/>
      <x:c r="C165" s="9"/>
      <x:c r="D165" s="9"/>
      <x:c r="E165" s="9"/>
      <x:c r="F165" s="9"/>
      <x:c r="G165" s="9"/>
      <x:c r="H165" s="9"/>
      <x:c r="I165" s="9"/>
      <x:c r="J165" s="9"/>
      <x:c r="K165" s="9"/>
      <x:c r="L165" s="9"/>
      <x:c r="M165" s="9"/>
      <x:c r="N165" s="9"/>
      <x:c r="O165" s="9"/>
      <x:c r="P165" s="9"/>
      <x:c r="Q165" s="9"/>
      <x:c r="R165" s="12" t="str">
        <x:f>IF(A165="","",IF(COUNTIF($A$6:$A$205,A165)&gt;1,"记录ID重复",IF(AND(O165="已验证关闭",OR(P165="",Q165="")),"关闭须有复核或重跑证据","格式已填；仍须人工复核")))</x:f>
      </x:c>
    </x:row>
    <x:row r="166" ht="44" customHeight="1">
      <x:c r="A166" s="9"/>
      <x:c r="B166" s="9"/>
      <x:c r="C166" s="9"/>
      <x:c r="D166" s="9"/>
      <x:c r="E166" s="9"/>
      <x:c r="F166" s="9"/>
      <x:c r="G166" s="9"/>
      <x:c r="H166" s="9"/>
      <x:c r="I166" s="9"/>
      <x:c r="J166" s="9"/>
      <x:c r="K166" s="9"/>
      <x:c r="L166" s="9"/>
      <x:c r="M166" s="9"/>
      <x:c r="N166" s="9"/>
      <x:c r="O166" s="9"/>
      <x:c r="P166" s="9"/>
      <x:c r="Q166" s="9"/>
      <x:c r="R166" s="12" t="str">
        <x:f>IF(A166="","",IF(COUNTIF($A$6:$A$205,A166)&gt;1,"记录ID重复",IF(AND(O166="已验证关闭",OR(P166="",Q166="")),"关闭须有复核或重跑证据","格式已填；仍须人工复核")))</x:f>
      </x:c>
    </x:row>
    <x:row r="167" ht="44" customHeight="1">
      <x:c r="A167" s="9"/>
      <x:c r="B167" s="9"/>
      <x:c r="C167" s="9"/>
      <x:c r="D167" s="9"/>
      <x:c r="E167" s="9"/>
      <x:c r="F167" s="9"/>
      <x:c r="G167" s="9"/>
      <x:c r="H167" s="9"/>
      <x:c r="I167" s="9"/>
      <x:c r="J167" s="9"/>
      <x:c r="K167" s="9"/>
      <x:c r="L167" s="9"/>
      <x:c r="M167" s="9"/>
      <x:c r="N167" s="9"/>
      <x:c r="O167" s="9"/>
      <x:c r="P167" s="9"/>
      <x:c r="Q167" s="9"/>
      <x:c r="R167" s="12" t="str">
        <x:f>IF(A167="","",IF(COUNTIF($A$6:$A$205,A167)&gt;1,"记录ID重复",IF(AND(O167="已验证关闭",OR(P167="",Q167="")),"关闭须有复核或重跑证据","格式已填；仍须人工复核")))</x:f>
      </x:c>
    </x:row>
    <x:row r="168" ht="44" customHeight="1">
      <x:c r="A168" s="9"/>
      <x:c r="B168" s="9"/>
      <x:c r="C168" s="9"/>
      <x:c r="D168" s="9"/>
      <x:c r="E168" s="9"/>
      <x:c r="F168" s="9"/>
      <x:c r="G168" s="9"/>
      <x:c r="H168" s="9"/>
      <x:c r="I168" s="9"/>
      <x:c r="J168" s="9"/>
      <x:c r="K168" s="9"/>
      <x:c r="L168" s="9"/>
      <x:c r="M168" s="9"/>
      <x:c r="N168" s="9"/>
      <x:c r="O168" s="9"/>
      <x:c r="P168" s="9"/>
      <x:c r="Q168" s="9"/>
      <x:c r="R168" s="12" t="str">
        <x:f>IF(A168="","",IF(COUNTIF($A$6:$A$205,A168)&gt;1,"记录ID重复",IF(AND(O168="已验证关闭",OR(P168="",Q168="")),"关闭须有复核或重跑证据","格式已填；仍须人工复核")))</x:f>
      </x:c>
    </x:row>
    <x:row r="169" ht="44" customHeight="1">
      <x:c r="A169" s="9"/>
      <x:c r="B169" s="9"/>
      <x:c r="C169" s="9"/>
      <x:c r="D169" s="9"/>
      <x:c r="E169" s="9"/>
      <x:c r="F169" s="9"/>
      <x:c r="G169" s="9"/>
      <x:c r="H169" s="9"/>
      <x:c r="I169" s="9"/>
      <x:c r="J169" s="9"/>
      <x:c r="K169" s="9"/>
      <x:c r="L169" s="9"/>
      <x:c r="M169" s="9"/>
      <x:c r="N169" s="9"/>
      <x:c r="O169" s="9"/>
      <x:c r="P169" s="9"/>
      <x:c r="Q169" s="9"/>
      <x:c r="R169" s="12" t="str">
        <x:f>IF(A169="","",IF(COUNTIF($A$6:$A$205,A169)&gt;1,"记录ID重复",IF(AND(O169="已验证关闭",OR(P169="",Q169="")),"关闭须有复核或重跑证据","格式已填；仍须人工复核")))</x:f>
      </x:c>
    </x:row>
    <x:row r="170" ht="44" customHeight="1">
      <x:c r="A170" s="9"/>
      <x:c r="B170" s="9"/>
      <x:c r="C170" s="9"/>
      <x:c r="D170" s="9"/>
      <x:c r="E170" s="9"/>
      <x:c r="F170" s="9"/>
      <x:c r="G170" s="9"/>
      <x:c r="H170" s="9"/>
      <x:c r="I170" s="9"/>
      <x:c r="J170" s="9"/>
      <x:c r="K170" s="9"/>
      <x:c r="L170" s="9"/>
      <x:c r="M170" s="9"/>
      <x:c r="N170" s="9"/>
      <x:c r="O170" s="9"/>
      <x:c r="P170" s="9"/>
      <x:c r="Q170" s="9"/>
      <x:c r="R170" s="12" t="str">
        <x:f>IF(A170="","",IF(COUNTIF($A$6:$A$205,A170)&gt;1,"记录ID重复",IF(AND(O170="已验证关闭",OR(P170="",Q170="")),"关闭须有复核或重跑证据","格式已填；仍须人工复核")))</x:f>
      </x:c>
    </x:row>
    <x:row r="171" ht="44" customHeight="1">
      <x:c r="A171" s="9"/>
      <x:c r="B171" s="9"/>
      <x:c r="C171" s="9"/>
      <x:c r="D171" s="9"/>
      <x:c r="E171" s="9"/>
      <x:c r="F171" s="9"/>
      <x:c r="G171" s="9"/>
      <x:c r="H171" s="9"/>
      <x:c r="I171" s="9"/>
      <x:c r="J171" s="9"/>
      <x:c r="K171" s="9"/>
      <x:c r="L171" s="9"/>
      <x:c r="M171" s="9"/>
      <x:c r="N171" s="9"/>
      <x:c r="O171" s="9"/>
      <x:c r="P171" s="9"/>
      <x:c r="Q171" s="9"/>
      <x:c r="R171" s="12" t="str">
        <x:f>IF(A171="","",IF(COUNTIF($A$6:$A$205,A171)&gt;1,"记录ID重复",IF(AND(O171="已验证关闭",OR(P171="",Q171="")),"关闭须有复核或重跑证据","格式已填；仍须人工复核")))</x:f>
      </x:c>
    </x:row>
    <x:row r="172" ht="44" customHeight="1">
      <x:c r="A172" s="9"/>
      <x:c r="B172" s="9"/>
      <x:c r="C172" s="9"/>
      <x:c r="D172" s="9"/>
      <x:c r="E172" s="9"/>
      <x:c r="F172" s="9"/>
      <x:c r="G172" s="9"/>
      <x:c r="H172" s="9"/>
      <x:c r="I172" s="9"/>
      <x:c r="J172" s="9"/>
      <x:c r="K172" s="9"/>
      <x:c r="L172" s="9"/>
      <x:c r="M172" s="9"/>
      <x:c r="N172" s="9"/>
      <x:c r="O172" s="9"/>
      <x:c r="P172" s="9"/>
      <x:c r="Q172" s="9"/>
      <x:c r="R172" s="12" t="str">
        <x:f>IF(A172="","",IF(COUNTIF($A$6:$A$205,A172)&gt;1,"记录ID重复",IF(AND(O172="已验证关闭",OR(P172="",Q172="")),"关闭须有复核或重跑证据","格式已填；仍须人工复核")))</x:f>
      </x:c>
    </x:row>
    <x:row r="173" ht="44" customHeight="1">
      <x:c r="A173" s="9"/>
      <x:c r="B173" s="9"/>
      <x:c r="C173" s="9"/>
      <x:c r="D173" s="9"/>
      <x:c r="E173" s="9"/>
      <x:c r="F173" s="9"/>
      <x:c r="G173" s="9"/>
      <x:c r="H173" s="9"/>
      <x:c r="I173" s="9"/>
      <x:c r="J173" s="9"/>
      <x:c r="K173" s="9"/>
      <x:c r="L173" s="9"/>
      <x:c r="M173" s="9"/>
      <x:c r="N173" s="9"/>
      <x:c r="O173" s="9"/>
      <x:c r="P173" s="9"/>
      <x:c r="Q173" s="9"/>
      <x:c r="R173" s="12" t="str">
        <x:f>IF(A173="","",IF(COUNTIF($A$6:$A$205,A173)&gt;1,"记录ID重复",IF(AND(O173="已验证关闭",OR(P173="",Q173="")),"关闭须有复核或重跑证据","格式已填；仍须人工复核")))</x:f>
      </x:c>
    </x:row>
    <x:row r="174" ht="44" customHeight="1">
      <x:c r="A174" s="9"/>
      <x:c r="B174" s="9"/>
      <x:c r="C174" s="9"/>
      <x:c r="D174" s="9"/>
      <x:c r="E174" s="9"/>
      <x:c r="F174" s="9"/>
      <x:c r="G174" s="9"/>
      <x:c r="H174" s="9"/>
      <x:c r="I174" s="9"/>
      <x:c r="J174" s="9"/>
      <x:c r="K174" s="9"/>
      <x:c r="L174" s="9"/>
      <x:c r="M174" s="9"/>
      <x:c r="N174" s="9"/>
      <x:c r="O174" s="9"/>
      <x:c r="P174" s="9"/>
      <x:c r="Q174" s="9"/>
      <x:c r="R174" s="12" t="str">
        <x:f>IF(A174="","",IF(COUNTIF($A$6:$A$205,A174)&gt;1,"记录ID重复",IF(AND(O174="已验证关闭",OR(P174="",Q174="")),"关闭须有复核或重跑证据","格式已填；仍须人工复核")))</x:f>
      </x:c>
    </x:row>
    <x:row r="175" ht="44" customHeight="1">
      <x:c r="A175" s="9"/>
      <x:c r="B175" s="9"/>
      <x:c r="C175" s="9"/>
      <x:c r="D175" s="9"/>
      <x:c r="E175" s="9"/>
      <x:c r="F175" s="9"/>
      <x:c r="G175" s="9"/>
      <x:c r="H175" s="9"/>
      <x:c r="I175" s="9"/>
      <x:c r="J175" s="9"/>
      <x:c r="K175" s="9"/>
      <x:c r="L175" s="9"/>
      <x:c r="M175" s="9"/>
      <x:c r="N175" s="9"/>
      <x:c r="O175" s="9"/>
      <x:c r="P175" s="9"/>
      <x:c r="Q175" s="9"/>
      <x:c r="R175" s="12" t="str">
        <x:f>IF(A175="","",IF(COUNTIF($A$6:$A$205,A175)&gt;1,"记录ID重复",IF(AND(O175="已验证关闭",OR(P175="",Q175="")),"关闭须有复核或重跑证据","格式已填；仍须人工复核")))</x:f>
      </x:c>
    </x:row>
    <x:row r="176" ht="44" customHeight="1">
      <x:c r="A176" s="9"/>
      <x:c r="B176" s="9"/>
      <x:c r="C176" s="9"/>
      <x:c r="D176" s="9"/>
      <x:c r="E176" s="9"/>
      <x:c r="F176" s="9"/>
      <x:c r="G176" s="9"/>
      <x:c r="H176" s="9"/>
      <x:c r="I176" s="9"/>
      <x:c r="J176" s="9"/>
      <x:c r="K176" s="9"/>
      <x:c r="L176" s="9"/>
      <x:c r="M176" s="9"/>
      <x:c r="N176" s="9"/>
      <x:c r="O176" s="9"/>
      <x:c r="P176" s="9"/>
      <x:c r="Q176" s="9"/>
      <x:c r="R176" s="12" t="str">
        <x:f>IF(A176="","",IF(COUNTIF($A$6:$A$205,A176)&gt;1,"记录ID重复",IF(AND(O176="已验证关闭",OR(P176="",Q176="")),"关闭须有复核或重跑证据","格式已填；仍须人工复核")))</x:f>
      </x:c>
    </x:row>
    <x:row r="177" ht="44" customHeight="1">
      <x:c r="A177" s="9"/>
      <x:c r="B177" s="9"/>
      <x:c r="C177" s="9"/>
      <x:c r="D177" s="9"/>
      <x:c r="E177" s="9"/>
      <x:c r="F177" s="9"/>
      <x:c r="G177" s="9"/>
      <x:c r="H177" s="9"/>
      <x:c r="I177" s="9"/>
      <x:c r="J177" s="9"/>
      <x:c r="K177" s="9"/>
      <x:c r="L177" s="9"/>
      <x:c r="M177" s="9"/>
      <x:c r="N177" s="9"/>
      <x:c r="O177" s="9"/>
      <x:c r="P177" s="9"/>
      <x:c r="Q177" s="9"/>
      <x:c r="R177" s="12" t="str">
        <x:f>IF(A177="","",IF(COUNTIF($A$6:$A$205,A177)&gt;1,"记录ID重复",IF(AND(O177="已验证关闭",OR(P177="",Q177="")),"关闭须有复核或重跑证据","格式已填；仍须人工复核")))</x:f>
      </x:c>
    </x:row>
    <x:row r="178" ht="44" customHeight="1">
      <x:c r="A178" s="9"/>
      <x:c r="B178" s="9"/>
      <x:c r="C178" s="9"/>
      <x:c r="D178" s="9"/>
      <x:c r="E178" s="9"/>
      <x:c r="F178" s="9"/>
      <x:c r="G178" s="9"/>
      <x:c r="H178" s="9"/>
      <x:c r="I178" s="9"/>
      <x:c r="J178" s="9"/>
      <x:c r="K178" s="9"/>
      <x:c r="L178" s="9"/>
      <x:c r="M178" s="9"/>
      <x:c r="N178" s="9"/>
      <x:c r="O178" s="9"/>
      <x:c r="P178" s="9"/>
      <x:c r="Q178" s="9"/>
      <x:c r="R178" s="12" t="str">
        <x:f>IF(A178="","",IF(COUNTIF($A$6:$A$205,A178)&gt;1,"记录ID重复",IF(AND(O178="已验证关闭",OR(P178="",Q178="")),"关闭须有复核或重跑证据","格式已填；仍须人工复核")))</x:f>
      </x:c>
    </x:row>
    <x:row r="179" ht="44" customHeight="1">
      <x:c r="A179" s="9"/>
      <x:c r="B179" s="9"/>
      <x:c r="C179" s="9"/>
      <x:c r="D179" s="9"/>
      <x:c r="E179" s="9"/>
      <x:c r="F179" s="9"/>
      <x:c r="G179" s="9"/>
      <x:c r="H179" s="9"/>
      <x:c r="I179" s="9"/>
      <x:c r="J179" s="9"/>
      <x:c r="K179" s="9"/>
      <x:c r="L179" s="9"/>
      <x:c r="M179" s="9"/>
      <x:c r="N179" s="9"/>
      <x:c r="O179" s="9"/>
      <x:c r="P179" s="9"/>
      <x:c r="Q179" s="9"/>
      <x:c r="R179" s="12" t="str">
        <x:f>IF(A179="","",IF(COUNTIF($A$6:$A$205,A179)&gt;1,"记录ID重复",IF(AND(O179="已验证关闭",OR(P179="",Q179="")),"关闭须有复核或重跑证据","格式已填；仍须人工复核")))</x:f>
      </x:c>
    </x:row>
    <x:row r="180" ht="44" customHeight="1">
      <x:c r="A180" s="9"/>
      <x:c r="B180" s="9"/>
      <x:c r="C180" s="9"/>
      <x:c r="D180" s="9"/>
      <x:c r="E180" s="9"/>
      <x:c r="F180" s="9"/>
      <x:c r="G180" s="9"/>
      <x:c r="H180" s="9"/>
      <x:c r="I180" s="9"/>
      <x:c r="J180" s="9"/>
      <x:c r="K180" s="9"/>
      <x:c r="L180" s="9"/>
      <x:c r="M180" s="9"/>
      <x:c r="N180" s="9"/>
      <x:c r="O180" s="9"/>
      <x:c r="P180" s="9"/>
      <x:c r="Q180" s="9"/>
      <x:c r="R180" s="12" t="str">
        <x:f>IF(A180="","",IF(COUNTIF($A$6:$A$205,A180)&gt;1,"记录ID重复",IF(AND(O180="已验证关闭",OR(P180="",Q180="")),"关闭须有复核或重跑证据","格式已填；仍须人工复核")))</x:f>
      </x:c>
    </x:row>
    <x:row r="181" ht="44" customHeight="1">
      <x:c r="A181" s="9"/>
      <x:c r="B181" s="9"/>
      <x:c r="C181" s="9"/>
      <x:c r="D181" s="9"/>
      <x:c r="E181" s="9"/>
      <x:c r="F181" s="9"/>
      <x:c r="G181" s="9"/>
      <x:c r="H181" s="9"/>
      <x:c r="I181" s="9"/>
      <x:c r="J181" s="9"/>
      <x:c r="K181" s="9"/>
      <x:c r="L181" s="9"/>
      <x:c r="M181" s="9"/>
      <x:c r="N181" s="9"/>
      <x:c r="O181" s="9"/>
      <x:c r="P181" s="9"/>
      <x:c r="Q181" s="9"/>
      <x:c r="R181" s="12" t="str">
        <x:f>IF(A181="","",IF(COUNTIF($A$6:$A$205,A181)&gt;1,"记录ID重复",IF(AND(O181="已验证关闭",OR(P181="",Q181="")),"关闭须有复核或重跑证据","格式已填；仍须人工复核")))</x:f>
      </x:c>
    </x:row>
    <x:row r="182" ht="44" customHeight="1">
      <x:c r="A182" s="9"/>
      <x:c r="B182" s="9"/>
      <x:c r="C182" s="9"/>
      <x:c r="D182" s="9"/>
      <x:c r="E182" s="9"/>
      <x:c r="F182" s="9"/>
      <x:c r="G182" s="9"/>
      <x:c r="H182" s="9"/>
      <x:c r="I182" s="9"/>
      <x:c r="J182" s="9"/>
      <x:c r="K182" s="9"/>
      <x:c r="L182" s="9"/>
      <x:c r="M182" s="9"/>
      <x:c r="N182" s="9"/>
      <x:c r="O182" s="9"/>
      <x:c r="P182" s="9"/>
      <x:c r="Q182" s="9"/>
      <x:c r="R182" s="12" t="str">
        <x:f>IF(A182="","",IF(COUNTIF($A$6:$A$205,A182)&gt;1,"记录ID重复",IF(AND(O182="已验证关闭",OR(P182="",Q182="")),"关闭须有复核或重跑证据","格式已填；仍须人工复核")))</x:f>
      </x:c>
    </x:row>
    <x:row r="183" ht="44" customHeight="1">
      <x:c r="A183" s="9"/>
      <x:c r="B183" s="9"/>
      <x:c r="C183" s="9"/>
      <x:c r="D183" s="9"/>
      <x:c r="E183" s="9"/>
      <x:c r="F183" s="9"/>
      <x:c r="G183" s="9"/>
      <x:c r="H183" s="9"/>
      <x:c r="I183" s="9"/>
      <x:c r="J183" s="9"/>
      <x:c r="K183" s="9"/>
      <x:c r="L183" s="9"/>
      <x:c r="M183" s="9"/>
      <x:c r="N183" s="9"/>
      <x:c r="O183" s="9"/>
      <x:c r="P183" s="9"/>
      <x:c r="Q183" s="9"/>
      <x:c r="R183" s="12" t="str">
        <x:f>IF(A183="","",IF(COUNTIF($A$6:$A$205,A183)&gt;1,"记录ID重复",IF(AND(O183="已验证关闭",OR(P183="",Q183="")),"关闭须有复核或重跑证据","格式已填；仍须人工复核")))</x:f>
      </x:c>
    </x:row>
    <x:row r="184" ht="44" customHeight="1">
      <x:c r="A184" s="9"/>
      <x:c r="B184" s="9"/>
      <x:c r="C184" s="9"/>
      <x:c r="D184" s="9"/>
      <x:c r="E184" s="9"/>
      <x:c r="F184" s="9"/>
      <x:c r="G184" s="9"/>
      <x:c r="H184" s="9"/>
      <x:c r="I184" s="9"/>
      <x:c r="J184" s="9"/>
      <x:c r="K184" s="9"/>
      <x:c r="L184" s="9"/>
      <x:c r="M184" s="9"/>
      <x:c r="N184" s="9"/>
      <x:c r="O184" s="9"/>
      <x:c r="P184" s="9"/>
      <x:c r="Q184" s="9"/>
      <x:c r="R184" s="12" t="str">
        <x:f>IF(A184="","",IF(COUNTIF($A$6:$A$205,A184)&gt;1,"记录ID重复",IF(AND(O184="已验证关闭",OR(P184="",Q184="")),"关闭须有复核或重跑证据","格式已填；仍须人工复核")))</x:f>
      </x:c>
    </x:row>
    <x:row r="185" ht="44" customHeight="1">
      <x:c r="A185" s="9"/>
      <x:c r="B185" s="9"/>
      <x:c r="C185" s="9"/>
      <x:c r="D185" s="9"/>
      <x:c r="E185" s="9"/>
      <x:c r="F185" s="9"/>
      <x:c r="G185" s="9"/>
      <x:c r="H185" s="9"/>
      <x:c r="I185" s="9"/>
      <x:c r="J185" s="9"/>
      <x:c r="K185" s="9"/>
      <x:c r="L185" s="9"/>
      <x:c r="M185" s="9"/>
      <x:c r="N185" s="9"/>
      <x:c r="O185" s="9"/>
      <x:c r="P185" s="9"/>
      <x:c r="Q185" s="9"/>
      <x:c r="R185" s="12" t="str">
        <x:f>IF(A185="","",IF(COUNTIF($A$6:$A$205,A185)&gt;1,"记录ID重复",IF(AND(O185="已验证关闭",OR(P185="",Q185="")),"关闭须有复核或重跑证据","格式已填；仍须人工复核")))</x:f>
      </x:c>
    </x:row>
    <x:row r="186" ht="44" customHeight="1">
      <x:c r="A186" s="9"/>
      <x:c r="B186" s="9"/>
      <x:c r="C186" s="9"/>
      <x:c r="D186" s="9"/>
      <x:c r="E186" s="9"/>
      <x:c r="F186" s="9"/>
      <x:c r="G186" s="9"/>
      <x:c r="H186" s="9"/>
      <x:c r="I186" s="9"/>
      <x:c r="J186" s="9"/>
      <x:c r="K186" s="9"/>
      <x:c r="L186" s="9"/>
      <x:c r="M186" s="9"/>
      <x:c r="N186" s="9"/>
      <x:c r="O186" s="9"/>
      <x:c r="P186" s="9"/>
      <x:c r="Q186" s="9"/>
      <x:c r="R186" s="12" t="str">
        <x:f>IF(A186="","",IF(COUNTIF($A$6:$A$205,A186)&gt;1,"记录ID重复",IF(AND(O186="已验证关闭",OR(P186="",Q186="")),"关闭须有复核或重跑证据","格式已填；仍须人工复核")))</x:f>
      </x:c>
    </x:row>
    <x:row r="187" ht="44" customHeight="1">
      <x:c r="A187" s="9"/>
      <x:c r="B187" s="9"/>
      <x:c r="C187" s="9"/>
      <x:c r="D187" s="9"/>
      <x:c r="E187" s="9"/>
      <x:c r="F187" s="9"/>
      <x:c r="G187" s="9"/>
      <x:c r="H187" s="9"/>
      <x:c r="I187" s="9"/>
      <x:c r="J187" s="9"/>
      <x:c r="K187" s="9"/>
      <x:c r="L187" s="9"/>
      <x:c r="M187" s="9"/>
      <x:c r="N187" s="9"/>
      <x:c r="O187" s="9"/>
      <x:c r="P187" s="9"/>
      <x:c r="Q187" s="9"/>
      <x:c r="R187" s="12" t="str">
        <x:f>IF(A187="","",IF(COUNTIF($A$6:$A$205,A187)&gt;1,"记录ID重复",IF(AND(O187="已验证关闭",OR(P187="",Q187="")),"关闭须有复核或重跑证据","格式已填；仍须人工复核")))</x:f>
      </x:c>
    </x:row>
    <x:row r="188" ht="44" customHeight="1">
      <x:c r="A188" s="9"/>
      <x:c r="B188" s="9"/>
      <x:c r="C188" s="9"/>
      <x:c r="D188" s="9"/>
      <x:c r="E188" s="9"/>
      <x:c r="F188" s="9"/>
      <x:c r="G188" s="9"/>
      <x:c r="H188" s="9"/>
      <x:c r="I188" s="9"/>
      <x:c r="J188" s="9"/>
      <x:c r="K188" s="9"/>
      <x:c r="L188" s="9"/>
      <x:c r="M188" s="9"/>
      <x:c r="N188" s="9"/>
      <x:c r="O188" s="9"/>
      <x:c r="P188" s="9"/>
      <x:c r="Q188" s="9"/>
      <x:c r="R188" s="12" t="str">
        <x:f>IF(A188="","",IF(COUNTIF($A$6:$A$205,A188)&gt;1,"记录ID重复",IF(AND(O188="已验证关闭",OR(P188="",Q188="")),"关闭须有复核或重跑证据","格式已填；仍须人工复核")))</x:f>
      </x:c>
    </x:row>
    <x:row r="189" ht="44" customHeight="1">
      <x:c r="A189" s="9"/>
      <x:c r="B189" s="9"/>
      <x:c r="C189" s="9"/>
      <x:c r="D189" s="9"/>
      <x:c r="E189" s="9"/>
      <x:c r="F189" s="9"/>
      <x:c r="G189" s="9"/>
      <x:c r="H189" s="9"/>
      <x:c r="I189" s="9"/>
      <x:c r="J189" s="9"/>
      <x:c r="K189" s="9"/>
      <x:c r="L189" s="9"/>
      <x:c r="M189" s="9"/>
      <x:c r="N189" s="9"/>
      <x:c r="O189" s="9"/>
      <x:c r="P189" s="9"/>
      <x:c r="Q189" s="9"/>
      <x:c r="R189" s="12" t="str">
        <x:f>IF(A189="","",IF(COUNTIF($A$6:$A$205,A189)&gt;1,"记录ID重复",IF(AND(O189="已验证关闭",OR(P189="",Q189="")),"关闭须有复核或重跑证据","格式已填；仍须人工复核")))</x:f>
      </x:c>
    </x:row>
    <x:row r="190" ht="44" customHeight="1">
      <x:c r="A190" s="9"/>
      <x:c r="B190" s="9"/>
      <x:c r="C190" s="9"/>
      <x:c r="D190" s="9"/>
      <x:c r="E190" s="9"/>
      <x:c r="F190" s="9"/>
      <x:c r="G190" s="9"/>
      <x:c r="H190" s="9"/>
      <x:c r="I190" s="9"/>
      <x:c r="J190" s="9"/>
      <x:c r="K190" s="9"/>
      <x:c r="L190" s="9"/>
      <x:c r="M190" s="9"/>
      <x:c r="N190" s="9"/>
      <x:c r="O190" s="9"/>
      <x:c r="P190" s="9"/>
      <x:c r="Q190" s="9"/>
      <x:c r="R190" s="12" t="str">
        <x:f>IF(A190="","",IF(COUNTIF($A$6:$A$205,A190)&gt;1,"记录ID重复",IF(AND(O190="已验证关闭",OR(P190="",Q190="")),"关闭须有复核或重跑证据","格式已填；仍须人工复核")))</x:f>
      </x:c>
    </x:row>
    <x:row r="191" ht="44" customHeight="1">
      <x:c r="A191" s="9"/>
      <x:c r="B191" s="9"/>
      <x:c r="C191" s="9"/>
      <x:c r="D191" s="9"/>
      <x:c r="E191" s="9"/>
      <x:c r="F191" s="9"/>
      <x:c r="G191" s="9"/>
      <x:c r="H191" s="9"/>
      <x:c r="I191" s="9"/>
      <x:c r="J191" s="9"/>
      <x:c r="K191" s="9"/>
      <x:c r="L191" s="9"/>
      <x:c r="M191" s="9"/>
      <x:c r="N191" s="9"/>
      <x:c r="O191" s="9"/>
      <x:c r="P191" s="9"/>
      <x:c r="Q191" s="9"/>
      <x:c r="R191" s="12" t="str">
        <x:f>IF(A191="","",IF(COUNTIF($A$6:$A$205,A191)&gt;1,"记录ID重复",IF(AND(O191="已验证关闭",OR(P191="",Q191="")),"关闭须有复核或重跑证据","格式已填；仍须人工复核")))</x:f>
      </x:c>
    </x:row>
    <x:row r="192" ht="44" customHeight="1">
      <x:c r="A192" s="9"/>
      <x:c r="B192" s="9"/>
      <x:c r="C192" s="9"/>
      <x:c r="D192" s="9"/>
      <x:c r="E192" s="9"/>
      <x:c r="F192" s="9"/>
      <x:c r="G192" s="9"/>
      <x:c r="H192" s="9"/>
      <x:c r="I192" s="9"/>
      <x:c r="J192" s="9"/>
      <x:c r="K192" s="9"/>
      <x:c r="L192" s="9"/>
      <x:c r="M192" s="9"/>
      <x:c r="N192" s="9"/>
      <x:c r="O192" s="9"/>
      <x:c r="P192" s="9"/>
      <x:c r="Q192" s="9"/>
      <x:c r="R192" s="12" t="str">
        <x:f>IF(A192="","",IF(COUNTIF($A$6:$A$205,A192)&gt;1,"记录ID重复",IF(AND(O192="已验证关闭",OR(P192="",Q192="")),"关闭须有复核或重跑证据","格式已填；仍须人工复核")))</x:f>
      </x:c>
    </x:row>
    <x:row r="193" ht="44" customHeight="1">
      <x:c r="A193" s="9"/>
      <x:c r="B193" s="9"/>
      <x:c r="C193" s="9"/>
      <x:c r="D193" s="9"/>
      <x:c r="E193" s="9"/>
      <x:c r="F193" s="9"/>
      <x:c r="G193" s="9"/>
      <x:c r="H193" s="9"/>
      <x:c r="I193" s="9"/>
      <x:c r="J193" s="9"/>
      <x:c r="K193" s="9"/>
      <x:c r="L193" s="9"/>
      <x:c r="M193" s="9"/>
      <x:c r="N193" s="9"/>
      <x:c r="O193" s="9"/>
      <x:c r="P193" s="9"/>
      <x:c r="Q193" s="9"/>
      <x:c r="R193" s="12" t="str">
        <x:f>IF(A193="","",IF(COUNTIF($A$6:$A$205,A193)&gt;1,"记录ID重复",IF(AND(O193="已验证关闭",OR(P193="",Q193="")),"关闭须有复核或重跑证据","格式已填；仍须人工复核")))</x:f>
      </x:c>
    </x:row>
    <x:row r="194" ht="44" customHeight="1">
      <x:c r="A194" s="9"/>
      <x:c r="B194" s="9"/>
      <x:c r="C194" s="9"/>
      <x:c r="D194" s="9"/>
      <x:c r="E194" s="9"/>
      <x:c r="F194" s="9"/>
      <x:c r="G194" s="9"/>
      <x:c r="H194" s="9"/>
      <x:c r="I194" s="9"/>
      <x:c r="J194" s="9"/>
      <x:c r="K194" s="9"/>
      <x:c r="L194" s="9"/>
      <x:c r="M194" s="9"/>
      <x:c r="N194" s="9"/>
      <x:c r="O194" s="9"/>
      <x:c r="P194" s="9"/>
      <x:c r="Q194" s="9"/>
      <x:c r="R194" s="12" t="str">
        <x:f>IF(A194="","",IF(COUNTIF($A$6:$A$205,A194)&gt;1,"记录ID重复",IF(AND(O194="已验证关闭",OR(P194="",Q194="")),"关闭须有复核或重跑证据","格式已填；仍须人工复核")))</x:f>
      </x:c>
    </x:row>
    <x:row r="195" ht="44" customHeight="1">
      <x:c r="A195" s="9"/>
      <x:c r="B195" s="9"/>
      <x:c r="C195" s="9"/>
      <x:c r="D195" s="9"/>
      <x:c r="E195" s="9"/>
      <x:c r="F195" s="9"/>
      <x:c r="G195" s="9"/>
      <x:c r="H195" s="9"/>
      <x:c r="I195" s="9"/>
      <x:c r="J195" s="9"/>
      <x:c r="K195" s="9"/>
      <x:c r="L195" s="9"/>
      <x:c r="M195" s="9"/>
      <x:c r="N195" s="9"/>
      <x:c r="O195" s="9"/>
      <x:c r="P195" s="9"/>
      <x:c r="Q195" s="9"/>
      <x:c r="R195" s="12" t="str">
        <x:f>IF(A195="","",IF(COUNTIF($A$6:$A$205,A195)&gt;1,"记录ID重复",IF(AND(O195="已验证关闭",OR(P195="",Q195="")),"关闭须有复核或重跑证据","格式已填；仍须人工复核")))</x:f>
      </x:c>
    </x:row>
    <x:row r="196" ht="44" customHeight="1">
      <x:c r="A196" s="9"/>
      <x:c r="B196" s="9"/>
      <x:c r="C196" s="9"/>
      <x:c r="D196" s="9"/>
      <x:c r="E196" s="9"/>
      <x:c r="F196" s="9"/>
      <x:c r="G196" s="9"/>
      <x:c r="H196" s="9"/>
      <x:c r="I196" s="9"/>
      <x:c r="J196" s="9"/>
      <x:c r="K196" s="9"/>
      <x:c r="L196" s="9"/>
      <x:c r="M196" s="9"/>
      <x:c r="N196" s="9"/>
      <x:c r="O196" s="9"/>
      <x:c r="P196" s="9"/>
      <x:c r="Q196" s="9"/>
      <x:c r="R196" s="12" t="str">
        <x:f>IF(A196="","",IF(COUNTIF($A$6:$A$205,A196)&gt;1,"记录ID重复",IF(AND(O196="已验证关闭",OR(P196="",Q196="")),"关闭须有复核或重跑证据","格式已填；仍须人工复核")))</x:f>
      </x:c>
    </x:row>
    <x:row r="197" ht="44" customHeight="1">
      <x:c r="A197" s="9"/>
      <x:c r="B197" s="9"/>
      <x:c r="C197" s="9"/>
      <x:c r="D197" s="9"/>
      <x:c r="E197" s="9"/>
      <x:c r="F197" s="9"/>
      <x:c r="G197" s="9"/>
      <x:c r="H197" s="9"/>
      <x:c r="I197" s="9"/>
      <x:c r="J197" s="9"/>
      <x:c r="K197" s="9"/>
      <x:c r="L197" s="9"/>
      <x:c r="M197" s="9"/>
      <x:c r="N197" s="9"/>
      <x:c r="O197" s="9"/>
      <x:c r="P197" s="9"/>
      <x:c r="Q197" s="9"/>
      <x:c r="R197" s="12" t="str">
        <x:f>IF(A197="","",IF(COUNTIF($A$6:$A$205,A197)&gt;1,"记录ID重复",IF(AND(O197="已验证关闭",OR(P197="",Q197="")),"关闭须有复核或重跑证据","格式已填；仍须人工复核")))</x:f>
      </x:c>
    </x:row>
    <x:row r="198" ht="44" customHeight="1">
      <x:c r="A198" s="9"/>
      <x:c r="B198" s="9"/>
      <x:c r="C198" s="9"/>
      <x:c r="D198" s="9"/>
      <x:c r="E198" s="9"/>
      <x:c r="F198" s="9"/>
      <x:c r="G198" s="9"/>
      <x:c r="H198" s="9"/>
      <x:c r="I198" s="9"/>
      <x:c r="J198" s="9"/>
      <x:c r="K198" s="9"/>
      <x:c r="L198" s="9"/>
      <x:c r="M198" s="9"/>
      <x:c r="N198" s="9"/>
      <x:c r="O198" s="9"/>
      <x:c r="P198" s="9"/>
      <x:c r="Q198" s="9"/>
      <x:c r="R198" s="12" t="str">
        <x:f>IF(A198="","",IF(COUNTIF($A$6:$A$205,A198)&gt;1,"记录ID重复",IF(AND(O198="已验证关闭",OR(P198="",Q198="")),"关闭须有复核或重跑证据","格式已填；仍须人工复核")))</x:f>
      </x:c>
    </x:row>
    <x:row r="199" ht="44" customHeight="1">
      <x:c r="A199" s="9"/>
      <x:c r="B199" s="9"/>
      <x:c r="C199" s="9"/>
      <x:c r="D199" s="9"/>
      <x:c r="E199" s="9"/>
      <x:c r="F199" s="9"/>
      <x:c r="G199" s="9"/>
      <x:c r="H199" s="9"/>
      <x:c r="I199" s="9"/>
      <x:c r="J199" s="9"/>
      <x:c r="K199" s="9"/>
      <x:c r="L199" s="9"/>
      <x:c r="M199" s="9"/>
      <x:c r="N199" s="9"/>
      <x:c r="O199" s="9"/>
      <x:c r="P199" s="9"/>
      <x:c r="Q199" s="9"/>
      <x:c r="R199" s="12" t="str">
        <x:f>IF(A199="","",IF(COUNTIF($A$6:$A$205,A199)&gt;1,"记录ID重复",IF(AND(O199="已验证关闭",OR(P199="",Q199="")),"关闭须有复核或重跑证据","格式已填；仍须人工复核")))</x:f>
      </x:c>
    </x:row>
    <x:row r="200" ht="44" customHeight="1">
      <x:c r="A200" s="9"/>
      <x:c r="B200" s="9"/>
      <x:c r="C200" s="9"/>
      <x:c r="D200" s="9"/>
      <x:c r="E200" s="9"/>
      <x:c r="F200" s="9"/>
      <x:c r="G200" s="9"/>
      <x:c r="H200" s="9"/>
      <x:c r="I200" s="9"/>
      <x:c r="J200" s="9"/>
      <x:c r="K200" s="9"/>
      <x:c r="L200" s="9"/>
      <x:c r="M200" s="9"/>
      <x:c r="N200" s="9"/>
      <x:c r="O200" s="9"/>
      <x:c r="P200" s="9"/>
      <x:c r="Q200" s="9"/>
      <x:c r="R200" s="12" t="str">
        <x:f>IF(A200="","",IF(COUNTIF($A$6:$A$205,A200)&gt;1,"记录ID重复",IF(AND(O200="已验证关闭",OR(P200="",Q200="")),"关闭须有复核或重跑证据","格式已填；仍须人工复核")))</x:f>
      </x:c>
    </x:row>
    <x:row r="201" ht="44" customHeight="1">
      <x:c r="A201" s="9"/>
      <x:c r="B201" s="9"/>
      <x:c r="C201" s="9"/>
      <x:c r="D201" s="9"/>
      <x:c r="E201" s="9"/>
      <x:c r="F201" s="9"/>
      <x:c r="G201" s="9"/>
      <x:c r="H201" s="9"/>
      <x:c r="I201" s="9"/>
      <x:c r="J201" s="9"/>
      <x:c r="K201" s="9"/>
      <x:c r="L201" s="9"/>
      <x:c r="M201" s="9"/>
      <x:c r="N201" s="9"/>
      <x:c r="O201" s="9"/>
      <x:c r="P201" s="9"/>
      <x:c r="Q201" s="9"/>
      <x:c r="R201" s="12" t="str">
        <x:f>IF(A201="","",IF(COUNTIF($A$6:$A$205,A201)&gt;1,"记录ID重复",IF(AND(O201="已验证关闭",OR(P201="",Q201="")),"关闭须有复核或重跑证据","格式已填；仍须人工复核")))</x:f>
      </x:c>
    </x:row>
    <x:row r="202" ht="44" customHeight="1">
      <x:c r="A202" s="9"/>
      <x:c r="B202" s="9"/>
      <x:c r="C202" s="9"/>
      <x:c r="D202" s="9"/>
      <x:c r="E202" s="9"/>
      <x:c r="F202" s="9"/>
      <x:c r="G202" s="9"/>
      <x:c r="H202" s="9"/>
      <x:c r="I202" s="9"/>
      <x:c r="J202" s="9"/>
      <x:c r="K202" s="9"/>
      <x:c r="L202" s="9"/>
      <x:c r="M202" s="9"/>
      <x:c r="N202" s="9"/>
      <x:c r="O202" s="9"/>
      <x:c r="P202" s="9"/>
      <x:c r="Q202" s="9"/>
      <x:c r="R202" s="12" t="str">
        <x:f>IF(A202="","",IF(COUNTIF($A$6:$A$205,A202)&gt;1,"记录ID重复",IF(AND(O202="已验证关闭",OR(P202="",Q202="")),"关闭须有复核或重跑证据","格式已填；仍须人工复核")))</x:f>
      </x:c>
    </x:row>
    <x:row r="203" ht="44" customHeight="1">
      <x:c r="A203" s="9"/>
      <x:c r="B203" s="9"/>
      <x:c r="C203" s="9"/>
      <x:c r="D203" s="9"/>
      <x:c r="E203" s="9"/>
      <x:c r="F203" s="9"/>
      <x:c r="G203" s="9"/>
      <x:c r="H203" s="9"/>
      <x:c r="I203" s="9"/>
      <x:c r="J203" s="9"/>
      <x:c r="K203" s="9"/>
      <x:c r="L203" s="9"/>
      <x:c r="M203" s="9"/>
      <x:c r="N203" s="9"/>
      <x:c r="O203" s="9"/>
      <x:c r="P203" s="9"/>
      <x:c r="Q203" s="9"/>
      <x:c r="R203" s="12" t="str">
        <x:f>IF(A203="","",IF(COUNTIF($A$6:$A$205,A203)&gt;1,"记录ID重复",IF(AND(O203="已验证关闭",OR(P203="",Q203="")),"关闭须有复核或重跑证据","格式已填；仍须人工复核")))</x:f>
      </x:c>
    </x:row>
    <x:row r="204" ht="44" customHeight="1">
      <x:c r="A204" s="9"/>
      <x:c r="B204" s="9"/>
      <x:c r="C204" s="9"/>
      <x:c r="D204" s="9"/>
      <x:c r="E204" s="9"/>
      <x:c r="F204" s="9"/>
      <x:c r="G204" s="9"/>
      <x:c r="H204" s="9"/>
      <x:c r="I204" s="9"/>
      <x:c r="J204" s="9"/>
      <x:c r="K204" s="9"/>
      <x:c r="L204" s="9"/>
      <x:c r="M204" s="9"/>
      <x:c r="N204" s="9"/>
      <x:c r="O204" s="9"/>
      <x:c r="P204" s="9"/>
      <x:c r="Q204" s="9"/>
      <x:c r="R204" s="12" t="str">
        <x:f>IF(A204="","",IF(COUNTIF($A$6:$A$205,A204)&gt;1,"记录ID重复",IF(AND(O204="已验证关闭",OR(P204="",Q204="")),"关闭须有复核或重跑证据","格式已填；仍须人工复核")))</x:f>
      </x:c>
    </x:row>
    <x:row r="205" ht="44" customHeight="1">
      <x:c r="A205" s="9"/>
      <x:c r="B205" s="9"/>
      <x:c r="C205" s="9"/>
      <x:c r="D205" s="9"/>
      <x:c r="E205" s="9"/>
      <x:c r="F205" s="9"/>
      <x:c r="G205" s="9"/>
      <x:c r="H205" s="9"/>
      <x:c r="I205" s="9"/>
      <x:c r="J205" s="9"/>
      <x:c r="K205" s="9"/>
      <x:c r="L205" s="9"/>
      <x:c r="M205" s="9"/>
      <x:c r="N205" s="9"/>
      <x:c r="O205" s="9"/>
      <x:c r="P205" s="9"/>
      <x:c r="Q205" s="9"/>
      <x:c r="R205" s="12" t="str">
        <x:f>IF(A205="","",IF(COUNTIF($A$6:$A$205,A205)&gt;1,"记录ID重复",IF(AND(O205="已验证关闭",OR(P205="",Q205="")),"关闭须有复核或重跑证据","格式已填；仍须人工复核")))</x:f>
      </x:c>
    </x:row>
  </x:sheetData>
  <x:mergeCells>
    <x:mergeCell ref="A1:H1"/>
    <x:mergeCell ref="A2:L2"/>
    <x:mergeCell ref="A3:L3"/>
  </x:mergeCells>
  <x:conditionalFormatting sqref="R6:R205">
    <x:cfRule type="containsText" dxfId="5" priority="1" operator="containsText" text="须"/>
  </x:conditionalFormatting>
  <x:dataValidations count="4">
    <x:dataValidation type="list" sqref="C6:C205">
      <x:formula1>'标注选项'!$B$106:$B$109</x:formula1>
    </x:dataValidation>
    <x:dataValidation type="list" sqref="I6:I205">
      <x:formula1>'标注选项'!$B$110:$B$119</x:formula1>
    </x:dataValidation>
    <x:dataValidation type="list" sqref="J6:J205">
      <x:formula1>'标注选项'!$B$120:$B$122</x:formula1>
    </x:dataValidation>
    <x:dataValidation type="list" sqref="O6:O205">
      <x:formula1>'标注选项'!$B$123:$B$129</x:formula1>
    </x:dataValidation>
  </x:dataValidations>
  <x:pageMargins left="0.7" right="0.7" top="0.75" bottom="0.75" header="0.3" footer="0.3"/>
  <x:legacyDrawing xmlns:r="http://schemas.openxmlformats.org/officeDocument/2006/relationships" r:id="Rd0e0580c6abc4212"/>
  <x:tableParts count="1">
    <x:tablePart xmlns:r="http://schemas.openxmlformats.org/officeDocument/2006/relationships" r:id="Rd9d60fd0f9a24ee6"/>
  </x:tableParts>
</x:worksheet>
</file>

<file path=xl/worksheets/sheet10.xml><?xml version="1.0" encoding="utf-8"?>
<x:worksheet xmlns:x="http://schemas.openxmlformats.org/spreadsheetml/2006/main">
  <x:sheetPr>
    <x:tabColor rgb="FF89919E"/>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38" hidden="0" customWidth="1"/>
    <x:col min="4" max="4" width="38" hidden="0" customWidth="1"/>
    <x:col min="5" max="5" width="38" hidden="0" customWidth="1"/>
    <x:col min="6" max="6" width="74" hidden="0" customWidth="1"/>
    <x:col min="7" max="7" width="5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22" hidden="0" customWidth="1"/>
    <x:col min="15" max="15" width="22" hidden="0" customWidth="1"/>
    <x:col min="16" max="16" width="22" hidden="0" customWidth="1"/>
  </x:cols>
  <x:sheetData>
    <x:row r="1" ht="38" customHeight="1">
      <x:c r="A1" s="5" t="str">
        <x:v>规则参考</x:v>
      </x:c>
      <x:c r="B1" s="5"/>
      <x:c r="C1" s="5"/>
      <x:c r="D1" s="5"/>
      <x:c r="E1" s="5"/>
      <x:c r="F1" s="5"/>
      <x:c r="G1" s="5"/>
      <x:c r="H1" s="5"/>
      <x:c r="I1" s="3"/>
      <x:c r="J1" s="3"/>
      <x:c r="K1" s="3"/>
      <x:c r="L1" s="3"/>
      <x:c r="M1" s="3"/>
      <x:c r="N1" s="3"/>
      <x:c r="O1" s="3"/>
      <x:c r="P1" s="3"/>
    </x:row>
    <x:row r="2" ht="36" customHeight="1">
      <x:c r="A2" s="6" t="str">
        <x:v>完整纳入25类个人信息、15类其他客体；原文照存，核验提示优先阅读，未整体审核。</x:v>
      </x:c>
      <x:c r="B2" s="6"/>
      <x:c r="C2" s="6"/>
      <x:c r="D2" s="6"/>
      <x:c r="E2" s="6"/>
      <x:c r="F2" s="6"/>
      <x:c r="G2" s="6"/>
      <x:c r="H2" s="6"/>
      <x:c r="I2" s="6"/>
      <x:c r="J2" s="6"/>
      <x:c r="K2" s="6"/>
      <x:c r="L2" s="6"/>
      <x:c r="M2" s="6"/>
      <x:c r="N2" s="6"/>
      <x:c r="O2" s="6"/>
      <x:c r="P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c r="P3" s="7"/>
    </x:row>
    <x:row r="4" ht="44" customHeight="1">
      <x:c r="A4" s="3"/>
      <x:c r="B4" s="3"/>
      <x:c r="C4" s="3"/>
      <x:c r="D4" s="3"/>
      <x:c r="E4" s="3"/>
      <x:c r="F4" s="3"/>
      <x:c r="G4" s="3"/>
      <x:c r="H4" s="3"/>
      <x:c r="I4" s="3"/>
      <x:c r="J4" s="3"/>
      <x:c r="K4" s="3"/>
      <x:c r="L4" s="3"/>
      <x:c r="M4" s="3"/>
      <x:c r="N4" s="3"/>
      <x:c r="O4" s="3"/>
      <x:c r="P4" s="3"/>
    </x:row>
    <x:row r="5" ht="48" customHeight="1">
      <x:c r="A5" s="10" t="str">
        <x:v>规则ID</x:v>
      </x:c>
      <x:c r="B5" s="10" t="str">
        <x:v>对象类型（原）</x:v>
      </x:c>
      <x:c r="C5" s="10" t="str">
        <x:v>常见载体（原）</x:v>
      </x:c>
      <x:c r="D5" s="10" t="str">
        <x:v>敏感性（原）</x:v>
      </x:c>
      <x:c r="E5" s="10" t="str">
        <x:v>法条位置（原）</x:v>
      </x:c>
      <x:c r="F5" s="10" t="str">
        <x:v>法条摘录（原，待核验）</x:v>
      </x:c>
      <x:c r="G5" s="10" t="str">
        <x:v>规范内容（原）</x:v>
      </x:c>
      <x:c r="H5" s="10" t="str">
        <x:v>处理方式（原）</x:v>
      </x:c>
      <x:c r="I5" s="10" t="str">
        <x:v>性质（原）</x:v>
      </x:c>
      <x:c r="J5" s="10" t="str">
        <x:v>复核要求（原）</x:v>
      </x:c>
      <x:c r="K5" s="10" t="str">
        <x:v>触发点（原）</x:v>
      </x:c>
      <x:c r="L5" s="10" t="str">
        <x:v>源文件与锚点</x:v>
      </x:c>
      <x:c r="M5" s="10" t="str">
        <x:v>核验提示</x:v>
      </x:c>
      <x:c r="N5" s="10" t="str">
        <x:v>核验状态</x:v>
      </x:c>
      <x:c r="O5" s="10" t="str">
        <x:v>核验后规则与法源ID</x:v>
      </x:c>
      <x:c r="P5" s="10" t="str">
        <x:v>核验人与日期</x:v>
      </x:c>
    </x:row>
    <x:row r="6" ht="400" customHeight="1">
      <x:c r="A6" s="13" t="str">
        <x:v>R-PI-01</x:v>
      </x:c>
      <x:c r="B6" s="13" t="str">
        <x:v>姓名</x:v>
      </x:c>
      <x:c r="C6" s="13" t="str">
        <x:v>劳动合同、仲裁申请书、起诉状、答辩状、证据目录、工资表、聊天记录、证人信息</x:v>
      </x:c>
      <x:c r="D6" s="13" t="str">
        <x:v>通常否</x:v>
      </x:c>
      <x:c r="E6" s="13" t="str">
        <x:v>第4条、第6条、第10条、第13条</x:v>
      </x:c>
      <x:c r="F6"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6" s="13" t="str">
        <x:v>姓名属于个人信息；处理应有合法基础并与劳动争议事实总结直接相关、限于最小范围。</x:v>
      </x:c>
      <x:c r="H6" s="13" t="str">
        <x:v>法律要求：不得非法提供；项目处理：任务不需要直接身份时优先替换为“劳动者/员工/证人”等角色标识。
业务/技术参考：GB/T 37964—2019第3.7；GB/T 42460—2023附录A，上述信息属于直接标识符，优先删除、屏蔽或角色化；但具体是否必须脱敏仍以个保法必要性和项目规则判断。</x:v>
      </x:c>
      <x:c r="I6" s="13" t="str">
        <x:v>法律强制+业务参考+项目自行采取的保守控制
“法律强制”指个保法直接提出的义务；“业务参考”指推荐性国家标准等外部规范的技术/业务参考；“项目自行采取的保守控制”指项目为减少再识别和外泄风险自行采用的措施。</x:v>
      </x:c>
      <x:c r="J6" s="13" t="str">
        <x:v>否；规则明确时自动处理</x:v>
      </x:c>
      <x:c r="K6" s="13" t="str">
        <x:v>仅当必须保留真实姓名才能完成任务且必要性无法确认</x:v>
      </x:c>
      <x:c r="L6" s="13" t="str">
        <x:v>个人信息-个保法-处理方式对应表(1).xlsx/个人信息-个保法-处理方式映射表!A2</x:v>
      </x:c>
      <x:c r="M6" s="15" t="str">
        <x:v>原文存在第13条摘录问题，见FB-001；不得作为已审核法条</x:v>
      </x:c>
      <x:c r="N6" s="16" t="str">
        <x:v>待核验</x:v>
      </x:c>
      <x:c r="O6" s="16" t="str"/>
      <x:c r="P6" s="16" t="str"/>
    </x:row>
    <x:row r="7" ht="98" customHeight="1">
      <x:c r="A7" s="13" t="str">
        <x:v>R-PI-02</x:v>
      </x:c>
      <x:c r="B7" s="13" t="str">
        <x:v>身份证件号码</x:v>
      </x:c>
      <x:c r="C7" s="13" t="str">
        <x:v>身份证复印件、身份材料、授权委托书、仲裁/诉讼主体材料</x:v>
      </x:c>
      <x:c r="D7" s="13" t="str">
        <x:v>通常否</x:v>
      </x:c>
      <x:c r="E7" s="13" t="str">
        <x:v>第4条、第6条、第10条、第13条</x:v>
      </x:c>
      <x:c r="F7" s="13" t="str">
        <x:v>具体法条同上。概括如下：个人信息指可识别自然人的相关信息，处理包含收集、存储、使用等全流程；处理需目的明确合理、恪守最小范围，禁止非法处理、交易个人信息；除法定无需个人同意的情形外，处理个人信息应当遵循合法基础，部分法定情形下个人仍享有拒绝权。</x:v>
      </x:c>
      <x:c r="G7" s="13" t="str">
        <x:v>身份证号是强识别信息，但个保法并未规定身份证号一律禁止外部处理；应以必要性、合法基础和最小化判断。</x:v>
      </x:c>
      <x:c r="H7" s="13" t="str">
        <x:v>项目处理：通常不发送完整身份证号；采用删除、部分掩码或不可逆角色化处理。
业务/技术参考：GB/T 37964—2019第3.7；GB/T 42460—2023附录A，上述信息属于直接标识符，优先删除、屏蔽或角色化；但具体是否必须脱敏仍以个保法必要性和项目规则判断。</x:v>
      </x:c>
      <x:c r="I7" s="13" t="str">
        <x:v>法律强制+业务参考+项目自行采取的保守控制</x:v>
      </x:c>
      <x:c r="J7" s="13" t="str">
        <x:v>否；不需要真实证件号时自动脱敏</x:v>
      </x:c>
      <x:c r="K7" s="13" t="str">
        <x:v>确需核对主体身份且是否有必要外传无法确认</x:v>
      </x:c>
      <x:c r="L7" s="13" t="str">
        <x:v>个人信息-个保法-处理方式对应表(1).xlsx/个人信息-个保法-处理方式映射表!A3</x:v>
      </x:c>
      <x:c r="M7" s="15" t="str">
        <x:v>原文存在第13条摘录问题，见FB-001；不得作为已审核法条；证件号敏感性分类须复核，见FB-002</x:v>
      </x:c>
      <x:c r="N7" s="16" t="str">
        <x:v>待核验</x:v>
      </x:c>
      <x:c r="O7" s="16" t="str"/>
      <x:c r="P7" s="16" t="str"/>
    </x:row>
    <x:row r="8" ht="83" customHeight="1">
      <x:c r="A8" s="13" t="str">
        <x:v>R-PI-03</x:v>
      </x:c>
      <x:c r="B8" s="13" t="str">
        <x:v>住址</x:v>
      </x:c>
      <x:c r="C8" s="13" t="str">
        <x:v>劳动合同、入职登记、送达材料、身份证明、仲裁/诉讼文书</x:v>
      </x:c>
      <x:c r="D8" s="13" t="str">
        <x:v>通常否</x:v>
      </x:c>
      <x:c r="E8" s="13" t="str">
        <x:v>第4条、第6条、第10条、第13条</x:v>
      </x:c>
      <x:c r="F8" s="13" t="str">
        <x:v>具体法条同上。概括如下：个人信息指可识别自然人的相关信息，处理包含收集、存储、使用等全流程；处理需目的明确合理、恪守最小范围，禁止非法处理、交易个人信息；除法定无需个人同意的情形外，处理个人信息应当遵循合法基础，部分法定情形下个人仍享有拒绝权。</x:v>
      </x:c>
      <x:c r="G8" s="13" t="str">
        <x:v>完整家庭住址通常不是事实摘要所必需的信息；如只需证明工作地点/居住地，可改用城市、区域等较低精度信息。</x:v>
      </x:c>
      <x:c r="H8" s="13" t="str">
        <x:v>项目处理：删除无关门牌号；必要时保留到城市/区县层级。
业务/技术参考：GB/T 37964—2019第3.7；GB/T 42460—2023附录A，上述信息属于直接标识符，优先删除、屏蔽或角色化；但具体是否必须脱敏仍以个保法必要性和项目规则判断。</x:v>
      </x:c>
      <x:c r="I8" s="13" t="str">
        <x:v>法律强制+业务参考+项目自行采取的保守控制</x:v>
      </x:c>
      <x:c r="J8" s="13" t="str">
        <x:v>否</x:v>
      </x:c>
      <x:c r="K8" s="13" t="str">
        <x:v>案件争议本身就是居住地/送达地且需要精确地址时</x:v>
      </x:c>
      <x:c r="L8" s="13" t="str">
        <x:v>个人信息-个保法-处理方式对应表(1).xlsx/个人信息-个保法-处理方式映射表!A4</x:v>
      </x:c>
      <x:c r="M8" s="15" t="str">
        <x:v>待逐条核验适用主体、行为、版本与条件</x:v>
      </x:c>
      <x:c r="N8" s="16" t="str">
        <x:v>待核验</x:v>
      </x:c>
      <x:c r="O8" s="16" t="str"/>
      <x:c r="P8" s="16" t="str"/>
    </x:row>
    <x:row r="9" ht="98" customHeight="1">
      <x:c r="A9" s="13" t="str">
        <x:v>R-PI-04</x:v>
      </x:c>
      <x:c r="B9" s="13" t="str">
        <x:v>手机号</x:v>
      </x:c>
      <x:c r="C9" s="13" t="str">
        <x:v>劳动合同、联系人、微信/短信、送达材料、证据截图</x:v>
      </x:c>
      <x:c r="D9" s="13" t="str">
        <x:v>通常否</x:v>
      </x:c>
      <x:c r="E9" s="13" t="str">
        <x:v>第4条、第6条、第10条、第13条</x:v>
      </x:c>
      <x:c r="F9" s="13" t="str">
        <x:v>具体法条同上。概括如下：个人信息指可识别自然人的相关信息，处理包含收集、存储、使用等全流程；处理需目的明确合理、恪守最小范围，禁止非法处理、交易个人信息；除法定无需个人同意的情形外，处理个人信息应当遵循合法基础，部分法定情形下个人仍享有拒绝权。</x:v>
      </x:c>
      <x:c r="G9" s="13" t="str">
        <x:v>手机号属于个人信息；多数劳动争议事实总结不需要完整手机号。</x:v>
      </x:c>
      <x:c r="H9" s="13" t="str">
        <x:v>项目处理：通常删除或掩码，如138****1234；仅保留识别同一联系人的必要部分。
业务/技术参考：GB/T 37964—2019第3.7；GB/T 42460—2023附录A，上述信息属于直接标识符，优先删除、屏蔽或角色化；但具体是否必须脱敏仍以个保法必要性和项目规则判断。</x:v>
      </x:c>
      <x:c r="I9" s="13" t="str">
        <x:v>法律强制+业务参考+项目自行采取的保守控制
</x:v>
      </x:c>
      <x:c r="J9" s="13" t="str">
        <x:v>否</x:v>
      </x:c>
      <x:c r="K9" s="13" t="str">
        <x:v>手机号本身是争议事实且完整号码确属必要时</x:v>
      </x:c>
      <x:c r="L9" s="13" t="str">
        <x:v>个人信息-个保法-处理方式对应表(1).xlsx/个人信息-个保法-处理方式映射表!A5</x:v>
      </x:c>
      <x:c r="M9" s="15" t="str">
        <x:v>待逐条核验适用主体、行为、版本与条件</x:v>
      </x:c>
      <x:c r="N9" s="16" t="str">
        <x:v>待核验</x:v>
      </x:c>
      <x:c r="O9" s="16" t="str"/>
      <x:c r="P9" s="16" t="str"/>
    </x:row>
    <x:row r="10" ht="83" customHeight="1">
      <x:c r="A10" s="13" t="str">
        <x:v>R-PI-05</x:v>
      </x:c>
      <x:c r="B10" s="13" t="str">
        <x:v>电子邮箱</x:v>
      </x:c>
      <x:c r="C10" s="13" t="str">
        <x:v>劳动合同、offer、通知、邮件往来、证据截图</x:v>
      </x:c>
      <x:c r="D10" s="13" t="str">
        <x:v>通常否</x:v>
      </x:c>
      <x:c r="E10" s="13" t="str">
        <x:v>第4条、第6条、第10条、第13条</x:v>
      </x:c>
      <x:c r="F10" s="13" t="str">
        <x:v>具体法条同上。概括如下：个人信息指可识别自然人的相关信息，处理包含收集、存储、使用等全流程；处理需目的明确合理、恪守最小范围，禁止非法处理、交易个人信息；除法定无需个人同意的情形外，处理个人信息应当遵循合法基础，部分法定情形下个人仍享有拒绝权。</x:v>
      </x:c>
      <x:c r="G10" s="13" t="str">
        <x:v>邮箱属于个人信息；通常保留邮件内容中的身份角色即可，不必保留完整地址。</x:v>
      </x:c>
      <x:c r="H10" s="13" t="str">
        <x:v>项目处理：删除或部分掩码邮箱账号。
业务/技术参考：GB/T 37964—2019第3.7；GB/T 42460—2023附录A，上述信息属于直接标识符，优先删除、屏蔽或角色化；但具体是否必须脱敏仍以个保法必要性和项目规则判断。</x:v>
      </x:c>
      <x:c r="I10" s="13" t="str">
        <x:v>法律强制+业务参考+项目自行采取的保守控制
</x:v>
      </x:c>
      <x:c r="J10" s="13" t="str">
        <x:v>否</x:v>
      </x:c>
      <x:c r="K10" s="13" t="str">
        <x:v>邮件地址本身是争议事实且确需核对时</x:v>
      </x:c>
      <x:c r="L10" s="13" t="str">
        <x:v>个人信息-个保法-处理方式对应表(1).xlsx/个人信息-个保法-处理方式映射表!A6</x:v>
      </x:c>
      <x:c r="M10" s="15" t="str">
        <x:v>待逐条核验适用主体、行为、版本与条件</x:v>
      </x:c>
      <x:c r="N10" s="16" t="str">
        <x:v>待核验</x:v>
      </x:c>
      <x:c r="O10" s="16" t="str"/>
      <x:c r="P10" s="16" t="str"/>
    </x:row>
    <x:row r="11" ht="383" customHeight="1">
      <x:c r="A11" s="13" t="str">
        <x:v>R-PI-06</x:v>
      </x:c>
      <x:c r="B11" s="13" t="str">
        <x:v>出生日期/年龄</x:v>
      </x:c>
      <x:c r="C11" s="13" t="str">
        <x:v>入职登记、身份证明、劳动合同、退休/年龄争议材料</x:v>
      </x:c>
      <x:c r="D11" s="13" t="str">
        <x:v>通常否</x:v>
      </x:c>
      <x:c r="E11" s="13" t="str">
        <x:v>第4条、第6条、第13条</x:v>
      </x:c>
      <x:c r="F11"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1" s="13" t="str">
        <x:v>若案件只需判断是否达到某年龄门槛，通常不需要完整出生日期。</x:v>
      </x:c>
      <x:c r="H11" s="13" t="str">
        <x:v>项目处理：能用年龄/年龄区间证明争议的，优先转换为年龄或区间。
业务/技术参考：GB/T 37964—2019第3.8；GB/T 42460—2023附录B；出生日期/年龄、事件日期、地点、职业、总收入等可能作为准标识符，与其他字段组合后增加再识别风险，因此删除直接标识符后仍需控制组合信息。</x:v>
      </x:c>
      <x:c r="I11" s="13" t="str">
        <x:v>法律强制+业务参考+项目自行采取的保守控制
</x:v>
      </x:c>
      <x:c r="J11" s="13" t="str">
        <x:v>否</x:v>
      </x:c>
      <x:c r="K11" s="13" t="str">
        <x:v>年龄是否达到法定门槛且精确生日可能影响结论时保留必要精度</x:v>
      </x:c>
      <x:c r="L11" s="13" t="str">
        <x:v>个人信息-个保法-处理方式对应表(1).xlsx/个人信息-个保法-处理方式映射表!A7</x:v>
      </x:c>
      <x:c r="M11" s="15" t="str">
        <x:v>原文存在第13条摘录问题，见FB-001；不得作为已审核法条</x:v>
      </x:c>
      <x:c r="N11" s="16" t="str">
        <x:v>待核验</x:v>
      </x:c>
      <x:c r="O11" s="16" t="str"/>
      <x:c r="P11" s="16" t="str"/>
    </x:row>
    <x:row r="12" ht="400" customHeight="1">
      <x:c r="A12" s="13" t="str">
        <x:v>R-PI-07</x:v>
      </x:c>
      <x:c r="B12" s="13" t="str">
        <x:v>银行账号/银行卡号</x:v>
      </x:c>
      <x:c r="C12" s="13" t="str">
        <x:v>工资流水、工资发放记录、经济补偿金支付凭证</x:v>
      </x:c>
      <x:c r="D12" s="13" t="str">
        <x:v>是：金融账户</x:v>
      </x:c>
      <x:c r="E12" s="13" t="str">
        <x:v>第28条、第29条、第30条、第6条、第13条</x:v>
      </x:c>
      <x:c r="F12"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2" s="13" t="str">
        <x:v>工资支付事实通常需要金额、日期、付款方等，不当然需要完整卡号；敏感属性要求更严格保护。</x:v>
      </x:c>
      <x:c r="H12" s="13" t="str">
        <x:v>项目处理：通常删除完整账号，只保留末4位或支付事实；必要时保留脱敏后的账户标识。
业务/技术参考：GB/T 45574—2025第6.5。GB/T 45574—2025第6.5规定金融账户信息应去标识化显示，确需完整显示的应进行身份验证；项目通常不向外部AI提供完整银行卡号。</x:v>
      </x:c>
      <x:c r="I12" s="13" t="str">
        <x:v>法律强制+业务参考+项目自行采取的保守控制
</x:v>
      </x:c>
      <x:c r="J12" s="13" t="str">
        <x:v>否；条件明确时不因敏感标签自动复核</x:v>
      </x:c>
      <x:c r="K12" s="13" t="str">
        <x:v>处理基础、必要性或严格保护措施无法确认时</x:v>
      </x:c>
      <x:c r="L12" s="13" t="str">
        <x:v>个人信息-个保法-处理方式对应表(1).xlsx/个人信息-个保法-处理方式映射表!A8</x:v>
      </x:c>
      <x:c r="M12" s="15" t="str">
        <x:v>原文存在第13条摘录问题，见FB-001；不得作为已审核法条</x:v>
      </x:c>
      <x:c r="N12" s="16" t="str">
        <x:v>待核验</x:v>
      </x:c>
      <x:c r="O12" s="16" t="str"/>
      <x:c r="P12" s="16" t="str"/>
    </x:row>
    <x:row r="13" ht="400" customHeight="1">
      <x:c r="A13" s="13" t="str">
        <x:v>R-PI-08</x:v>
      </x:c>
      <x:c r="B13" s="13" t="str">
        <x:v>工资/奖金金额</x:v>
      </x:c>
      <x:c r="C13" s="13" t="str">
        <x:v>工资表、银行流水、工资条、个税记录、奖金记录</x:v>
      </x:c>
      <x:c r="D13" s="13" t="str">
        <x:v>通常否；与金融账户结合时风险提高</x:v>
      </x:c>
      <x:c r="E13" s="13" t="str">
        <x:v>第4条、第6条、第10条、第13条</x:v>
      </x:c>
      <x:c r="F13"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3" s="13" t="str">
        <x:v>工资金额通常是劳动争议核心事实，可为证明欠薪、加班费、经济补偿等保留，但删除与争议无关的账户信息。</x:v>
      </x:c>
      <x:c r="H13" s="13" t="str">
        <x:v>法律允许范围内最小化保留金额、月份、支付状态；删除完整账户信息。
业务/技术参考：GB/T 37964—2019第3.7；GB/T 42460—2023附录A、GB/T 37964—2019第3.8；GB/T 42460—2023附录B；其中账号等直接标识符优先删除/屏蔽，日期、地点、职业、收入等组合字段注意准标识符风险。</x:v>
      </x:c>
      <x:c r="I13" s="13" t="str">
        <x:v>法律强制+业务参考+项目自行采取的保守控制
</x:v>
      </x:c>
      <x:c r="J13" s="13" t="str">
        <x:v>否</x:v>
      </x:c>
      <x:c r="K13" s="13" t="str">
        <x:v>工资金额是否属于争议核心事实不清时</x:v>
      </x:c>
      <x:c r="L13" s="13" t="str">
        <x:v>个人信息-个保法-处理方式对应表(1).xlsx/个人信息-个保法-处理方式映射表!A9</x:v>
      </x:c>
      <x:c r="M13" s="15" t="str">
        <x:v>原文存在第13条摘录问题，见FB-001；不得作为已审核法条</x:v>
      </x:c>
      <x:c r="N13" s="16" t="str">
        <x:v>待核验</x:v>
      </x:c>
      <x:c r="O13" s="16" t="str"/>
      <x:c r="P13" s="16" t="str"/>
    </x:row>
    <x:row r="14" ht="400" customHeight="1">
      <x:c r="A14" s="13" t="str">
        <x:v>R-PI-09</x:v>
      </x:c>
      <x:c r="B14" s="13" t="str">
        <x:v>社保账号/缴费记录</x:v>
      </x:c>
      <x:c r="C14" s="13" t="str">
        <x:v>社保缴费记录、社保查询截图、劳动争议证据</x:v>
      </x:c>
      <x:c r="D14" s="13" t="str">
        <x:v>通常否；具体账号如与金融/身份信息结合需进一步判断</x:v>
      </x:c>
      <x:c r="E14" s="13" t="str">
        <x:v>第4条、第6条、第10条、第13条</x:v>
      </x:c>
      <x:c r="F14"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4" s="13" t="str">
        <x:v>社保缴费记录常用于证明劳动关系、缴费义务和时间范围；可保留缴费期间、险种和单位信息，删除无关个人识别号码。</x:v>
      </x:c>
      <x:c r="H14" s="13" t="str">
        <x:v>项目处理：保留案件相关期间和缴费事实；删除完整社保账号。
业务/技术参考：GB/T 37964—2019第3.7；GB/T 42460—2023附录A、GB/T 37964—2019第3.8；GB/T 42460—2023附录B；其中账号等直接标识符优先删除/屏蔽，日期、地点、职业、收入等组合字段注意准标识符风险。</x:v>
      </x:c>
      <x:c r="I14" s="13" t="str">
        <x:v>法律强制+业务参考+项目自行采取的保守控制
</x:v>
      </x:c>
      <x:c r="J14" s="13" t="str">
        <x:v>否</x:v>
      </x:c>
      <x:c r="K14" s="13" t="str">
        <x:v>完整账号是否确有必要且合法基础不清时</x:v>
      </x:c>
      <x:c r="L14" s="13" t="str">
        <x:v>个人信息-个保法-处理方式对应表(1).xlsx/个人信息-个保法-处理方式映射表!A10</x:v>
      </x:c>
      <x:c r="M14" s="15" t="str">
        <x:v>原文存在第13条摘录问题，见FB-001；不得作为已审核法条</x:v>
      </x:c>
      <x:c r="N14" s="16" t="str">
        <x:v>待核验</x:v>
      </x:c>
      <x:c r="O14" s="16" t="str"/>
      <x:c r="P14" s="16" t="str"/>
    </x:row>
    <x:row r="15" ht="400" customHeight="1">
      <x:c r="A15" s="13" t="str">
        <x:v>R-PI-10</x:v>
      </x:c>
      <x:c r="B15" s="13" t="str">
        <x:v>医疗健康信息</x:v>
      </x:c>
      <x:c r="C15" s="13" t="str">
        <x:v>病历、诊断证明、病假条、住院记录、工伤医疗资料、职业病资料</x:v>
      </x:c>
      <x:c r="D15" s="13" t="str">
        <x:v>是：医疗健康</x:v>
      </x:c>
      <x:c r="E15" s="13" t="str">
        <x:v>第28条、第29条、第30条、第6条、第13条</x:v>
      </x:c>
      <x:c r="F15"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5" s="13" t="str">
        <x:v>工伤、职业病、病假等案件可能必须处理健康信息，但不应把完整病历、无关诊疗细节全部送入模型。</x:v>
      </x:c>
      <x:c r="H15" s="13" t="str">
        <x:v>项目处理：只保留与争议有关的诊断结论、日期、伤情/停工留薪期等必要事实；删除无关病史、检查细节和直接身份信息。
业务/技术参考：GB/T 45574—2025第6.4。医疗健康信息应去标识化显示，确需完整显示时进行身份验证；项目优先提取与劳动争议直接相关的诊断结论、日期、等级等必要事实。</x:v>
      </x:c>
      <x:c r="I15" s="13" t="str">
        <x:v>法律强制+业务参考+项目自行采取的保守控制
</x:v>
      </x:c>
      <x:c r="J15" s="13" t="str">
        <x:v>否；法律条件明确且可最小化时</x:v>
      </x:c>
      <x:c r="K15" s="13" t="str">
        <x:v>具体健康信息是否为争议必要事实、是否存在额外用途/保密限制不清时</x:v>
      </x:c>
      <x:c r="L15" s="13" t="str">
        <x:v>个人信息-个保法-处理方式对应表(1).xlsx/个人信息-个保法-处理方式映射表!A11</x:v>
      </x:c>
      <x:c r="M15" s="15" t="str">
        <x:v>原文存在第13条摘录问题，见FB-001；不得作为已审核法条</x:v>
      </x:c>
      <x:c r="N15" s="16" t="str">
        <x:v>待核验</x:v>
      </x:c>
      <x:c r="O15" s="16" t="str"/>
      <x:c r="P15" s="16" t="str"/>
    </x:row>
    <x:row r="16" ht="400" customHeight="1">
      <x:c r="A16" s="13" t="str">
        <x:v>R-PI-11</x:v>
      </x:c>
      <x:c r="B16" s="13" t="str">
        <x:v>工伤认定/劳动能力鉴定结果</x:v>
      </x:c>
      <x:c r="C16" s="13" t="str">
        <x:v>工伤认定决定书、劳动能力鉴定结论、工伤待遇材料</x:v>
      </x:c>
      <x:c r="D16" s="13" t="str">
        <x:v>通常是：与医疗健康相关</x:v>
      </x:c>
      <x:c r="E16" s="13" t="str">
        <x:v>第28条、第29条、第30条、第6条、第13条</x:v>
      </x:c>
      <x:c r="F16"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6" s="13" t="str">
        <x:v>认定结论通常是工伤待遇争议核心事实，可保留结论；不必要的医疗原始资料不应一并外发。</x:v>
      </x:c>
      <x:c r="H16" s="13" t="str">
        <x:v>项目处理：保留认定结论、等级、日期等必要字段；原始病历/检查资料另行最小化。
业务/技术参考：GB/T 45574—2025第6.4。医疗健康信息应去标识化显示，确需完整显示时进行身份验证；项目优先提取与劳动争议直接相关的诊断结论、日期、等级等必要事实。</x:v>
      </x:c>
      <x:c r="I16" s="13" t="str">
        <x:v>法律强制+业务参考+项目自行采取的保守控制
</x:v>
      </x:c>
      <x:c r="J16" s="13" t="str">
        <x:v>否</x:v>
      </x:c>
      <x:c r="K16" s="13" t="str">
        <x:v>是否必须处理原始医疗附件不明确时</x:v>
      </x:c>
      <x:c r="L16" s="13" t="str">
        <x:v>个人信息-个保法-处理方式对应表(1).xlsx/个人信息-个保法-处理方式映射表!A12</x:v>
      </x:c>
      <x:c r="M16" s="15" t="str">
        <x:v>原文存在第13条摘录问题，见FB-001；不得作为已审核法条</x:v>
      </x:c>
      <x:c r="N16" s="16" t="str">
        <x:v>待核验</x:v>
      </x:c>
      <x:c r="O16" s="16" t="str"/>
      <x:c r="P16" s="16" t="str"/>
    </x:row>
    <x:row r="17" ht="400" customHeight="1">
      <x:c r="A17" s="13" t="str">
        <x:v>R-PI-12</x:v>
      </x:c>
      <x:c r="B17" s="13" t="str">
        <x:v>生育/孕产健康信息</x:v>
      </x:c>
      <x:c r="C17" s="13" t="str">
        <x:v>怀孕证明、产检、产假申请、生育医疗材料</x:v>
      </x:c>
      <x:c r="D17" s="13" t="str">
        <x:v>是：医疗健康</x:v>
      </x:c>
      <x:c r="E17" s="13" t="str">
        <x:v>第28条、第29条、第30条、第6条、第13条</x:v>
      </x:c>
      <x:c r="F17"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17" s="13" t="str">
        <x:v>女职工孕期、产假争议可能需要该信息，但应仅保留证明劳动争议结论所需的最小信息。</x:v>
      </x:c>
      <x:c r="H17" s="13" t="str">
        <x:v>项目处理：保留是否怀孕、关键日期、是否符合产假事实等必要内容；删除详细检查记录。
业务/技术参考：GB/T 45574—2025第6.4。医疗健康信息应去标识化显示，确需完整显示时进行身份验证；项目优先提取与劳动争议直接相关的诊断结论、日期、等级等必要事实。</x:v>
      </x:c>
      <x:c r="I17" s="13" t="str">
        <x:v>法律强制+业务参考+项目自行采取的保守控制
</x:v>
      </x:c>
      <x:c r="J17" s="13" t="str">
        <x:v>否</x:v>
      </x:c>
      <x:c r="K17" s="13" t="str">
        <x:v>具体医疗资料是否必要、处理基础或用途限制不清时</x:v>
      </x:c>
      <x:c r="L17" s="13" t="str">
        <x:v>个人信息-个保法-处理方式对应表(1).xlsx/个人信息-个保法-处理方式映射表!A13</x:v>
      </x:c>
      <x:c r="M17" s="15" t="str">
        <x:v>原文存在第13条摘录问题，见FB-001；不得作为已审核法条</x:v>
      </x:c>
      <x:c r="N17" s="16" t="str">
        <x:v>待核验</x:v>
      </x:c>
      <x:c r="O17" s="16" t="str"/>
      <x:c r="P17" s="16" t="str"/>
    </x:row>
    <x:row r="18" ht="293" customHeight="1">
      <x:c r="A18" s="13" t="str">
        <x:v>R-PI-13</x:v>
      </x:c>
      <x:c r="B18" s="13" t="str">
        <x:v>指纹/人脸等生物识别信息</x:v>
      </x:c>
      <x:c r="C18" s="13" t="str">
        <x:v>考勤系统截图、打卡日志、门禁记录</x:v>
      </x:c>
      <x:c r="D18" s="13" t="str">
        <x:v>是：生物识别</x:v>
      </x:c>
      <x:c r="E18" s="13" t="str">
        <x:v>第28条、第29条、第30条、第6条</x:v>
      </x:c>
      <x:c r="F18"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x:v>
      </x:c>
      <x:c r="G18" s="13" t="str">
        <x:v>劳动争议通常需要的是考勤结果/时间，而不是原始指纹模板、人脸特征。</x:v>
      </x:c>
      <x:c r="H18" s="13" t="str">
        <x:v>项目处理：优先删除原始生物识别模板，仅保留日期、时间、考勤结果等非生物特征证据。
业务/技术参考：GB/T 45574—2025第6.1。项目优先不向外部AI提供原始生物识别信息，仅保留考勤结果、时间等可替代事实。</x:v>
      </x:c>
      <x:c r="I18" s="13" t="str">
        <x:v>法律强制+业务参考+项目自行采取的保守控制
</x:v>
      </x:c>
      <x:c r="J18" s="13" t="str">
        <x:v>否</x:v>
      </x:c>
      <x:c r="K18" s="13" t="str">
        <x:v>若原始生物识别数据确为争议核心且无法用结果替代时</x:v>
      </x:c>
      <x:c r="L18" s="13" t="str">
        <x:v>个人信息-个保法-处理方式对应表(1).xlsx/个人信息-个保法-处理方式映射表!A14</x:v>
      </x:c>
      <x:c r="M18" s="15" t="str">
        <x:v>待逐条核验适用主体、行为、版本与条件</x:v>
      </x:c>
      <x:c r="N18" s="16" t="str">
        <x:v>待核验</x:v>
      </x:c>
      <x:c r="O18" s="16" t="str"/>
      <x:c r="P18" s="16" t="str"/>
    </x:row>
    <x:row r="19" ht="293" customHeight="1">
      <x:c r="A19" s="13" t="str">
        <x:v>R-PI-14</x:v>
      </x:c>
      <x:c r="B19" s="13" t="str">
        <x:v>行踪轨迹/精确定位</x:v>
      </x:c>
      <x:c r="C19" s="13" t="str">
        <x:v>打卡定位、出差轨迹、车辆GPS、手机定位截图</x:v>
      </x:c>
      <x:c r="D19" s="13" t="str">
        <x:v>是：行踪轨迹</x:v>
      </x:c>
      <x:c r="E19" s="13" t="str">
        <x:v>第28条、第29条、第30条、第6条</x:v>
      </x:c>
      <x:c r="F19"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x:v>
      </x:c>
      <x:c r="G19" s="13" t="str">
        <x:v>劳动争议可能需要证明工作地点、出勤、出差，但通常无需完整连续轨迹。</x:v>
      </x:c>
      <x:c r="H19" s="13" t="str">
        <x:v>项目处理：保留与争议时间/地点直接相关的必要记录；删除连续轨迹和无关位置数据。
业务/技术参考：GB/T 45574—2025第6.6。应按最小频率和范围调用；界面显示宜采取去标识化措施。项目优先保留与争议直接相关的时间、地点和事件。</x:v>
      </x:c>
      <x:c r="I19" s="13" t="str">
        <x:v>法律强制+业务参考+项目自行采取的保守控制
</x:v>
      </x:c>
      <x:c r="J19" s="13" t="str">
        <x:v>否</x:v>
      </x:c>
      <x:c r="K19" s="13" t="str">
        <x:v>是否需要精确轨迹才能证明案件事实不明确时</x:v>
      </x:c>
      <x:c r="L19" s="13" t="str">
        <x:v>个人信息-个保法-处理方式对应表(1).xlsx/个人信息-个保法-处理方式映射表!A15</x:v>
      </x:c>
      <x:c r="M19" s="15" t="str">
        <x:v>待逐条核验适用主体、行为、版本与条件</x:v>
      </x:c>
      <x:c r="N19" s="16" t="str">
        <x:v>待核验</x:v>
      </x:c>
      <x:c r="O19" s="16" t="str"/>
      <x:c r="P19" s="16" t="str"/>
    </x:row>
    <x:row r="20" ht="293" customHeight="1">
      <x:c r="A20" s="13" t="str">
        <x:v>R-PI-15</x:v>
      </x:c>
      <x:c r="B20" s="13" t="str">
        <x:v>宗教信仰/特定身份信息</x:v>
      </x:c>
      <x:c r="C20" s="13" t="str">
        <x:v>员工档案、福利申请、争议陈述等</x:v>
      </x:c>
      <x:c r="D20" s="13" t="str">
        <x:v>是：第28条列举敏感个人信息</x:v>
      </x:c>
      <x:c r="E20" s="13" t="str">
        <x:v>第28条、第29条、第30条、第6条</x:v>
      </x:c>
      <x:c r="F20"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x:v>
      </x:c>
      <x:c r="G20" s="13" t="str">
        <x:v>劳动争议事实总结通常不需要此类信息；若与争议无关，应删除。</x:v>
      </x:c>
      <x:c r="H20" s="13" t="str">
        <x:v>项目处理：非案件必要信息直接删除；确属案件必要且法律条件明确时最小化处理。
业务/技术参考：GB/T 45574—2025第6.2、第6.3。项目无案件必要时删除；确属案件必要时再按个保法敏感个人信息规则处理。</x:v>
      </x:c>
      <x:c r="I20" s="13" t="str">
        <x:v>法律强制+业务参考+项目自行采取的保守控制
</x:v>
      </x:c>
      <x:c r="J20" s="13" t="str">
        <x:v>否；非必要时直接删除</x:v>
      </x:c>
      <x:c r="K20" s="13" t="str">
        <x:v>是否确属案件必要且处理基础明确时</x:v>
      </x:c>
      <x:c r="L20" s="13" t="str">
        <x:v>个人信息-个保法-处理方式对应表(1).xlsx/个人信息-个保法-处理方式映射表!A16</x:v>
      </x:c>
      <x:c r="M20" s="15" t="str">
        <x:v>待逐条核验适用主体、行为、版本与条件</x:v>
      </x:c>
      <x:c r="N20" s="16" t="str">
        <x:v>待核验</x:v>
      </x:c>
      <x:c r="O20" s="16" t="str"/>
      <x:c r="P20" s="16" t="str"/>
    </x:row>
    <x:row r="21" ht="308" customHeight="1">
      <x:c r="A21" s="13" t="str">
        <x:v>R-PI-16</x:v>
      </x:c>
      <x:c r="B21" s="13" t="str">
        <x:v>不满14周岁未成年人信息</x:v>
      </x:c>
      <x:c r="C21" s="13" t="str">
        <x:v>劳动者子女资料、家庭成员信息、抚养/赔偿材料</x:v>
      </x:c>
      <x:c r="D21" s="13" t="str">
        <x:v>是：第28条；第31条另有特别规则</x:v>
      </x:c>
      <x:c r="E21" s="13" t="str">
        <x:v>第28条、第29条、第31条、第6条</x:v>
      </x:c>
      <x:c r="F21"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第三十一条 
处理不满十四周岁未成年人个人信息的，应当取得未成年人的父母或者其他监护人的同意。
个人信息处理者处理不满十四周岁未成年人个人信息的，应当制定专门的个人信息处理规则。
第六条
处理个人信息应当具有明确、合理的目的，并应当与处理目的直接相关，采取对个人权益影响最小的方式。
收集个人信息，应当限于实现处理目的的最小范围，不得过度收集个人信息。</x:v>
      </x:c>
      <x:c r="G21" s="13" t="str">
        <x:v>出现儿童信息时不能因其只是附带证据就忽略特殊规则。</x:v>
      </x:c>
      <x:c r="H21" s="13" t="str">
        <x:v>项目处理：无关儿童信息删除；确需处理时最小化，并核实第31条要求。
业务/技术参考：GB/T 45574—2025第6.7。无关信息删除；确需处理时结合个保法第31条核实监护人同意等法律条件。</x:v>
      </x:c>
      <x:c r="I21" s="13" t="str">
        <x:v>法律强制+业务参考+项目自行采取的保守控制
</x:v>
      </x:c>
      <x:c r="J21" s="13" t="str">
        <x:v>是</x:v>
      </x:c>
      <x:c r="K21" s="13" t="str">
        <x:v>年龄、监护授权、处理基础或必要性无法确认</x:v>
      </x:c>
      <x:c r="L21" s="13" t="str">
        <x:v>个人信息-个保法-处理方式对应表(1).xlsx/个人信息-个保法-处理方式映射表!A17</x:v>
      </x:c>
      <x:c r="M21" s="15" t="str">
        <x:v>待逐条核验适用主体、行为、版本与条件</x:v>
      </x:c>
      <x:c r="N21" s="16" t="str">
        <x:v>待核验</x:v>
      </x:c>
      <x:c r="O21" s="16" t="str"/>
      <x:c r="P21" s="16" t="str"/>
    </x:row>
    <x:row r="22" ht="400" customHeight="1">
      <x:c r="A22" s="13" t="str">
        <x:v>R-PI-17</x:v>
      </x:c>
      <x:c r="B22" s="13" t="str">
        <x:v>家庭成员信息</x:v>
      </x:c>
      <x:c r="C22" s="13" t="str">
        <x:v>婚姻、子女、父母、配偶、紧急联系人等</x:v>
      </x:c>
      <x:c r="D22" s="13" t="str">
        <x:v>通常否；其中健康、金融等字段另行按敏感信息处理</x:v>
      </x:c>
      <x:c r="E22" s="13" t="str">
        <x:v>第4条、第6条、第10条、第13条</x:v>
      </x:c>
      <x:c r="F22"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22" s="13" t="str">
        <x:v>家庭成员信息常不是劳动争议事实核心，尤其第三方信息更应避免无必要外传。</x:v>
      </x:c>
      <x:c r="H22" s="13" t="str">
        <x:v>项目处理：无关家庭成员信息直接删除；确需证明扶养/亲属关系时只保留关系类型和必要事实。
业务/技术参考：GB/T 37964—2019第3.8；GB/T 42460—2023附录B；出生日期/年龄、事件日期、地点、职业、总收入等可能作为准标识符，与其他字段组合后增加再识别风险，因此删除直接标识符后仍需控制组合信息。</x:v>
      </x:c>
      <x:c r="I22" s="13" t="str">
        <x:v>法律强制+业务参考+项目自行采取的保守控制
</x:v>
      </x:c>
      <x:c r="J22" s="13" t="str">
        <x:v>否</x:v>
      </x:c>
      <x:c r="K22" s="13" t="str">
        <x:v>第三方家庭成员信息是否确属案件必要事实不清时</x:v>
      </x:c>
      <x:c r="L22" s="13" t="str">
        <x:v>个人信息-个保法-处理方式对应表(1).xlsx/个人信息-个保法-处理方式映射表!A18</x:v>
      </x:c>
      <x:c r="M22" s="15" t="str">
        <x:v>原文存在第13条摘录问题，见FB-001；不得作为已审核法条</x:v>
      </x:c>
      <x:c r="N22" s="16" t="str">
        <x:v>待核验</x:v>
      </x:c>
      <x:c r="O22" s="16" t="str"/>
      <x:c r="P22" s="16" t="str"/>
    </x:row>
    <x:row r="23" ht="400" customHeight="1">
      <x:c r="A23" s="13" t="str">
        <x:v>R-PI-18</x:v>
      </x:c>
      <x:c r="B23" s="13" t="str">
        <x:v>聊天账号/微信号/社交账号</x:v>
      </x:c>
      <x:c r="C23" s="13" t="str">
        <x:v>微信聊天、企业微信、钉钉、短信、邮件截图</x:v>
      </x:c>
      <x:c r="D23" s="13" t="str">
        <x:v>通常否；内容可能包含敏感个人信息</x:v>
      </x:c>
      <x:c r="E23" s="13" t="str">
        <x:v>第4条、第6条、第10条、第13条</x:v>
      </x:c>
      <x:c r="F23"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23" s="13" t="str">
        <x:v>聊天记录本身常是劳动争议核心证据，但账号、头像、朋友圈等无关信息不必发送。</x:v>
      </x:c>
      <x:c r="H23" s="13" t="str">
        <x:v>项目处理：保留与争议相关的对话内容；隐藏无关账号、头像、朋友圈和第三方信息。
业务/技术参考：GB/T 37964—2019第3.7；GB/T 42460—2023附录A、GB/T 37964—2019第3.8；GB/T 42460—2023附录B；其中账号等直接标识符优先删除/屏蔽，日期、地点、职业、收入等组合字段注意准标识符风险。</x:v>
      </x:c>
      <x:c r="I23" s="13" t="str">
        <x:v>法律强制+业务参考+项目自行采取的保守控制
</x:v>
      </x:c>
      <x:c r="J23" s="13" t="str">
        <x:v>否</x:v>
      </x:c>
      <x:c r="K23" s="13" t="str">
        <x:v>聊天内容包含第三方敏感信息或私密信息且是否必要不清时</x:v>
      </x:c>
      <x:c r="L23" s="13" t="str">
        <x:v>个人信息-个保法-处理方式对应表(1).xlsx/个人信息-个保法-处理方式映射表!A19</x:v>
      </x:c>
      <x:c r="M23" s="15" t="str">
        <x:v>原文存在第13条摘录问题，见FB-001；不得作为已审核法条</x:v>
      </x:c>
      <x:c r="N23" s="16" t="str">
        <x:v>待核验</x:v>
      </x:c>
      <x:c r="O23" s="16" t="str"/>
      <x:c r="P23" s="16" t="str"/>
    </x:row>
    <x:row r="24" ht="400" customHeight="1">
      <x:c r="A24" s="13" t="str">
        <x:v>R-PI-19</x:v>
      </x:c>
      <x:c r="B24" s="13" t="str">
        <x:v>考勤/打卡时间</x:v>
      </x:c>
      <x:c r="C24" s="13" t="str">
        <x:v>考勤表、打卡记录、加班记录、门禁记录</x:v>
      </x:c>
      <x:c r="D24" s="13" t="str">
        <x:v>通常否；若包含精确行踪/生物识别则另行判断</x:v>
      </x:c>
      <x:c r="E24" s="13" t="str">
        <x:v>第4条、第6条、第13条；如含行踪/生物识别再适用第28条</x:v>
      </x:c>
      <x:c r="F24"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x:v>
      </x:c>
      <x:c r="G24" s="13" t="str">
        <x:v>加班、缺勤、出勤是劳动争议常见核心事实；可保留与争议期间直接相关的考勤数据。</x:v>
      </x:c>
      <x:c r="H24" s="13" t="str">
        <x:v>项目处理：保留日期、时间、考勤结果；删除原始生物识别、无关定位等附带数据。
业务/技术参考：GB/T 37964—2019第3.8；GB/T 42460—2023附录B；出生日期/年龄、事件日期、地点、职业、总收入等可能作为准标识符，与其他字段组合后增加再识别风险，因此删除直接标识符后仍需控制组合信息。</x:v>
      </x:c>
      <x:c r="I24" s="13" t="str">
        <x:v>法律强制+业务参考+项目自行采取的保守控制
</x:v>
      </x:c>
      <x:c r="J24" s="13" t="str">
        <x:v>否</x:v>
      </x:c>
      <x:c r="K24" s="13" t="str">
        <x:v>是否需要连续完整考勤记录取决于具体争议事实</x:v>
      </x:c>
      <x:c r="L24" s="13" t="str">
        <x:v>个人信息-个保法-处理方式对应表(1).xlsx/个人信息-个保法-处理方式映射表!A20</x:v>
      </x:c>
      <x:c r="M24" s="15" t="str">
        <x:v>原文存在第13条摘录问题，见FB-001；不得作为已审核法条</x:v>
      </x:c>
      <x:c r="N24" s="16" t="str">
        <x:v>待核验</x:v>
      </x:c>
      <x:c r="O24" s="16" t="str"/>
      <x:c r="P24" s="16" t="str"/>
    </x:row>
    <x:row r="25" ht="400" customHeight="1">
      <x:c r="A25" s="13" t="str">
        <x:v>R-PI-20</x:v>
      </x:c>
      <x:c r="B25" s="13" t="str">
        <x:v>绩效考核/奖惩记录</x:v>
      </x:c>
      <x:c r="C25" s="13" t="str">
        <x:v>绩效表、KPI、奖金评定、纪律处分、警告/通报</x:v>
      </x:c>
      <x:c r="D25" s="13" t="str">
        <x:v>通常否；如包含健康、宗教等字段另行判断</x:v>
      </x:c>
      <x:c r="E25" s="13" t="str">
        <x:v>第4条、第6条、第10条、第13条</x:v>
      </x:c>
      <x:c r="F25"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25" s="13" t="str">
        <x:v>绩效和处分记录可能直接关系解除是否合法或奖金争议，应保留案件相关部分。</x:v>
      </x:c>
      <x:c r="H25" s="13" t="str">
        <x:v>项目处理：仅保留争议期间、争议指标、结论和必要证据；删除无关员工评价信息。
业务/技术参考：GB/T 37964—2019第3.8；GB/T 42460—2023附录B；出生日期/年龄、事件日期、地点、职业、总收入等可能作为准标识符，与其他字段组合后增加再识别风险，因此删除直接标识符后仍需控制组合信息。</x:v>
      </x:c>
      <x:c r="I25" s="13" t="str">
        <x:v>法律强制+业务参考+项目自行采取的保守控制
</x:v>
      </x:c>
      <x:c r="J25" s="13" t="str">
        <x:v>否</x:v>
      </x:c>
      <x:c r="K25" s="13" t="str">
        <x:v>包含大量无关员工信息或第三方评价时</x:v>
      </x:c>
      <x:c r="L25" s="13" t="str">
        <x:v>个人信息-个保法-处理方式对应表(1).xlsx/个人信息-个保法-处理方式映射表!A21</x:v>
      </x:c>
      <x:c r="M25" s="15" t="str">
        <x:v>原文存在第13条摘录问题，见FB-001；不得作为已审核法条</x:v>
      </x:c>
      <x:c r="N25" s="16" t="str">
        <x:v>待核验</x:v>
      </x:c>
      <x:c r="O25" s="16" t="str"/>
      <x:c r="P25" s="16" t="str"/>
    </x:row>
    <x:row r="26" ht="400" customHeight="1">
      <x:c r="A26" s="13" t="str">
        <x:v>R-PI-21</x:v>
      </x:c>
      <x:c r="B26" s="13" t="str">
        <x:v>录音/录像及其中的人声、肖像</x:v>
      </x:c>
      <x:c r="C26" s="13" t="str">
        <x:v>谈话录音、会议录像、监控、庭审/仲裁录音</x:v>
      </x:c>
      <x:c r="D26" s="13" t="str">
        <x:v>可能含生物识别/健康等敏感信息，需按实际内容判断</x:v>
      </x:c>
      <x:c r="E26" s="13" t="str">
        <x:v>第4条、第6条、第10条、第13条、第28条（如落入敏感类别）</x:v>
      </x:c>
      <x:c r="F26"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x:v>
      </x:c>
      <x:c r="G26" s="13" t="str">
        <x:v>录音录像可作为劳动争议证据，但通常可先转写、提取争议相关片段，减少原始媒体中无关人员信息。</x:v>
      </x:c>
      <x:c r="H26" s="13" t="str">
        <x:v>项目处理：优先提取与争议相关的文字事实；无关人员声像信息不进入外部载荷。</x:v>
      </x:c>
      <x:c r="I26" s="13" t="str">
        <x:v>法律强制+业务参考+项目自行采取的保守控制
</x:v>
      </x:c>
      <x:c r="J26" s="13" t="str">
        <x:v>否</x:v>
      </x:c>
      <x:c r="K26" s="13" t="str">
        <x:v>原始媒体是否必须外发、是否含大量第三方信息不清时</x:v>
      </x:c>
      <x:c r="L26" s="13" t="str">
        <x:v>个人信息-个保法-处理方式对应表(1).xlsx/个人信息-个保法-处理方式映射表!A22</x:v>
      </x:c>
      <x:c r="M26" s="15" t="str">
        <x:v>原文存在第13条摘录问题，见FB-001；不得作为已审核法条</x:v>
      </x:c>
      <x:c r="N26" s="16" t="str">
        <x:v>待核验</x:v>
      </x:c>
      <x:c r="O26" s="16" t="str"/>
      <x:c r="P26" s="16" t="str"/>
    </x:row>
    <x:row r="27" ht="308" customHeight="1">
      <x:c r="A27" s="13" t="str">
        <x:v>R-PI-22</x:v>
      </x:c>
      <x:c r="B27" s="13" t="str">
        <x:v>银行流水中的交易对手/其他账户</x:v>
      </x:c>
      <x:c r="C27" s="13" t="str">
        <x:v>工资流水、报销、转账记录</x:v>
      </x:c>
      <x:c r="D27" s="13" t="str">
        <x:v>账户字段属于金融账户敏感信息；交易对手信息按实际可识别性判断</x:v>
      </x:c>
      <x:c r="E27" s="13" t="str">
        <x:v>第28条、第29条、第30条、第6条</x:v>
      </x:c>
      <x:c r="F27" s="13" t="str">
        <x:v>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第三十条 
个人信息处理者处理敏感个人信息的，除本法第十七条第一款规定的事项外，还应当向个人告知处理敏感个人信息的必要性以及对个人权益的影响；依照本法规定可以不向个人告知的除外。
第六条
处理个人信息应当具有明确、合理的目的，并应当与处理目的直接相关，采取对个人权益影响最小的方式。
收集个人信息，应当限于实现处理目的的最小范围，不得过度收集个人信息。
</x:v>
      </x:c>
      <x:c r="G27" s="13" t="str">
        <x:v>工资争议通常只需证明付款方、金额、日期，不需要全部交易明细。</x:v>
      </x:c>
      <x:c r="H27" s="13" t="str">
        <x:v>项目处理：裁剪到争议期间和相关交易；隐藏无关交易、完整账户号和第三方信息。
业务/技术参考：GB/T 45574—2025第6.5；交易对手的账户信息按金融账户敏感信息处理，优先裁剪无关交易并隐藏完整账户号。</x:v>
      </x:c>
      <x:c r="I27" s="13" t="str">
        <x:v>法律强制+业务参考+项目自行采取的保守控制
</x:v>
      </x:c>
      <x:c r="J27" s="13" t="str">
        <x:v>否</x:v>
      </x:c>
      <x:c r="K27" s="13" t="str">
        <x:v>无法自动区分案件相关交易与无关交易时</x:v>
      </x:c>
      <x:c r="L27" s="13" t="str">
        <x:v>个人信息-个保法-处理方式对应表(1).xlsx/个人信息-个保法-处理方式映射表!A23</x:v>
      </x:c>
      <x:c r="M27" s="15" t="str">
        <x:v>待逐条核验适用主体、行为、版本与条件</x:v>
      </x:c>
      <x:c r="N27" s="16" t="str">
        <x:v>待核验</x:v>
      </x:c>
      <x:c r="O27" s="16" t="str"/>
      <x:c r="P27" s="16" t="str"/>
    </x:row>
    <x:row r="28" ht="400" customHeight="1">
      <x:c r="A28" s="13" t="str">
        <x:v>R-PI-23</x:v>
      </x:c>
      <x:c r="B28" s="13" t="str">
        <x:v>税号/个税申报信息</x:v>
      </x:c>
      <x:c r="C28" s="13" t="str">
        <x:v>个税记录、收入证明、税务截图</x:v>
      </x:c>
      <x:c r="D28" s="13" t="str">
        <x:v>通常否；具体账户/身份字段另行判断</x:v>
      </x:c>
      <x:c r="E28" s="13" t="str">
        <x:v>第4条、第6条、第10条、第13条</x:v>
      </x:c>
      <x:c r="F28"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28" s="13" t="str">
        <x:v>税务收入信息可用于工资、收入争议，但通常无需保留完整税号、账号等识别信息。</x:v>
      </x:c>
      <x:c r="H28" s="13" t="str">
        <x:v>项目处理：保留与争议期间相关的收入/申报事实，删除无关识别号码。
业务/技术参考：GB/T 37964—2019第3.8；GB/T 42460—2023附录B；出生日期/年龄、事件日期、地点、职业、总收入等可能作为准标识符，与其他字段组合后增加再识别风险，因此删除直接标识符后仍需控制组合信息。</x:v>
      </x:c>
      <x:c r="I28" s="13" t="str">
        <x:v>法律强制+业务参考+项目自行采取的保守控制
</x:v>
      </x:c>
      <x:c r="J28" s="13" t="str">
        <x:v>否</x:v>
      </x:c>
      <x:c r="K28" s="13" t="str">
        <x:v>税务数据是否为核心证据及需保留精确字段不明确时</x:v>
      </x:c>
      <x:c r="L28" s="13" t="str">
        <x:v>个人信息-个保法-处理方式对应表(1).xlsx/个人信息-个保法-处理方式映射表!A24</x:v>
      </x:c>
      <x:c r="M28" s="15" t="str">
        <x:v>原文存在第13条摘录问题，见FB-001；不得作为已审核法条</x:v>
      </x:c>
      <x:c r="N28" s="16" t="str">
        <x:v>待核验</x:v>
      </x:c>
      <x:c r="O28" s="16" t="str"/>
      <x:c r="P28" s="16" t="str"/>
    </x:row>
    <x:row r="29" ht="400" customHeight="1">
      <x:c r="A29" s="13" t="str">
        <x:v>R-PI-24</x:v>
      </x:c>
      <x:c r="B29" s="13" t="str">
        <x:v>证人信息/第三方联系人</x:v>
      </x:c>
      <x:c r="C29" s="13" t="str">
        <x:v>证人身份证明、联系方式、证人证言、联系人信息</x:v>
      </x:c>
      <x:c r="D29" s="13" t="str">
        <x:v>通常否；其中健康、金融等内容按第28条另行判断</x:v>
      </x:c>
      <x:c r="E29" s="13" t="str">
        <x:v>第4条、第6条、第10条、第13条</x:v>
      </x:c>
      <x:c r="F29" s="13" t="str">
        <x:v>第四条
个人信息是以电子或者其他方式记录的与已识别或者可识别的自然人有关的各种信息，不包括匿名化处理后的信息。
个人信息的处理包括个人信息的收集、存储、使用、加工、传输、提供、公开、删除等。
第六条
处理个人信息应当具有明确、合理的目的，并应当与处理目的直接相关，采取对个人权益影响最小的方式。
收集个人信息，应当限于实现处理目的的最小范围，不得过度收集个人信息。
第十条
任何组织、个人不得非法收集、使用、加工、传输他人个人信息，不得非法买卖、提供或者公开他人个人信息；不得从事危害国家安全、公共利益的个人信息处理活动。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x:v>
      </x:c>
      <x:c r="G29" s="13" t="str">
        <x:v>第三方证人信息并非因为与案件有关就可以全部发送；通常只需要证言内容及角色，不需要完整联系方式。</x:v>
      </x:c>
      <x:c r="H29" s="13" t="str">
        <x:v>项目处理：证言内容可保留；姓名、手机号、住址等优先脱敏或角色化。
业务/技术参考：GB/T 37964—2019第3.7；GB/T 42460—2023附录A、GB/T 37964—2019第3.8；GB/T 42460—2023附录B；其中账号等直接标识符优先删除/屏蔽，日期、地点、职业、收入等组合字段注意准标识符风险。</x:v>
      </x:c>
      <x:c r="I29" s="13" t="str">
        <x:v>法律强制+业务参考+项目自行采取的保守控制
</x:v>
      </x:c>
      <x:c r="J29" s="13" t="str">
        <x:v>否</x:v>
      </x:c>
      <x:c r="K29" s="13" t="str">
        <x:v>证人身份本身是否为争议核心且必须真实呈现时</x:v>
      </x:c>
      <x:c r="L29" s="13" t="str">
        <x:v>个人信息-个保法-处理方式对应表(1).xlsx/个人信息-个保法-处理方式映射表!A25</x:v>
      </x:c>
      <x:c r="M29" s="15" t="str">
        <x:v>原文存在第13条摘录问题，见FB-001；不得作为已审核法条</x:v>
      </x:c>
      <x:c r="N29" s="16" t="str">
        <x:v>待核验</x:v>
      </x:c>
      <x:c r="O29" s="16" t="str"/>
      <x:c r="P29" s="16" t="str"/>
    </x:row>
    <x:row r="30" ht="400" customHeight="1">
      <x:c r="A30" s="13" t="str">
        <x:v>R-PI-25</x:v>
      </x:c>
      <x:c r="B30" s="13" t="str">
        <x:v>离职/解除原因中的健康或家庭情况</x:v>
      </x:c>
      <x:c r="C30" s="13" t="str">
        <x:v>解除通知、离职申请、谈话记录</x:v>
      </x:c>
      <x:c r="D30" s="13" t="str">
        <x:v>如含健康信息等则为敏感个人信息</x:v>
      </x:c>
      <x:c r="E30" s="13" t="str">
        <x:v>第6条、第28条、第29条、第13条</x:v>
      </x:c>
      <x:c r="F30" s="13" t="str">
        <x:v>第六条
处理个人信息应当具有明确、合理的目的，并应当与处理目的直接相关，采取对个人权益影响最小的方式。
收集个人信息，应当限于实现处理目的的最小范围，不得过度收集个人信息。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第十三条
处理个人信息，有下列情形之一的，不需取得个人同意：
（一）为订立、履行个人作为一方当事人的合同所必需，或者按照依法制定的劳动规章制度和依法签订的集体合同实施人力资源管理所必需；
（二）为履行法定职责或者法定义务所必需；
（三）为应对突发公共卫生事件，或者紧急情况下为保护自然人的生命健康和财产安全所必需；
（四）为公共利益实施新闻报道、舆论监督等行为，在合理的范围内处理个人信息；
（五）依照本法规定在合理的范围内处理个人自行公开或者其他已经合法公开的个人信息；
（六）法律、行政法规规定的其他情形。
依照本法第十三条第一款规定处理个人信息，但是个人有权拒绝的除外。
</x:v>
      </x:c>
      <x:c r="G30" s="13" t="str">
        <x:v>解除是否合法往往需要原因，但不需要把与解除无关的个人生活细节全部发送。</x:v>
      </x:c>
      <x:c r="H30" s="13" t="str">
        <x:v>项目处理：保留法律争议所需的解除原因；删除无关私生活、健康细节。
业务/技术参考：GB/T 45574—2025第6.4。医疗健康信息应去标识化显示，确需完整显示时进行身份验证；项目优先提取与劳动争议直接相关的诊断结论、日期、等级等必要事实。</x:v>
      </x:c>
      <x:c r="I30" s="13" t="str">
        <x:v>法律强制 + 业务参考 + 项目自行采取的保守控制</x:v>
      </x:c>
      <x:c r="J30" s="13" t="str">
        <x:v>否</x:v>
      </x:c>
      <x:c r="K30" s="13" t="str">
        <x:v>解除原因与健康/家庭信息的关联是否必要不清时</x:v>
      </x:c>
      <x:c r="L30" s="13" t="str">
        <x:v>个人信息-个保法-处理方式对应表(1).xlsx/个人信息-个保法-处理方式映射表!A26</x:v>
      </x:c>
      <x:c r="M30" s="15" t="str">
        <x:v>原文存在第13条摘录问题，见FB-001；不得作为已审核法条</x:v>
      </x:c>
      <x:c r="N30" s="16" t="str">
        <x:v>待核验</x:v>
      </x:c>
      <x:c r="O30" s="16" t="str"/>
      <x:c r="P30" s="16" t="str"/>
    </x:row>
    <x:row r="31" ht="400" customHeight="1">
      <x:c r="A31" s="13" t="str">
        <x:v>R-OT-01</x:v>
      </x:c>
      <x:c r="B31" s="13" t="str">
        <x:v>企业商业秘密—技术信息</x:v>
      </x:c>
      <x:c r="C31" s="13" t="str">
        <x:v>劳动合同附件、岗位说明、技术方案、工艺文件、源代码/程序文档、技术图纸、研发资料、测试数据等</x:v>
      </x:c>
      <x:c r="D31" s="13" t="str">
        <x:v>不适用；按具体保护对象判断</x:v>
      </x:c>
      <x:c r="E31" s="13" t="str">
        <x:v>《中华人民共和国反不正当竞争法》第10条；《最高人民法院关于审理侵犯商业秘密民事案件适用法律若干问题的规定》第1、3—10条</x:v>
      </x:c>
      <x:c r="F31" s="13" t="str">
        <x:v>《中华人民共和国反不正当竞争法》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第三条
权利人请求保护的信息在被诉侵权行为发生时不为所属领域的相关人员普遍知悉和容易获得的，人民法院应当认定为反不正当竞争法第九条第四款所称的不为公众所知悉。
第四条
具有下列情形之一的，人民法院可以认定有关信息为公众所知悉：
（一）该信息在所属领域属于一般常识或者行业惯例的；
（二）该信息仅涉及产品的尺寸、结构、材料、部件的简单组合等内容，所属领域的相关人员通过观察上市产品即可直接获得的；
（三）该信息已经在公开出版物或者其他媒体上公开披露的；
（四）该信息已通过公开的报告会、展览等方式公开的；
（五）所属领域的相关人员从其他公开渠道可以获得该信息的。
将为公众所知悉的信息进行整理、改进、加工后形成的新信息，符合本规定第三条规定的，应当认定该新信息不为公众所知悉。
第五条
权利人为防止商业秘密泄露，在被诉侵权行为发生以前所采取的合理保密措施，人民法院应当认定为反不正当竞争法第九条第四款所称的相应保密措施。
人民法院应当根据商业秘密及其载体的性质、商业秘密的商业价值、保密措施的可识别程度、保密措施与商业秘密的对应程度以及权利人的保密意愿等因素，认定权利人是否采取了相应保密措施。
第六条
具有下列情形之一，在正常情况下足以防止商业秘密泄露的，人民法院应当认定权利人采取了相应保密措施：
（一）签订保密协议或者在合同中约定保密义务的；
（二）通过章程、培训、规章制度、书面告知等方式，对能够接触、获取商业秘密的员工、前员工、供应商、客户、来访者等提出保密要求的；
（三）对涉密的厂房、车间等生产经营场所限制来访者或者进行区分管理的;
（四）以标记、分类、隔离、加密、封存、限制能够接触或者获取的人员范围等方式，对商业秘密及其载体进行区分和管理的；
（五）对能够接触、获取商业秘密的计算机设备、电子设备、网络设备、存储设备、软件等，采取禁止或者限制使用、访问、存储、复制等措施的；
（六）要求离职员工登记、返还、清除、销毁其接触或者获取的商业秘密及其载体，继续承担保密义务的；
（七）采取其他合理保密措施的。
第七条
权利人请求保护的信息因不为公众所知悉而具有现实的或者潜在的商业价值的，人民法院经审查可以认定为反不正当竞争法第九条第四款所称的具有商业价值。
生产经营活动中形成的阶段性成果符合前款规定的，人民法院经审查可以认定该成果具有商业价值。
第八条
被诉侵权人以违反法律规定或者公认的商业道德的方式获取权利人的商业秘密的，人民法院应当认定属于反不正当竞争法第九条第一款所称的以其他不正当手段获取权利人的商业秘密。
第九条
被诉侵权人在生产经营活动中直接使用商业秘密，或者对商业秘密进行修改、改进后使用，或者根据商业秘密调整、优化、改进有关生产经营活动的，人民法院应当认定属于反不正当竞争法第九条所称的使用商业秘密。
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
</x:v>
      </x:c>
      <x:c r="G31" s="13" t="str">
        <x:v>已确认属于商业秘密的技术信息，不因进入劳动争议诉讼材料即当然失去保密属性；向外部AI提供前应核实权利主体、保密义务、诉讼使用范围及外部接收方权限。</x:v>
      </x:c>
      <x:c r="H31" s="13" t="str">
        <x:v>原则上仅提取解决争议所必需的技术事实；能以概括性事实替代原文的，不发送原始技术资料、源代码、完整图纸；存在明确第三方披露限制时暂停外传。</x:v>
      </x:c>
      <x:c r="I31" s="13" t="str">
        <x:v>法律强制+项目自行采取的保守控制</x:v>
      </x:c>
      <x:c r="J31" s="13" t="str">
        <x:v>是；商业秘密属性、保密义务、外部接收方权限或案件使用范围不明确时</x:v>
      </x:c>
      <x:c r="K31" s="13" t="str">
        <x:v>①仅标注机密/保密但是否构成商业秘密不明；
②保密协议是否允许向外部AI提供不明；
③诉讼代理权限不等于第三方提供权限；
④对方商业秘密而非本方商业秘密时处分权限不明</x:v>
      </x:c>
      <x:c r="L31" s="13" t="str">
        <x:v>其他敏感客体-相应法条-处理方式对照表(1).xlsx/其他敏感信息-相应法条-处理方式对照表!A2</x:v>
      </x:c>
      <x:c r="M31" s="15" t="str">
        <x:v>待逐条核验适用主体、行为、版本与条件</x:v>
      </x:c>
      <x:c r="N31" s="16" t="str">
        <x:v>待核验</x:v>
      </x:c>
      <x:c r="O31" s="16" t="str"/>
      <x:c r="P31" s="16" t="str"/>
    </x:row>
    <x:row r="32" ht="400" customHeight="1">
      <x:c r="A32" s="13" t="str">
        <x:v>R-OT-02</x:v>
      </x:c>
      <x:c r="B32" s="13" t="str">
        <x:v>企业商业秘密—经营信息</x:v>
      </x:c>
      <x:c r="C32" s="13" t="str">
        <x:v>客户名单、供应商名单、报价体系、成本结构、销售策略、采购价格、经营计划、业务数据、客户交易习惯等</x:v>
      </x:c>
      <x:c r="D32" s="13" t="str">
        <x:v>不适用；按具体保护对象判断</x:v>
      </x:c>
      <x:c r="E32" s="13" t="str">
        <x:v>《中华人民共和国反不正当竞争法》第10条；《最高人民法院关于审理侵犯商业秘密民事案件适用法律若干问题的规定》第1—7、10条</x:v>
      </x:c>
      <x:c r="F32" s="13" t="str">
        <x:v>《中华人民共和国反不正当竞争法》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第三条
权利人请求保护的信息在被诉侵权行为发生时不为所属领域的相关人员普遍知悉和容易获得的，人民法院应当认定为反不正当竞争法第九条第四款所称的不为公众所知悉。
第四条
具有下列情形之一的，人民法院可以认定有关信息为公众所知悉：
（一）该信息在所属领域属于一般常识或者行业惯例的；
（二）该信息仅涉及产品的尺寸、结构、材料、部件的简单组合等内容，所属领域的相关人员通过观察上市产品即可直接获得的；
（三）该信息已经在公开出版物或者其他媒体上公开披露的；
（四）该信息已通过公开的报告会、展览等方式公开的；
（五）所属领域的相关人员从其他公开渠道可以获得该信息的。
将为公众所知悉的信息进行整理、改进、加工后形成的新信息，符合本规定第三条规定的，应当认定该新信息不为公众所知悉。
第五条
权利人为防止商业秘密泄露，在被诉侵权行为发生以前所采取的合理保密措施，人民法院应当认定为反不正当竞争法第九条第四款所称的相应保密措施。
人民法院应当根据商业秘密及其载体的性质、商业秘密的商业价值、保密措施的可识别程度、保密措施与商业秘密的对应程度以及权利人的保密意愿等因素，认定权利人是否采取了相应保密措施。
第六条
具有下列情形之一，在正常情况下足以防止商业秘密泄露的，人民法院应当认定权利人采取了相应保密措施：
（一）签订保密协议或者在合同中约定保密义务的；
（二）通过章程、培训、规章制度、书面告知等方式，对能够接触、获取商业秘密的员工、前员工、供应商、客户、来访者等提出保密要求的；
（三）对涉密的厂房、车间等生产经营场所限制来访者或者进行区分管理的;
（四）以标记、分类、隔离、加密、封存、限制能够接触或者获取的人员范围等方式，对商业秘密及其载体进行区分和管理的；
（五）对能够接触、获取商业秘密的计算机设备、电子设备、网络设备、存储设备、软件等，采取禁止或者限制使用、访问、存储、复制等措施的；
（六）要求离职员工登记、返还、清除、销毁其接触或者获取的商业秘密及其载体，继续承担保密义务的；
（七）采取其他合理保密措施的。
第七条
权利人请求保护的信息因不为公众所知悉而具有现实的或者潜在的商业价值的，人民法院经审查可以认定为反不正当竞争法第九条第四款所称的具有商业价值。
生产经营活动中形成的阶段性成果符合前款规定的，人民法院经审查可以认定该成果具有商业价值。
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x:v>
      </x:c>
      <x:c r="G32" s="13" t="str">
        <x:v>只有同时满足秘密性、商业价值及相应保密措施等条件时，才按商业秘密客体处理；客户名称等公开信息不当然构成商业秘密。</x:v>
      </x:c>
      <x:c r="H32" s="13" t="str">
        <x:v>优先提取争议事实，不发送完整客户库、报价库、经营数据库；必要时仅保留与竞业限制、保密义务、业务归属直接相关的最小片段。</x:v>
      </x:c>
      <x:c r="I32" s="13" t="str">
        <x:v>法律强制+项目自行采取的保守控制</x:v>
      </x:c>
      <x:c r="J32" s="13" t="str">
        <x:v>是；是否达到商业秘密构成要件或是否受保密义务约束不明确时</x:v>
      </x:c>
      <x:c r="K32" s="13" t="str">
        <x:v>①是否非公开；
②是否具有商业价值；
③是否采取相应保密措施；
④当前AI是否属于允许接触范围</x:v>
      </x:c>
      <x:c r="L32" s="13" t="str">
        <x:v>其他敏感客体-相应法条-处理方式对照表(1).xlsx/其他敏感信息-相应法条-处理方式对照表!A3</x:v>
      </x:c>
      <x:c r="M32" s="15" t="str">
        <x:v>待逐条核验适用主体、行为、版本与条件</x:v>
      </x:c>
      <x:c r="N32" s="16" t="str">
        <x:v>待核验</x:v>
      </x:c>
      <x:c r="O32" s="16" t="str"/>
      <x:c r="P32" s="16" t="str"/>
    </x:row>
    <x:row r="33" ht="400" customHeight="1">
      <x:c r="A33" s="13" t="str">
        <x:v>R-OT-03</x:v>
      </x:c>
      <x:c r="B33" s="13" t="str">
        <x:v>商业秘密载体及保密措施材料</x:v>
      </x:c>
      <x:c r="C33" s="13" t="str">
        <x:v>保密协议、竞业限制协议、员工手册、信息安全制度、涉密标识、权限记录、加密/封存记录、离职交接记录等</x:v>
      </x:c>
      <x:c r="D33" s="13" t="str">
        <x:v>不适用；按具体保护对象判断</x:v>
      </x:c>
      <x:c r="E33" s="13" t="str">
        <x:v>《最高人民法院关于审理侵犯商业秘密民事案件适用法律若干问题的规定》第5—6、10条；《中华人民共和国反不正当竞争法》第39条</x:v>
      </x:c>
      <x:c r="F33" s="13" t="str">
        <x:v>《最高人民法院关于审理侵犯商业秘密民事案件适用法律若干问题的规定》
第五条
权利人为防止商业秘密泄露，在被诉侵权行为发生以前所采取的合理保密措施，人民法院应当认定为反不正当竞争法第九条第四款所称的相应保密措施。
人民法院应当根据商业秘密及其载体的性质、商业秘密的商业价值、保密措施的可识别程度、保密措施与商业秘密的对应程度以及权利人的保密意愿等因素，认定权利人是否采取了相应保密措施。
第六条
具有下列情形之一，在正常情况下足以防止商业秘密泄露的，人民法院应当认定权利人采取了相应保密措施：
（一）签订保密协议或者在合同中约定保密义务的；
（二）通过章程、培训、规章制度、书面告知等方式，对能够接触、获取商业秘密的员工、前员工、供应商、客户、来访者等提出保密要求的；
（三）对涉密的厂房、车间等生产经营场所限制来访者或者进行区分管理的;
（四）以标记、分类、隔离、加密、封存、限制能够接触或者获取的人员范围等方式，对商业秘密及其载体进行区分和管理的；
（五）对能够接触、获取商业秘密的计算机设备、电子设备、网络设备、存储设备、软件等，采取禁止或者限制使用、访问、存储、复制等措施的；
（六）要求离职员工登记、返还、清除、销毁其接触或者获取的商业秘密及其载体，继续承担保密义务的；
（七）采取其他合理保密措施的。第十条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
《中华人民共和国反不正当竞争法》
第三十九条
在侵犯商业秘密的民事审判程序中，商业秘密权利人提供初步证据，证明其已经对所主张的商业秘密采取保密措施，且合理表明商业秘密被侵犯，涉嫌侵权人应当证明权利人所主张的商业秘密不属于本法规定的商业秘密。
商业秘密权利人提供初步证据合理表明商业秘密被侵犯，且提供以下证据之一的，涉嫌侵权人应当证明其不存在侵犯商业秘密的行为：
（一）有证据表明涉嫌侵权人有渠道或者机会获取商业秘密，且其使用的信息与该商业秘密实质上相同；
（二）有证据表明商业秘密已经被涉嫌侵权人披露、使用或者有被披露、使用的风险；
（三）有其他证据表明商业秘密被涉嫌侵权人侵犯。</x:v>
      </x:c>
      <x:c r="G33" s="13" t="str">
        <x:v>该类材料本身用于证明秘密性、价值性、保密措施或保密义务；外部处理可能同时暴露真正的秘密内容。</x:v>
      </x:c>
      <x:c r="H33" s="13" t="str">
        <x:v>对外披露材料时，应当优先提交能够证明已采取保密措施及其覆盖范围的相关事实，不得发送完整保密附件以及涉密的技术、经营信息；若确需对具体涉密条款开展分析，应当事先核实第三方的信息披露权限，确认有权限后方可提供对应内容。</x:v>
      </x:c>
      <x:c r="I33" s="13" t="str">
        <x:v>法律强制+项目自行采取的保守控制</x:v>
      </x:c>
      <x:c r="J33" s="13" t="str">
        <x:v>是；保密条款具体内容及其对外部第三方的约束范围不明确时</x:v>
      </x:c>
      <x:c r="K33" s="13" t="str">
        <x:v>①NDA是否禁止第三方处理；
②合同是否允许委托/转委托；
③材料是否含真正商业秘密内容</x:v>
      </x:c>
      <x:c r="L33" s="13" t="str">
        <x:v>其他敏感客体-相应法条-处理方式对照表(1).xlsx/其他敏感信息-相应法条-处理方式对照表!A4</x:v>
      </x:c>
      <x:c r="M33" s="15" t="str">
        <x:v>待逐条核验适用主体、行为、版本与条件</x:v>
      </x:c>
      <x:c r="N33" s="16" t="str">
        <x:v>待核验</x:v>
      </x:c>
      <x:c r="O33" s="16" t="str"/>
      <x:c r="P33" s="16" t="str"/>
    </x:row>
    <x:row r="34" ht="400" customHeight="1">
      <x:c r="A34" s="13" t="str">
        <x:v>R-OT-04</x:v>
      </x:c>
      <x:c r="B34" s="13" t="str">
        <x:v>未公开财务经营资料</x:v>
      </x:c>
      <x:c r="C34" s="13" t="str">
        <x:v>成本核算、内部预算、毛利率、报价底价、薪酬预算、经营预测、资金安排、财务报表草稿等</x:v>
      </x:c>
      <x:c r="D34" s="13" t="str">
        <x:v>不适用；按具体保护对象判断</x:v>
      </x:c>
      <x:c r="E34" s="13" t="str">
        <x:v>《中华人民共和国反不正当竞争法》第10条；《最高人民法院关于审理侵犯商业秘密民事案件适用法律若干问题的规定》第1、7条</x:v>
      </x:c>
      <x:c r="F34" s="13" t="str">
        <x:v>《中华人民共和国反不正当竞争法》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第七条
权利人请求保护的信息因不为公众所知悉而具有现实的或者潜在的商业价值的，人民法院经审查可以认定为反不正当竞争法第九条第四款所称的具有商业价值。生产经营活动中形成的阶段性成果符合前款规定的，人民法院经审查可以认定该成果具有商业价值。</x:v>
      </x:c>
      <x:c r="G34" s="13" t="str">
        <x:v>未公开财务经营资料是否构成商业秘密要结合秘密性、商业价值和保密措施判断；不能因“内部财务资料”标签自动认定为商业秘密。</x:v>
      </x:c>
      <x:c r="H34" s="13" t="str">
        <x:v>只提取和工资支付、经营困难、劳动关系解除原因等争议焦点直接相关的数字、结论性信息提交给AI；完整财务底稿、预算表这类非必要原始财务资料，不要输入到外部AI系统中，避免内部财务信息泄露。</x:v>
      </x:c>
      <x:c r="I34" s="13" t="str">
        <x:v>法律强制+项目自行采取的保守控制</x:v>
      </x:c>
      <x:c r="J34" s="13" t="str">
        <x:v>否；构成商业秘密的决定性事实不明时转人工复核</x:v>
      </x:c>
      <x:c r="K34" s="13" t="str">
        <x:v>资料是否非公开、是否有保密措施、是否确有必要使用完整数据</x:v>
      </x:c>
      <x:c r="L34" s="13" t="str">
        <x:v>其他敏感客体-相应法条-处理方式对照表(1).xlsx/其他敏感信息-相应法条-处理方式对照表!A5</x:v>
      </x:c>
      <x:c r="M34" s="15" t="str">
        <x:v>待逐条核验适用主体、行为、版本与条件</x:v>
      </x:c>
      <x:c r="N34" s="16" t="str">
        <x:v>待核验</x:v>
      </x:c>
      <x:c r="O34" s="16" t="str"/>
      <x:c r="P34" s="16" t="str"/>
    </x:row>
    <x:row r="35" ht="248" customHeight="1">
      <x:c r="A35" s="13" t="str">
        <x:v>R-OT-05</x:v>
      </x:c>
      <x:c r="B35" s="13" t="str">
        <x:v>招投标及采购保密资料</x:v>
      </x:c>
      <x:c r="C35" s="13" t="str">
        <x:v>招标文件内部版本、投标报价、评标资料、采购底价、供应商评价、谈判记录等</x:v>
      </x:c>
      <x:c r="D35" s="13" t="str">
        <x:v>不适用；按具体保护对象判断</x:v>
      </x:c>
      <x:c r="E35" s="13" t="str">
        <x:v>《最高人民法院关于审理侵犯商业秘密民事案件适用法律若干问题的规定》第1条；《中华人民共和国民事诉讼法》关于保密证据的规定</x:v>
      </x:c>
      <x:c r="F35" s="13" t="str">
        <x:v>《最高人民法院关于审理侵犯商业秘密民事案件适用法律若干问题的规定》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《最高人民法院关于适用〈中华人民共和国民事诉讼法〉的解释》
第一百零三条第三款
涉及国家秘密、商业秘密、个人隐私或者法律规定应当保密的证据，不得公开质证 。</x:v>
      </x:c>
      <x:c r="G35" s="13" t="str">
        <x:v>涉及企业竞争策略、报价和未公开采购信息时，应优先按商业秘密或合同保密义务核验，而非仅按普通诉讼证据处理。</x:v>
      </x:c>
      <x:c r="H35" s="13" t="str">
        <x:v>删除与劳动争议无关的采购/招投标内容；确需用于证明岗位、业务范围等事实时，仅保留必要结论或片段。</x:v>
      </x:c>
      <x:c r="I35" s="13" t="str">
        <x:v>法律强制+项目自行采取的保守控制</x:v>
      </x:c>
      <x:c r="J35" s="13" t="str">
        <x:v>是；是否属于商业秘密或受合同保密条款约束不明确时</x:v>
      </x:c>
      <x:c r="K35" s="13" t="str">
        <x:v>①招投标材料来源；
②是否仍处于保密期；
③第三方提供权限</x:v>
      </x:c>
      <x:c r="L35" s="13" t="str">
        <x:v>其他敏感客体-相应法条-处理方式对照表(1).xlsx/其他敏感信息-相应法条-处理方式对照表!A6</x:v>
      </x:c>
      <x:c r="M35" s="15" t="str">
        <x:v>待逐条核验适用主体、行为、版本与条件</x:v>
      </x:c>
      <x:c r="N35" s="16" t="str">
        <x:v>待核验</x:v>
      </x:c>
      <x:c r="O35" s="16" t="str"/>
      <x:c r="P35" s="16" t="str"/>
    </x:row>
    <x:row r="36" ht="400" customHeight="1">
      <x:c r="A36" s="13" t="str">
        <x:v>R-OT-06</x:v>
      </x:c>
      <x:c r="B36" s="13" t="str">
        <x:v>医疗病历、病案资料（作为特殊证据客体）</x:v>
      </x:c>
      <x:c r="C36" s="13" t="str">
        <x:v>工伤认定材料、职业病诊断资料、住院病历、门急诊病历、检查报告、影像资料、手术记录、病程记录、病案首页等</x:v>
      </x:c>
      <x:c r="D36" s="13" t="str">
        <x:v>不适用；按具体保护对象判断</x:v>
      </x:c>
      <x:c r="E36" s="13" t="str">
        <x:v>《医疗机构病历管理规定（2013年版）》第6、15—18条；《中华人民共和国民法典》第1032—1034条；《中华人民共和国个人信息保护法》第28—29条</x:v>
      </x:c>
      <x:c r="F36" s="13" t="str">
        <x:v>《医疗机构病历管理规定（2013年版）》 
第六条
除为患者提供诊疗服务的医务人员，以及经卫生计生行政部门、中医药管理部门或者医疗机构授权的负责病案管理、医疗管理的部门或者人员外，其他任何机构和个人不得擅自查阅患者病历。
第十五条
除为患者提供诊疗服务的医务人员，以及经卫生计生行政部门、中医药管理部门或者医疗机构授权的负责病案管理、医疗管理的部门或者人员外，其他任何机构和个人不得擅自查阅患者病历。
第十六条
其他医疗机构及医务人员因科研、教学需要查阅、借阅病历的，应当向患者就诊医疗机构提出申请，经同意并办理相应手续后方可查阅、借阅。查阅后应当立即归还，借阅病历应当在3个工作日内归还。查阅的病历资料不得带离患者就诊医疗机构。
第十七条
医疗机构应当受理下列人员和机构复制或者查阅病历资料的申请，并依规定提供病历复制或者查阅服务：
（一）患者本人或者其委托代理人；
（二）死亡患者法定继承人或者其代理人。
第十八条
医疗机构应当指定部门或者专（兼）职人员负责受理复制病历资料的申请。受理申请时，应当要求申请人提供有关证明材料，并对申请材料的形式进行审核。
（一）申请人为患者本人的，应当提供其有效身份证明；
（二）申请人为患者代理人的，应当提供患者及其代理人的有效身份证明，以及代理人与患者代理关系的法定证明材料和授权委托书；
（三）申请人为死亡患者法定继承人的，应当提供患者死亡证明、死亡患者法定继承人的有效身份证明，死亡患者与法定继承人关系的法定证明材料；
（四）申请人为死亡患者法定继承人代理人的，应当提供患者死亡证明、死亡患者法定继承人及其代理人的有效身份证明，死亡患者与法定继承人关系的法定证明材料，代理人与法定继承人代理关系的法定证明材料及授权委托书。
《中华人民共和国民法典》 
第一千零三十二条
自然人享有隐私权。任何组织或者个人不得以刺探、侵扰、泄露、公开等方式侵害他人的隐私权。
隐私是自然人的私人生活安宁和不愿为他人知晓的私密空间、私密活动、私密信息。
第一千零三十三条
除法律另有规定或者权利人明确同意外，任何组织或者个人不得实施下列行为：
（一）以电话、短信、即时通讯工具、电子邮件、传单等方式侵扰他人的私人生活安宁；
（二）进入、拍摄、窥视他人的住宅、宾馆房间等私密空间；
（三）拍摄、窥视、窃听、公开他人的私密活动；
（四）拍摄、窥视他人身体的私密部位；
（五）处理他人的私密信息；
（六）以其他方式侵害他人的隐私权。
第一千零三十四条
自然人的个人信息受法律保护。
个人信息是以电子或者其他方式记录的能够单独或者与其他信息结合识别特定自然人的各种信息，包括自然人的姓名、出生日期、身份证件号码、生物识别信息、住址、电话号码、电子邮箱、健康信息、行踪信息等。
个人信息中的私密信息，适用有关隐私权的规定；没有规定的，适用有关个人信息保护的规定。
《中华人民共和国个人信息保护法》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x:v>
      </x:c>
      <x:c r="G36" s="13" t="str">
        <x:v>病历资料存在专门的查阅、复制和隐私保护制度；司法机关依法取证并不等于可任意向无关第三方提供完整病历。</x:v>
      </x:c>
      <x:c r="H36" s="13" t="str">
        <x:v>优先提取诊断结论、伤情或职业病结论、时间节点以及和争议事实直接相关的必要内容；完整病历、影像原始文件以及无关的病程记录，原则上不得输入外部AI系统，防范医疗隐私信息外泄。</x:v>
      </x:c>
      <x:c r="I36" s="13" t="str">
        <x:v>法律强制+项目自行采取的保守控制</x:v>
      </x:c>
      <x:c r="J36" s="13" t="str">
        <x:v>是；病历取得权限、用途、是否可向外部第三方提供不明确时</x:v>
      </x:c>
      <x:c r="K36" s="13" t="str">
        <x:v>①是否依法取得；
②是否仅限案件必要范围；
③是否包含无关医疗信息；
④外部服务商角色及合同是否满足要求</x:v>
      </x:c>
      <x:c r="L36" s="13" t="str">
        <x:v>其他敏感客体-相应法条-处理方式对照表(1).xlsx/其他敏感信息-相应法条-处理方式对照表!A7</x:v>
      </x:c>
      <x:c r="M36" s="15" t="str">
        <x:v>待逐条核验适用主体、行为、版本与条件</x:v>
      </x:c>
      <x:c r="N36" s="16" t="str">
        <x:v>待核验</x:v>
      </x:c>
      <x:c r="O36" s="16" t="str"/>
      <x:c r="P36" s="16" t="str"/>
    </x:row>
    <x:row r="37" ht="400" customHeight="1">
      <x:c r="A37" s="13" t="str">
        <x:v>R-OT-07</x:v>
      </x:c>
      <x:c r="B37" s="13" t="str">
        <x:v>医疗鉴定/职业病鉴定原始材料</x:v>
      </x:c>
      <x:c r="C37" s="13" t="str">
        <x:v>职业病诊断证明、鉴定结论、鉴定申请材料、检验数据、医学影像、专家意见、鉴定底稿等</x:v>
      </x:c>
      <x:c r="D37" s="13" t="str">
        <x:v>不适用；按具体保护对象判断</x:v>
      </x:c>
      <x:c r="E37" s="13" t="str">
        <x:v>《职业病防治法》相关规定；《医疗机构病历管理规定（2013年版）》；《个人信息保护法》第28、55条</x:v>
      </x:c>
      <x:c r="F37" s="13" t="str">
        <x:v>《医疗机构病历管理规定（2013年版）》
第六条
除为患者提供诊疗服务的医务人员，以及经卫生计生行政部门、中医药管理部门或者医疗机构授权的负责病案管理、医疗管理的部门或者人员外，其他任何机构和个人不得擅自查阅患者病历。
第十五条
除为患者提供诊疗服务的医务人员，以及经卫生计生行政部门、中医药管理部门或者医疗机构授权的负责病案管理、医疗管理的部门或者人员外，其他任何机构和个人不得擅自查阅患者病历。
第十六条
其他医疗机构及医务人员因科研、教学需要查阅、借阅病历的，应当向患者就诊医疗机构提出申请，经同意并办理相应手续后方可查阅、借阅。查阅后应当立即归还，借阅病历应当在3个工作日内归还。查阅的病历资料不得带离患者就诊医疗机构。
《中华人民共和国个人信息保护法》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第五十五条
个人信息处理者处理敏感个人信息的，应当进行个人信息保护影响评估，并对处理情况进行记录。
个人信息保护影响评估应当包括下列内容：
（一）个人信息的处理目的、处理方式等是否合法、正当、必要；
（二）对个人权益的影响及风险程度；
（三）所采取的保护措施是否合法、有效并与风险程度相适应。
个人信息保护影响评估报告和处理情况记录应当至少保存三年。</x:v>
      </x:c>
      <x:c r="G37" s="13" t="str">
        <x:v>鉴定材料的诉讼使用目的、医疗资料来源及第三方处理权限需要区分；鉴定结论与完整原始病历的必要性不同。</x:v>
      </x:c>
      <x:c r="H37" s="13" t="str">
        <x:v>优先使用鉴定结论及争议相关事实；完整检验原始数据、影像及鉴定底稿仅在确有必要时处理。</x:v>
      </x:c>
      <x:c r="I37" s="13" t="str">
        <x:v>法律强制+项目自行采取的保守控制</x:v>
      </x:c>
      <x:c r="J37" s="13" t="str">
        <x:v>是；是否必须处理完整原始材料、材料来源及外部使用权限不明确时</x:v>
      </x:c>
      <x:c r="K37" s="13" t="str">
        <x:v>①是否仅需结论即可完成任务；
②是否包含大量无关医疗资料；
③鉴定机构/医疗机构是否存在特殊保密要求</x:v>
      </x:c>
      <x:c r="L37" s="13" t="str">
        <x:v>其他敏感客体-相应法条-处理方式对照表(1).xlsx/其他敏感信息-相应法条-处理方式对照表!A8</x:v>
      </x:c>
      <x:c r="M37" s="15" t="str">
        <x:v>待逐条核验适用主体、行为、版本与条件</x:v>
      </x:c>
      <x:c r="N37" s="16" t="str">
        <x:v>待核验</x:v>
      </x:c>
      <x:c r="O37" s="16" t="str"/>
      <x:c r="P37" s="16" t="str"/>
    </x:row>
    <x:row r="38" ht="400" customHeight="1">
      <x:c r="A38" s="13" t="str">
        <x:v>R-OT-08</x:v>
      </x:c>
      <x:c r="B38" s="13" t="str">
        <x:v>个人征信报告/信用信息</x:v>
      </x:c>
      <x:c r="C38" s="13" t="str">
        <x:v>劳动者或相关主体征信报告、失信信息、信用查询记录、信用异议材料等</x:v>
      </x:c>
      <x:c r="D38" s="13" t="str">
        <x:v>不适用；按具体保护对象判断</x:v>
      </x:c>
      <x:c r="E38" s="13" t="str">
        <x:v>《征信业管理条例》第13—16、20—24、40—42条</x:v>
      </x:c>
      <x:c r="F38" s="13" t="str">
        <x:v>《征信业管理条例》
第十三条
除下列情形外，征信机构不得采集个人宗教信仰、基因、指纹、血型、疾病和病史信息以及法律、行政法规规定禁止采集的其他个人信息：
（一）信息主体书面同意采集的；
（二）法律、行政法规规定应当采集的。
征信机构不得采集个人收入、存款、有价证券、商业保险、不动产的信息和纳税数额信息。但是，征信机构明确告知信息主体提供该信息可能产生的不利后果，并取得其书面同意的除外。
第十四条
征信机构采集个人信息应当经信息主体本人同意，未经本人同意不得采集。但是，依照法律、行政法规规定公开的信息除外。
企业的董事、监事、高级管理人员与其履行职务相关的信息，不作为个人信息。
第十五条
信息主体可以向征信机构查询自身信息。个人信息主体有权每年两次免费获取本人的信用报告。
第十六条
向征信机构查询个人信息的，应当取得信息主体本人的书面同意并约定用途。但是，法律规定可以不经同意查询的除外。
征信机构不得违反前款规定提供个人信息。
第二十条
征信机构应当按照国务院征信业监督管理部门的规定，建立健全和严格执行保障信息安全的规章制度，并采取有效技术措施保障信息安全。
经营个人征信业务的征信机构应当对其工作人员查询个人信息的权限和程序作出明确规定，对工作人员查询个人信息的情况进行登记，如实记载查询工作人员的姓名，查询的时间、内容及用途。工作人员不得违反规定的权限和程序查询信息，不得泄露工作中获取的信息。
第二十一条
征信机构可以通过信息主体、企业交易对方、行业协会提供信息，政府有关部门依法已公开的信息，人民法院依法公布的判决、裁定等渠道，采集企业信息。
征信机构不得采集法律、行政法规禁止采集的企业信息。
第二十二条
征信机构应当按照国务院征信业监督管理部门的规定，建立健全和严格执行保障信息安全的规章制度，并采取有效技术措施保障信息安全。
经营个人征信业务的征信机构应当对其工作人员查询个人信息的权限和程序作出明确规定，对工作人员查询个人信息的情况进行登记，如实记载查询工作人员的姓名，查询的时间、内容及用途。工作人员不得违反规定的权限和程序查询信息，不得泄露工作中获取的信息。
第二十三条
征信机构应当采取合理措施，保障其提供信息的准确性。
征信机构提供的信息供信息使用者参考。
第二十四条
征信机构在中国境内采集的信息的整理、保存和加工，应当在中国境内进行。
征信机构向境外组织或者个人提供信息，应当遵守法律、行政法规和国务院征信业监督管理部门的有关规定。
第四十条
向金融信用信息基础数据库提供或者查询信息的机构违反本条例规定，有下列行为之一的，由国务院征信业监督管理部门或者其派出机构责令限期改正，对单位处5万元以上50万元以下的罚款；对直接负责的主管人员和其他直接责任人员处1万元以上10万元以下的罚款；有违法所得的，没收违法所得。给信息主体造成损失的，依法承担民事责任；构成犯罪的，依法追究刑事责任：
（一）违法提供或者出售信息；
（二）因过失泄露信息；
（三）未经同意查询个人信息或者企业的信贷信息；
（四）未按照规定处理异议或者对确有错误、遗漏的信息不予更正；
（五）拒绝、阻碍国务院征信业监督管理部门或者其派出机构检查、调查或者不如实提供有关文件、资料。
第四十一条
信息提供者违反本条例规定，向征信机构、金融信用信息基础数据库提供非依法公开的个人不良信息，未事先告知信息主体本人，情节严重或者造成严重后果的，由国务院征信业监督管理部门或者其派出机构对单位处2万元以上20万元以下的罚款；对个人处1万元以上5万元以下的罚款。
第四十二条
信息使用者违反本条例规定，未按照与个人信息主体约定的用途使用个人信息或者未经个人信息主体同意向第三方提供个人信息，情节严重或者造成严重后果的，由国务院征信业监督管理部门或者其派出机构对单位处2万元以上20万元以下的罚款；对个人处1万元以上5万元以下的罚款；有违法所得的，没收违法所得。给信息主体造成损失的，依法承担民事责任；构成犯罪的，依法追究刑事责任。</x:v>
      </x:c>
      <x:c r="G38" s="13" t="str">
        <x:v>征信信息具有独立的采集、使用、提供和安全规则；不能因为征信报告已被提交至诉讼材料，就推定可以向任意第三方提供。</x:v>
      </x:c>
      <x:c r="H38" s="13" t="str">
        <x:v>除非信用信息直接构成争议事实，否则原则上删除；确有必要时只保留与争议直接相关的结论或必要字段，不上传完整征信报告。</x:v>
      </x:c>
      <x:c r="I38" s="13" t="str">
        <x:v>法律强制+项目自行采取的保守控制</x:v>
      </x:c>
      <x:c r="J38" s="13" t="str">
        <x:v>是；征信信息的取得来源、使用目的、第三方提供权限不明确时</x:v>
      </x:c>
      <x:c r="K38" s="13" t="str">
        <x:v>①是否为依法取得的征信信息；
②当前使用目的是否与约定用途一致；
③是否允许向第三方提供</x:v>
      </x:c>
      <x:c r="L38" s="13" t="str">
        <x:v>其他敏感客体-相应法条-处理方式对照表(1).xlsx/其他敏感信息-相应法条-处理方式对照表!A9</x:v>
      </x:c>
      <x:c r="M38" s="15" t="str">
        <x:v>待逐条核验适用主体、行为、版本与条件</x:v>
      </x:c>
      <x:c r="N38" s="16" t="str">
        <x:v>待核验</x:v>
      </x:c>
      <x:c r="O38" s="16" t="str"/>
      <x:c r="P38" s="16" t="str"/>
    </x:row>
    <x:row r="39" ht="400" customHeight="1">
      <x:c r="A39" s="13" t="str">
        <x:v>R-OT-09</x:v>
      </x:c>
      <x:c r="B39" s="13" t="str">
        <x:v>企业征信/企业信用报告</x:v>
      </x:c>
      <x:c r="C39" s="13" t="str">
        <x:v>企业信用报告、企业征信查询结果、企业失信记录、信用评价材料等</x:v>
      </x:c>
      <x:c r="D39" s="13" t="str">
        <x:v>不适用；按具体保护对象判断</x:v>
      </x:c>
      <x:c r="E39" s="13" t="str">
        <x:v>《征信业管理条例》第21—24、42条</x:v>
      </x:c>
      <x:c r="F39" s="13" t="str">
        <x:v>《征信业管理条例》
第二十一条
征信机构可以通过信息主体、企业交易对方、行业协会提供信息，政府有关部门依法已公开的信息，人民法院依法公布的判决、裁定等渠道，采集企业信息。
征信机构不得采集法律、行政法规禁止采集的企业信息。
第二十二条
征信机构应当按照国务院征信业监督管理部门的规定，建立健全和严格执行保障信息安全的规章制度，并采取有效技术措施保障信息安全。
经营个人征信业务的征信机构应当对其工作人员查询个人信息的权限和程序作出明确规定，对工作人员查询个人信息的情况进行登记，如实记载查询工作人员的姓名，查询的时间、内容及用途。工作人员不得违反规定的权限和程序查询信息，不得泄露工作中获取的信息。
第二十三条
征信机构应当采取合理措施，保障其提供信息的准确性。
征信机构提供的信息供信息使用者参考。
第二十四条
征信机构在中国境内采集的信息的整理、保存和加工，应当在中国境内进行。
征信机构向境外组织或者个人提供信息，应当遵守法律、行政法规和国务院征信业监督管理部门的有关规定。
第四十二条
信息使用者违反本条例规定，未按照与个人信息主体约定的用途使用个人信息或者未经个人信息主体同意向第三方提供个人信息，情节严重或者造成严重后果的，由国务院征信业监督管理部门或者其派出机构对单位处2万元以上20万元以下的罚款；对个人处1万元以上5万元以下的罚款；有违法所得的，没收违法所得。给信息主体造成损失的，依法承担民事责任；构成犯罪的，依法追究刑事责任。</x:v>
      </x:c>
      <x:c r="G39" s="13" t="str">
        <x:v>企业征信信息不当然等同于个人信息，但非公开企业信用信息仍需核实来源、使用目的及合同/保密限制。</x:v>
      </x:c>
      <x:c r="H39" s="13" t="str">
        <x:v>仅处理与劳动争议中的企业主体资格、履约能力等直接相关内容；完整企业征信报告非必要不外传。</x:v>
      </x:c>
      <x:c r="I39" s="13" t="str">
        <x:v>法律强制+项目自行采取的保守控制</x:v>
      </x:c>
      <x:c r="J39" s="13" t="str">
        <x:v>否；来源、使用权限或包含个人/商业秘密信息时转复核</x:v>
      </x:c>
      <x:c r="K39" s="13" t="str">
        <x:v>①是否混入个人信用信息；
②是否包含商业秘密；
③报告是否存在使用限制</x:v>
      </x:c>
      <x:c r="L39" s="13" t="str">
        <x:v>其他敏感客体-相应法条-处理方式对照表(1).xlsx/其他敏感信息-相应法条-处理方式对照表!A10</x:v>
      </x:c>
      <x:c r="M39" s="15" t="str">
        <x:v>待逐条核验适用主体、行为、版本与条件</x:v>
      </x:c>
      <x:c r="N39" s="16" t="str">
        <x:v>待核验</x:v>
      </x:c>
      <x:c r="O39" s="16" t="str"/>
      <x:c r="P39" s="16" t="str"/>
    </x:row>
    <x:row r="40" ht="400" customHeight="1">
      <x:c r="A40" s="13" t="str">
        <x:v>R-OT-10</x:v>
      </x:c>
      <x:c r="B40" s="13" t="str">
        <x:v>国家秘密材料</x:v>
      </x:c>
      <x:c r="C40" s="13" t="str">
        <x:v>涉密公文、涉密证据、涉密调查材料、涉密内部文件、涉密电子数据等</x:v>
      </x:c>
      <x:c r="D40" s="13" t="str">
        <x:v>不适用；按具体保护对象判断</x:v>
      </x:c>
      <x:c r="E40" s="13" t="str">
        <x:v>《中华人民共和国保守国家秘密法》第25、29、31条</x:v>
      </x:c>
      <x:c r="F40" s="13" t="str">
        <x:v>《中华人民共和国保守国家秘密法》
第二十五条
机关、单位应当加强对国家秘密载体的管理，任何组织和个人不得有下列行为：
（一）非法获取、持有国家秘密载体；
（二）买卖、转送或者私自销毁国家秘密载体；
（三）通过普通邮政、快递等无保密措施的渠道传递国家秘密载体；
（四）邮寄、托运国家秘密载体出境；
（五）未经有关主管部门批准，携带、传递国家秘密载体出境 。
第二十九条
机关、单位公开发布信息以及对涉及国家秘密的工程、货物、服务进行采购时，应当遵守保密规定 。
第三十一条
机关、单位应当加强对信息系统、信息设备的保密管理，建设保密自监管设施，及时发现并处置安全保密风险隐患。任何组织和个人不得有下列行为：
（一）未按照国家保密规定和标准采取有效保密措施，将涉密信息系统、涉密信息设备接入互联网及其他公共信息网络；
（二）未按照国家保密规定和标准采取有效保密措施，在涉密信息系统、涉密信息设备与互联网及其他公共信息网络之间进行信息交换；
（三）使用非涉密信息系统、非涉密信息设备存储或者处理国家秘密；
（四）擅自卸载、修改涉密信息系统的安全技术程序、管理程序；
（五）将未经安全技术处理的退出使用的涉密信息设备赠送、出售、丢弃或者改作其他用途；
（六）其他违反信息系统、信息设备保密规定的行为 。
</x:v>
      </x:c>
      <x:c r="G40" s="13" t="str">
        <x:v>只有依法确定为国家秘密并且当前外部AI处理方式违反保密要求时，才进入硬性禁止；“政府材料”“内部材料”“重要材料”本身不等于国家秘密。</x:v>
      </x:c>
      <x:c r="H40" s="13" t="str">
        <x:v>确认属于国家秘密的，不得进入普通外部AI调用输入载荷；对于密级、信息属性不明确时暂停并人工核实。</x:v>
      </x:c>
      <x:c r="I40" s="13" t="str">
        <x:v>法律强制</x:v>
      </x:c>
      <x:c r="J40" s="13" t="str">
        <x:v>是；密级、涉密属性或当前系统是否属于符合要求的涉密系统不明确时</x:v>
      </x:c>
      <x:c r="K40" s="13" t="str">
        <x:v>①是否依法确定为国家秘密；
②密级；
③处理系统及通信方式是否符合保密要求</x:v>
      </x:c>
      <x:c r="L40" s="13" t="str">
        <x:v>其他敏感客体-相应法条-处理方式对照表(1).xlsx/其他敏感信息-相应法条-处理方式对照表!A11</x:v>
      </x:c>
      <x:c r="M40" s="15" t="str">
        <x:v>待逐条核验适用主体、行为、版本与条件</x:v>
      </x:c>
      <x:c r="N40" s="16" t="str">
        <x:v>待核验</x:v>
      </x:c>
      <x:c r="O40" s="16" t="str"/>
      <x:c r="P40" s="16" t="str"/>
    </x:row>
    <x:row r="41" ht="353" customHeight="1">
      <x:c r="A41" s="13" t="str">
        <x:v>R-OT-11</x:v>
      </x:c>
      <x:c r="B41" s="13" t="str">
        <x:v>工作秘密及机关内部敏感材料</x:v>
      </x:c>
      <x:c r="C41" s="13" t="str">
        <x:v>机关单位内部工作文件、内部调查材料、未公开行政管理资料等</x:v>
      </x:c>
      <x:c r="D41" s="13" t="str">
        <x:v>不适用；按具体保护对象判断</x:v>
      </x:c>
      <x:c r="E41" s="13" t="str">
        <x:v>《网络数据安全管理条例》第27、30、53、63条；具体适用以材料来源机关的工作秘密制度为准</x:v>
      </x:c>
      <x:c r="F41" s="13" t="str">
        <x:v>《网络数据安全管理条例》
第五十三条
有关主管部门及其工作人员对在履行职责中知悉的个人隐私、个人信息、商业秘密、保密商务信息等网络数据应当依法予以保密，不得泄露或者非法向他人提供。 
第二十七条
网络数据处理者委托他人处理网络数据的，应当对受托人的数据安全能力进行评估，签订委托处理协议，明确双方权利义务，约定受托人的安全保护义务。
受托人应当按照委托协议约定处理网络数据，不得超出约定的处理目的、处理方式处理网络数据；未经网络数据处理者同意，受托人不得转委托他人处理网络数据。
网络数据处理者应当对受托人的处理活动进行监督。
第三十条
网络数据处理者处理重要数据，应当建立健全重要数据安全管理制度，落实数据安全保护责任，开展数据安全风险评估，采取相应的安全保护措施。
第六十三条
开展核心数据的网络数据处理活动，按照国家有关规定执行。
自然人因个人或者家庭事务处理个人信息的，不适用本条例。
开展涉及国家秘密、工作秘密的网络数据处理活动，适用《中华人民共和国保守国家秘密法》等法律、行政法规的规定。 
</x:v>
      </x:c>
      <x:c r="G41" s="13" t="str">
        <x:v>工作秘密不同于国家秘密，不能直接按国家秘密L4处理；应核实材料来源单位的工作秘密认定、流转范围和对外提供规则。</x:v>
      </x:c>
      <x:c r="H41" s="13" t="str">
        <x:v>不得向外部AI提交完整内部文件；确需使用时，仅提取与劳动争议直接相关、已公开或取得授权的事实信息；当制度依据存疑时，应当暂停AI处理，开展人工复核。</x:v>
      </x:c>
      <x:c r="I41" s="13" t="str">
        <x:v>法律强制+项目自行采取的保守控制</x:v>
      </x:c>
      <x:c r="J41" s="13" t="str">
        <x:v>是；是否属于工作秘密及允许的流转范围不明确时</x:v>
      </x:c>
      <x:c r="K41" s="13" t="str">
        <x:v>①材料来源机关；
②是否有工作秘密标识；
③内部流转/对外提供规则</x:v>
      </x:c>
      <x:c r="L41" s="13" t="str">
        <x:v>其他敏感客体-相应法条-处理方式对照表(1).xlsx/其他敏感信息-相应法条-处理方式对照表!A12</x:v>
      </x:c>
      <x:c r="M41" s="15" t="str">
        <x:v>待逐条核验适用主体、行为、版本与条件</x:v>
      </x:c>
      <x:c r="N41" s="16" t="str">
        <x:v>待核验</x:v>
      </x:c>
      <x:c r="O41" s="16" t="str"/>
      <x:c r="P41" s="16" t="str"/>
    </x:row>
    <x:row r="42" ht="278" customHeight="1">
      <x:c r="A42" s="13" t="str">
        <x:v>R-OT-12</x:v>
      </x:c>
      <x:c r="B42" s="13" t="str">
        <x:v>法院/仲裁机构采取保密措施的诉讼材料</x:v>
      </x:c>
      <x:c r="C42" s="13" t="str">
        <x:v>法院责令保密的证据、保密承诺书、限制阅览材料、非公开质证材料、仲裁保密材料等</x:v>
      </x:c>
      <x:c r="D42" s="13" t="str">
        <x:v>不适用；按具体保护对象判断</x:v>
      </x:c>
      <x:c r="E42" s="13" t="str">
        <x:v>《中华人民共和国民事诉讼法》关于保密证据的规定；《最高人民法院关于民事诉讼证据的若干规定》第47条；劳动人事争议仲裁相关规定</x:v>
      </x:c>
      <x:c r="F42" s="13" t="str">
        <x:v>《最高人民法院关于民事诉讼证据的若干规定》
第四十八条
涉及国家秘密、商业秘密和个人隐私或者法律规定的其他应当保密的证据，不得在开庭时公开质证 。
《中华人民共和国劳动争议调解仲裁法》
第二十六条 
劳动争议仲裁公开进行，但当事人协议不公开进行或者涉及国家秘密、商业秘密和个人隐私的除外。
《劳动人事争议仲裁办案规则》
第十八条 
争议处理中涉及证据形式、证据提交、证据交换、证据质证、证据认定等事项，本规则未规定的，可以参照民事诉讼证据规则的有关规定执行。
第二十五条 
在仲裁活动中涉及国家秘密或者军事秘密的，按照国家或者军队有关保密规定执行。
当事人协议不公开或者涉及商业秘密和个人隐私的，经相关当事人书面申请，仲裁委员会应当不公开审理。</x:v>
      </x:c>
      <x:c r="G42" s="13" t="str">
        <x:v>诉讼材料具有保密措施或非公开质证属性时，不能简单推定可向诉讼体系外第三方提供；应进一步判断保密措施的对象、范围和是否允许外部处理。</x:v>
      </x:c>
      <x:c r="H42" s="13" t="str">
        <x:v>优先提取不受保密措施限制的事实；对明确受法院/仲裁机构保密措施约束的材料，暂停外传并核实授权范围。</x:v>
      </x:c>
      <x:c r="I42" s="13" t="str">
        <x:v>法律强制+项目自行采取的保守控制</x:v>
      </x:c>
      <x:c r="J42" s="13" t="str">
        <x:v>是；保密裁定/承诺的具体范围及外部提供权限不明确时</x:v>
      </x:c>
      <x:c r="K42" s="13" t="str">
        <x:v>①法院/仲裁机构是否作出具体保密措施；
②保密范围；
③是否允许第三方技术服务商接触</x:v>
      </x:c>
      <x:c r="L42" s="13" t="str">
        <x:v>其他敏感客体-相应法条-处理方式对照表(1).xlsx/其他敏感信息-相应法条-处理方式对照表!A13</x:v>
      </x:c>
      <x:c r="M42" s="15" t="str">
        <x:v>待逐条核验适用主体、行为、版本与条件</x:v>
      </x:c>
      <x:c r="N42" s="16" t="str">
        <x:v>待核验</x:v>
      </x:c>
      <x:c r="O42" s="16" t="str"/>
      <x:c r="P42" s="16" t="str"/>
    </x:row>
    <x:row r="43" ht="400" customHeight="1">
      <x:c r="A43" s="13" t="str">
        <x:v>R-OT-13</x:v>
      </x:c>
      <x:c r="B43" s="13" t="str">
        <x:v>第三方保密协议及合同保密条款</x:v>
      </x:c>
      <x:c r="C43" s="13" t="str">
        <x:v>用工合同附件、客户合同、供应商合同、技术合作协议、离职协议、竞业限制协议等</x:v>
      </x:c>
      <x:c r="D43" s="13" t="str">
        <x:v>不适用；按具体保护对象判断</x:v>
      </x:c>
      <x:c r="E43" s="13" t="str">
        <x:v>《中华人民共和国反不正当竞争法》第10条；《最高人民法院关于审理侵犯商业秘密民事案件适用法律若干问题的规定》第10条</x:v>
      </x:c>
      <x:c r="F43" s="13" t="str">
        <x:v>《中华人民共和国反不正当竞争法》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x:v>
      </x:c>
      <x:c r="G43" s="13" t="str">
        <x:v>合同保密义务可能限制向第三方提供或使用信息；合同相对方的同意不当然覆盖外部AI服务商。</x:v>
      </x:c>
      <x:c r="H43" s="13" t="str">
        <x:v>仅提取与案件判断直接相关的保密义务相关内容；若涉及具体秘密信息，应当先行核实合同是否允许委托、转委托或交由第三方开展技术处理。</x:v>
      </x:c>
      <x:c r="I43" s="13" t="str">
        <x:v>法律强制+项目自行采取的保守控制</x:v>
      </x:c>
      <x:c r="J43" s="13" t="str">
        <x:v>是；第三方提供、转委托、云服务/AI服务是否被合同允许不明确时</x:v>
      </x:c>
      <x:c r="K43" s="13" t="str">
        <x:v>①合同保密条款；
②允许披露对象；
③法律/合同例外；
④外部AI是否属于授权接收方</x:v>
      </x:c>
      <x:c r="L43" s="13" t="str">
        <x:v>其他敏感客体-相应法条-处理方式对照表(1).xlsx/其他敏感信息-相应法条-处理方式对照表!A14</x:v>
      </x:c>
      <x:c r="M43" s="15" t="str">
        <x:v>待逐条核验适用主体、行为、版本与条件</x:v>
      </x:c>
      <x:c r="N43" s="16" t="str">
        <x:v>待核验</x:v>
      </x:c>
      <x:c r="O43" s="16" t="str"/>
      <x:c r="P43" s="16" t="str"/>
    </x:row>
    <x:row r="44" ht="68" customHeight="1">
      <x:c r="A44" s="13" t="str">
        <x:v>R-OT-14</x:v>
      </x:c>
      <x:c r="B44" s="13" t="str">
        <x:v>电子数据原始载体及取证镜像</x:v>
      </x:c>
      <x:c r="C44" s="13" t="str">
        <x:v>电脑镜像、手机镜像、服务器日志、邮件归档、聊天记录原始包、电子证据存储介质等</x:v>
      </x:c>
      <x:c r="D44" s="13" t="str">
        <x:v>不适用；按具体保护对象判断</x:v>
      </x:c>
      <x:c r="E44" s="13" t="str">
        <x:v>《中华人民共和国民事诉讼法》第63—66条；《最高人民法院关于民事诉讼证据的若干规定》相关规定</x:v>
      </x:c>
      <x:c r="F44" s="13" t="str">
        <x:v>相关规则概括如下：电子数据属于法定证据种类……法律认可与原件一致的副本、输出介质可视为电子数据原件，并非所有场景都必须提交原始存储介质/原始镜像。</x:v>
      </x:c>
      <x:c r="G44" s="13" t="str">
        <x:v>原始电子证据存在证据完整性、真实性以及取证范围方面的审查问题；外部AI并非当然需要接触原始镜像。在使用外部AI处理电子证据材料时，仅抽取与案件争议事实直接相关的内容，原始镜像、完整原始电子数据原则上不进入外部AI载荷。</x:v>
      </x:c>
      <x:c r="H44" s="13" t="str">
        <x:v>原则上禁止将完整镜像直接上传外部AI；先在本地抽取与劳动争议事实相关的文本/事件，再对必要内容进行处理。</x:v>
      </x:c>
      <x:c r="I44" s="13" t="str">
        <x:v>项目自行采取的保守控制+诉讼证据规则参考</x:v>
      </x:c>
      <x:c r="J44" s="13" t="str">
        <x:v>是；是否必须处理原始载体、取证范围或完整性要求不明确时</x:v>
      </x:c>
      <x:c r="K44" s="13" t="str">
        <x:v>①原始证据是否需要保全；
②是否可使用复制件/提取文本；
③是否含商业秘密、国家秘密或其他受保护信息</x:v>
      </x:c>
      <x:c r="L44" s="13" t="str">
        <x:v>其他敏感客体-相应法条-处理方式对照表(1).xlsx/其他敏感信息-相应法条-处理方式对照表!A15</x:v>
      </x:c>
      <x:c r="M44" s="15" t="str">
        <x:v>待逐条核验适用主体、行为、版本与条件</x:v>
      </x:c>
      <x:c r="N44" s="16" t="str">
        <x:v>待核验</x:v>
      </x:c>
      <x:c r="O44" s="16" t="str"/>
      <x:c r="P44" s="16" t="str"/>
    </x:row>
    <x:row r="45" ht="68" customHeight="1">
      <x:c r="A45" s="13" t="str">
        <x:v>R-OT-15</x:v>
      </x:c>
      <x:c r="B45" s="13" t="str">
        <x:v>未公开调查、审计及内部合规材料</x:v>
      </x:c>
      <x:c r="C45" s="13" t="str">
        <x:v>内部调查报告、审计底稿、合规调查记录、员工违规调查、纪检/监察相关内部材料等</x:v>
      </x:c>
      <x:c r="D45" s="13" t="str">
        <x:v>不适用；按具体保护对象判断</x:v>
      </x:c>
      <x:c r="E45" s="13" t="str">
        <x:v>依材料来源及调查主体确定；可同时适用《反不正当竞争法》商业秘密规则、《民事诉讼法》保密证据规则等</x:v>
      </x:c>
      <x:c r="F45" s="13" t="str">
        <x:v>相关规则概括如下：涉及国家秘密、商业秘密和个人隐私的证据应当保密，需要在法庭出示的，不得在公开开庭时出示。</x:v>
      </x:c>
      <x:c r="G45" s="13" t="str">
        <x:v>内部调查材料并非法律上独立的禁止对外提供客体，不能笼统禁止使用；使用前应当识别材料内含的具体保护对象、信息来源、各方保密义务，同时核验第三方是否具备合法接收、处理的权限。</x:v>
      </x:c>
      <x:c r="H45" s="13" t="str">
        <x:v>优先抽取调查结论和与劳动争议直接相关的事实；完整底稿、内部访谈记录及无关调查内容原则上不外传。</x:v>
      </x:c>
      <x:c r="I45" s="13" t="str">
        <x:v>项目自行采取的保守控制+具体法律规则</x:v>
      </x:c>
      <x:c r="J45" s="13" t="str">
        <x:v>是；材料性质、来源和保密依据不明确时</x:v>
      </x:c>
      <x:c r="K45" s="13" t="str">
        <x:v>①是否包含商业秘密/国家秘密；②是否存在内部制度或合同保密义务；③
是否确有必要处理完整材料
</x:v>
      </x:c>
      <x:c r="L45" s="13" t="str">
        <x:v>其他敏感客体-相应法条-处理方式对照表(1).xlsx/其他敏感信息-相应法条-处理方式对照表!A16</x:v>
      </x:c>
      <x:c r="M45" s="15" t="str">
        <x:v>待逐条核验适用主体、行为、版本与条件</x:v>
      </x:c>
      <x:c r="N45" s="16" t="str">
        <x:v>待核验</x:v>
      </x:c>
      <x:c r="O45" s="16" t="str"/>
      <x:c r="P45" s="16" t="str"/>
    </x:row>
  </x:sheetData>
  <x:mergeCells>
    <x:mergeCell ref="A1:H1"/>
    <x:mergeCell ref="A2:L2"/>
    <x:mergeCell ref="A3:L3"/>
  </x:mergeCells>
  <x:dataValidations count="1">
    <x:dataValidation type="list" sqref="N6:N45">
      <x:formula1>'标注选项'!$B$24:$B$28</x:formula1>
    </x:dataValidation>
  </x:dataValidations>
  <x:pageMargins left="0.7" right="0.7" top="0.75" bottom="0.75" header="0.3" footer="0.3"/>
  <x:legacyDrawing xmlns:r="http://schemas.openxmlformats.org/officeDocument/2006/relationships" r:id="R32a4edc6c79d4794"/>
  <x:tableParts count="1">
    <x:tablePart xmlns:r="http://schemas.openxmlformats.org/officeDocument/2006/relationships" r:id="R8f8e31abc82e4020"/>
  </x:tableParts>
</x:worksheet>
</file>

<file path=xl/worksheets/sheet11.xml><?xml version="1.0" encoding="utf-8"?>
<x:worksheet xmlns:x="http://schemas.openxmlformats.org/spreadsheetml/2006/main">
  <x:sheetPr>
    <x:tabColor rgb="FF89919E"/>
  </x:sheetPr>
  <x:sheetViews>
    <x:sheetView showGridLines="0" workbookViewId="0">
      <x:pane xSplit="2" ySplit="5" topLeftCell="C6" activePane="bottomRight" state="frozen"/>
    </x:sheetView>
  </x:sheetViews>
  <x:sheetFormatPr defaultRowHeight="15"/>
  <x:cols>
    <x:col min="1" max="1" width="24" hidden="0" customWidth="1"/>
    <x:col min="2" max="2" width="38" hidden="0" customWidth="1"/>
    <x:col min="3" max="3" width="38" hidden="0" customWidth="1"/>
    <x:col min="4" max="4" width="58" hidden="0" customWidth="1"/>
    <x:col min="5" max="5" width="58" hidden="0" customWidth="1"/>
    <x:col min="6" max="6" width="22" hidden="0" customWidth="1"/>
    <x:col min="7" max="7" width="58" hidden="0" customWidth="1"/>
  </x:cols>
  <x:sheetData>
    <x:row r="1" ht="38" customHeight="1">
      <x:c r="A1" s="5" t="str">
        <x:v>边界规则</x:v>
      </x:c>
      <x:c r="B1" s="5"/>
      <x:c r="C1" s="5"/>
      <x:c r="D1" s="5"/>
      <x:c r="E1" s="5"/>
      <x:c r="F1" s="5"/>
      <x:c r="G1" s="5"/>
      <x:c r="H1" s="18"/>
    </x:row>
    <x:row r="2" ht="36" customHeight="1">
      <x:c r="A2" s="6" t="str">
        <x:v>完整保留禁止/复核/冲突问答正文及4张表；含表头行，均为参考材料，按适用范围核验。</x:v>
      </x:c>
      <x:c r="B2" s="6"/>
      <x:c r="C2" s="6"/>
      <x:c r="D2" s="6"/>
      <x:c r="E2" s="6"/>
      <x:c r="F2" s="6"/>
      <x:c r="G2" s="6"/>
    </x:row>
    <x:row r="3" ht="26" customHeight="1">
      <x:c r="A3" s="7" t="str">
        <x:v>v0.1 · 2026-09-12｜第5行为表头，第6行起填写；表头批注含字段说明。蓝字为录入，参考页灰底保存原文；长原文可查看公式栏或展开行高。</x:v>
      </x:c>
      <x:c r="B3" s="7"/>
      <x:c r="C3" s="7"/>
      <x:c r="D3" s="7"/>
      <x:c r="E3" s="7"/>
      <x:c r="F3" s="7"/>
      <x:c r="G3" s="7"/>
    </x:row>
    <x:row r="4" ht="44" customHeight="1">
      <x:c r="A4" s="3"/>
      <x:c r="B4" s="3"/>
      <x:c r="C4" s="3"/>
      <x:c r="D4" s="3"/>
      <x:c r="E4" s="3"/>
      <x:c r="F4" s="3"/>
      <x:c r="G4" s="3"/>
    </x:row>
    <x:row r="5" ht="48" customHeight="1">
      <x:c r="A5" s="10" t="str">
        <x:v>边界规则ID</x:v>
      </x:c>
      <x:c r="B5" s="10" t="str">
        <x:v>来源区域</x:v>
      </x:c>
      <x:c r="C5" s="10" t="str">
        <x:v>原始锚点</x:v>
      </x:c>
      <x:c r="D5" s="10" t="str">
        <x:v>原文或情形</x:v>
      </x:c>
      <x:c r="E5" s="10" t="str">
        <x:v>其余原文内容</x:v>
      </x:c>
      <x:c r="F5" s="10" t="str">
        <x:v>核验状态</x:v>
      </x:c>
      <x:c r="G5" s="10" t="str">
        <x:v>核验后结论及依据</x:v>
      </x:c>
    </x:row>
    <x:row r="6" ht="44" customHeight="1">
      <x:c r="A6" s="13" t="str">
        <x:v>BND-P01</x:v>
      </x:c>
      <x:c r="B6" s="13" t="str">
        <x:v>正文段落</x:v>
      </x:c>
      <x:c r="C6" s="13" t="str">
        <x:v>提取段落P1</x:v>
      </x:c>
      <x:c r="D6" s="13" t="str">
        <x:v>硬性禁止情形、必须人工复核情形及规则冲突处理要求</x:v>
      </x:c>
      <x:c r="E6" s="13" t="str"/>
      <x:c r="F6" s="9" t="str">
        <x:v>待核验</x:v>
      </x:c>
      <x:c r="G6" s="13" t="str"/>
    </x:row>
    <x:row r="7" ht="44" customHeight="1">
      <x:c r="A7" s="13" t="str">
        <x:v>BND-P02</x:v>
      </x:c>
      <x:c r="B7" s="13" t="str">
        <x:v>正文段落</x:v>
      </x:c>
      <x:c r="C7" s="13" t="str">
        <x:v>提取段落P2</x:v>
      </x:c>
      <x:c r="D7" s="13" t="str">
        <x:v>一、法律上坚决不能外发，需要同时满足以下条件：</x:v>
      </x:c>
      <x:c r="E7" s="13" t="str"/>
      <x:c r="F7" s="9" t="str">
        <x:v>待核验</x:v>
      </x:c>
      <x:c r="G7" s="13" t="str"/>
    </x:row>
    <x:row r="8" ht="44" customHeight="1">
      <x:c r="A8" s="13" t="str">
        <x:v>BND-P03</x:v>
      </x:c>
      <x:c r="B8" s="13" t="str">
        <x:v>正文段落</x:v>
      </x:c>
      <x:c r="C8" s="13" t="str">
        <x:v>提取段落P3</x:v>
      </x:c>
      <x:c r="D8" s="13" t="str">
        <x:v>1.存在明确的受法律保护对象，而不是仅凭业务标签判断。</x:v>
      </x:c>
      <x:c r="E8" s="13" t="str"/>
      <x:c r="F8" s="9" t="str">
        <x:v>待核验</x:v>
      </x:c>
      <x:c r="G8" s="13" t="str"/>
    </x:row>
    <x:row r="9" ht="44" customHeight="1">
      <x:c r="A9" s="13" t="str">
        <x:v>BND-P04</x:v>
      </x:c>
      <x:c r="B9" s="13" t="str">
        <x:v>正文段落</x:v>
      </x:c>
      <x:c r="C9" s="13" t="str">
        <x:v>提取段落P4</x:v>
      </x:c>
      <x:c r="D9" s="13" t="str">
        <x:v>2.法律规范或具体有效措施直接禁止当前的外部提供、披露、传输或处理行为。</x:v>
      </x:c>
      <x:c r="E9" s="13" t="str"/>
      <x:c r="F9" s="9" t="str">
        <x:v>待核验</x:v>
      </x:c>
      <x:c r="G9" s="13" t="str"/>
    </x:row>
    <x:row r="10" ht="44" customHeight="1">
      <x:c r="A10" s="13" t="str">
        <x:v>BND-P05</x:v>
      </x:c>
      <x:c r="B10" s="13" t="str">
        <x:v>正文段落</x:v>
      </x:c>
      <x:c r="C10" s="13" t="str">
        <x:v>提取段落P5</x:v>
      </x:c>
      <x:c r="D10" s="13" t="str">
        <x:v>3.该规范确实适用于当前主体、当前材料和当前处理方式。</x:v>
      </x:c>
      <x:c r="E10" s="13" t="str"/>
      <x:c r="F10" s="9" t="str">
        <x:v>待核验</x:v>
      </x:c>
      <x:c r="G10" s="13" t="str"/>
    </x:row>
    <x:row r="11" ht="53" customHeight="1">
      <x:c r="A11" s="13" t="str">
        <x:v>BND-P06</x:v>
      </x:c>
      <x:c r="B11" s="13" t="str">
        <x:v>正文段落</x:v>
      </x:c>
      <x:c r="C11" s="13" t="str">
        <x:v>提取段落P6</x:v>
      </x:c>
      <x:c r="D11" s="13" t="str">
        <x:v>4.删除无关内容、去除直接标识符、缩小范围等普通脱敏措施仍不能使当前行为脱离禁止范围；若经合法匿名化后已经不再涉及受禁止对象，应重新判断。</x:v>
      </x:c>
      <x:c r="E11" s="13" t="str"/>
      <x:c r="F11" s="9" t="str">
        <x:v>待核验</x:v>
      </x:c>
      <x:c r="G11" s="13" t="str"/>
    </x:row>
    <x:row r="12" ht="44" customHeight="1">
      <x:c r="A12" s="13" t="str">
        <x:v>BND-P07</x:v>
      </x:c>
      <x:c r="B12" s="13" t="str">
        <x:v>正文段落</x:v>
      </x:c>
      <x:c r="C12" s="13" t="str">
        <x:v>提取段落P7</x:v>
      </x:c>
      <x:c r="D12" s="13" t="str">
        <x:v>二、硬性禁止情形</x:v>
      </x:c>
      <x:c r="E12" s="13" t="str"/>
      <x:c r="F12" s="9" t="str">
        <x:v>待核验</x:v>
      </x:c>
      <x:c r="G12" s="13" t="str"/>
    </x:row>
    <x:row r="13" ht="44" customHeight="1">
      <x:c r="A13" s="13" t="str">
        <x:v>BND-P08</x:v>
      </x:c>
      <x:c r="B13" s="13" t="str">
        <x:v>正文段落</x:v>
      </x:c>
      <x:c r="C13" s="13" t="str">
        <x:v>提取段落P8</x:v>
      </x:c>
      <x:c r="D13" s="13" t="str">
        <x:v>（一）国家秘密：已经确认涉密且当前处理方式不符合保密要求</x:v>
      </x:c>
      <x:c r="E13" s="13" t="str"/>
      <x:c r="F13" s="9" t="str">
        <x:v>待核验</x:v>
      </x:c>
      <x:c r="G13" s="13" t="str"/>
    </x:row>
    <x:row r="14" ht="68" customHeight="1">
      <x:c r="A14" s="13" t="str">
        <x:v>BND-P09</x:v>
      </x:c>
      <x:c r="B14" s="13" t="str">
        <x:v>正文段落</x:v>
      </x:c>
      <x:c r="C14" s="13" t="str">
        <x:v>提取段落P9</x:v>
      </x:c>
      <x:c r="D14" s="13" t="str">
        <x:v>现行《中华人民共和国保守国家秘密法》对国家秘密的传递、存储、处理设置了专门的保密要求。已经确认属于国家秘密的信息，如果拟使用的外部模型、通信链路、信息系统或设备不具备法律及国家保密规定、标准要求的保密条件，不得通过该方式处理。</x:v>
      </x:c>
      <x:c r="E14" s="13" t="str"/>
      <x:c r="F14" s="9" t="str">
        <x:v>待核验</x:v>
      </x:c>
      <x:c r="G14" s="13" t="str"/>
    </x:row>
    <x:row r="15" ht="44" customHeight="1">
      <x:c r="A15" s="13" t="str">
        <x:v>BND-P10</x:v>
      </x:c>
      <x:c r="B15" s="13" t="str">
        <x:v>正文段落</x:v>
      </x:c>
      <x:c r="C15" s="13" t="str">
        <x:v>提取段落P10</x:v>
      </x:c>
      <x:c r="D15" s="13" t="str">
        <x:v>注意：不是“政府文件”“内部材料”“重要材料”就当然属于国家秘密。国家秘密必须有法定的秘密属性和相应确定程序。</x:v>
      </x:c>
      <x:c r="E15" s="13" t="str"/>
      <x:c r="F15" s="9" t="str">
        <x:v>待核验</x:v>
      </x:c>
      <x:c r="G15" s="13" t="str"/>
    </x:row>
    <x:row r="16" ht="53" customHeight="1">
      <x:c r="A16" s="13" t="str">
        <x:v>BND-P11</x:v>
      </x:c>
      <x:c r="B16" s="13" t="str">
        <x:v>正文段落</x:v>
      </x:c>
      <x:c r="C16" s="13" t="str">
        <x:v>提取段落P11</x:v>
      </x:c>
      <x:c r="D16" s="13" t="str">
        <x:v>国家秘密的判断分成两层：是否真的属于国家秘密；当前外部处理环境是否符合涉密处理要求。前者不确定或后者不确定，均不宜直接断言禁止，而应先核实。</x:v>
      </x:c>
      <x:c r="E16" s="13" t="str"/>
      <x:c r="F16" s="9" t="str">
        <x:v>待核验</x:v>
      </x:c>
      <x:c r="G16" s="13" t="str"/>
    </x:row>
    <x:row r="17" ht="44" customHeight="1">
      <x:c r="A17" s="13" t="str">
        <x:v>BND-P12</x:v>
      </x:c>
      <x:c r="B17" s="13" t="str">
        <x:v>正文段落</x:v>
      </x:c>
      <x:c r="C17" s="13" t="str">
        <x:v>提取段落P12</x:v>
      </x:c>
      <x:c r="D17" s="13" t="str">
        <x:v>（二）传染病患者、病原携带者、疑似患者的个人隐私、个人信息：法律明确禁止披露的范围</x:v>
      </x:c>
      <x:c r="E17" s="13" t="str"/>
      <x:c r="F17" s="9" t="str">
        <x:v>待核验</x:v>
      </x:c>
      <x:c r="G17" s="13" t="str"/>
    </x:row>
    <x:row r="18" ht="53" customHeight="1">
      <x:c r="A18" s="13" t="str">
        <x:v>BND-P13</x:v>
      </x:c>
      <x:c r="B18" s="13" t="str">
        <x:v>正文段落</x:v>
      </x:c>
      <x:c r="C18" s="13" t="str">
        <x:v>提取段落P13</x:v>
      </x:c>
      <x:c r="D18" s="13" t="str">
        <x:v>现行《传染病防治法》第十六条规定，任何单位或者个人不得歧视传染病患者、病原携带者和疑似患者，不得泄露其个人隐私、个人信息。</x:v>
      </x:c>
      <x:c r="E18" s="13" t="str"/>
      <x:c r="F18" s="9" t="str">
        <x:v>待核验</x:v>
      </x:c>
      <x:c r="G18" s="13" t="str"/>
    </x:row>
    <x:row r="19" ht="53" customHeight="1">
      <x:c r="A19" s="13" t="str">
        <x:v>BND-P14</x:v>
      </x:c>
      <x:c r="B19" s="13" t="str">
        <x:v>正文段落</x:v>
      </x:c>
      <x:c r="C19" s="13" t="str">
        <x:v>提取段落P14</x:v>
      </x:c>
      <x:c r="D19" s="13" t="str">
        <x:v>当上传材料已经能够确认：第一，信息主体属于该条所列特定主体；第二，拟发送的内容属于其个人隐私或个人信息；第三，当前行为属于向外部处理主体披露；此时存在直接的禁止性依据。</x:v>
      </x:c>
      <x:c r="E19" s="13" t="str"/>
      <x:c r="F19" s="9" t="str">
        <x:v>待核验</x:v>
      </x:c>
      <x:c r="G19" s="13" t="str"/>
    </x:row>
    <x:row r="20" ht="53" customHeight="1">
      <x:c r="A20" s="13" t="str">
        <x:v>BND-P15</x:v>
      </x:c>
      <x:c r="B20" s="13" t="str">
        <x:v>正文段落</x:v>
      </x:c>
      <x:c r="C20" s="13" t="str">
        <x:v>提取段落P15</x:v>
      </x:c>
      <x:c r="D20" s="13" t="str">
        <x:v>如果材料只有“患病”“传染病史”“长期病假”等模糊表述，无法确定是否属于第十六条的特定主体和保护范围，不能仅凭疾病名称直接认定禁止，应核实具体法律构成。</x:v>
      </x:c>
      <x:c r="E20" s="13" t="str"/>
      <x:c r="F20" s="9" t="str">
        <x:v>待核验</x:v>
      </x:c>
      <x:c r="G20" s="13" t="str"/>
    </x:row>
    <x:row r="21" ht="68" customHeight="1">
      <x:c r="A21" s="13" t="str">
        <x:v>BND-P16</x:v>
      </x:c>
      <x:c r="B21" s="13" t="str">
        <x:v>正文段落</x:v>
      </x:c>
      <x:c r="C21" s="13" t="str">
        <x:v>提取段落P16</x:v>
      </x:c>
      <x:c r="D21" s="13" t="str">
        <x:v>注意：第十三条的目的限制，即传染病防治相关个人信息处理具有特殊目的边界。案件事实摘要通常属于劳动争议法律服务目的，不能直接把传染病防治领域的信息处理规则机械套用到所有劳动争议医疗信息上。</x:v>
      </x:c>
      <x:c r="E21" s="13" t="str"/>
      <x:c r="F21" s="9" t="str">
        <x:v>待核验</x:v>
      </x:c>
      <x:c r="G21" s="13" t="str"/>
    </x:row>
    <x:row r="22" ht="44" customHeight="1">
      <x:c r="A22" s="13" t="str">
        <x:v>BND-P17</x:v>
      </x:c>
      <x:c r="B22" s="13" t="str">
        <x:v>正文段落</x:v>
      </x:c>
      <x:c r="C22" s="13" t="str">
        <x:v>提取段落P17</x:v>
      </x:c>
      <x:c r="D22" s="13" t="str">
        <x:v>（三）法院、仲裁机构采取了具体保密措施，并明确限制向当前第三方提供</x:v>
      </x:c>
      <x:c r="E22" s="13" t="str"/>
      <x:c r="F22" s="9" t="str">
        <x:v>待核验</x:v>
      </x:c>
      <x:c r="G22" s="13" t="str"/>
    </x:row>
    <x:row r="23" ht="44" customHeight="1">
      <x:c r="A23" s="13" t="str">
        <x:v>BND-P18</x:v>
      </x:c>
      <x:c r="B23" s="13" t="str">
        <x:v>正文段落</x:v>
      </x:c>
      <x:c r="C23" s="13" t="str">
        <x:v>提取段落P18</x:v>
      </x:c>
      <x:c r="D23" s="13" t="str">
        <x:v>劳动争议仲裁和民事诉讼均存在涉及国家秘密、商业秘密、个人隐私时不公开审理或采取保密措施的制度。</x:v>
      </x:c>
      <x:c r="E23" s="13" t="str"/>
      <x:c r="F23" s="9" t="str">
        <x:v>待核验</x:v>
      </x:c>
      <x:c r="G23" s="13" t="str"/>
    </x:row>
    <x:row r="24" ht="83" customHeight="1">
      <x:c r="A24" s="13" t="str">
        <x:v>BND-P19</x:v>
      </x:c>
      <x:c r="B24" s="13" t="str">
        <x:v>正文段落</x:v>
      </x:c>
      <x:c r="C24" s="13" t="str">
        <x:v>提取段落P19</x:v>
      </x:c>
      <x:c r="D24" s="13" t="str">
        <x:v>可能构成硬性禁止的是：针对具体案件或具体材料已经存在明确、有效的保密措施，而且该措施的内容足以覆盖当前向外部AI服务商提供的行为。例如明确限制特定材料的接触、复制、披露范围，或者要求仅特定主体在保密条件下阅看，而当前外部服务商不在允许范围内。</x:v>
      </x:c>
      <x:c r="E24" s="13" t="str"/>
      <x:c r="F24" s="9" t="str">
        <x:v>待核验</x:v>
      </x:c>
      <x:c r="G24" s="13" t="str"/>
    </x:row>
    <x:row r="25" ht="53" customHeight="1">
      <x:c r="A25" s="13" t="str">
        <x:v>BND-P20</x:v>
      </x:c>
      <x:c r="B25" s="13" t="str">
        <x:v>正文段落</x:v>
      </x:c>
      <x:c r="C25" s="13" t="str">
        <x:v>提取段落P20</x:v>
      </x:c>
      <x:c r="D25" s="13" t="str">
        <x:v>“不公开审理”“属于正卷”“涉商业秘密”这些标签本身不足以构成硬性禁止。必须找到具体的限制内容，并确认它确实限制当前第三方提供行为。</x:v>
      </x:c>
      <x:c r="E25" s="13" t="str"/>
      <x:c r="F25" s="9" t="str">
        <x:v>待核验</x:v>
      </x:c>
      <x:c r="G25" s="13" t="str"/>
    </x:row>
    <x:row r="26" ht="44" customHeight="1">
      <x:c r="A26" s="13" t="str">
        <x:v>BND-P21</x:v>
      </x:c>
      <x:c r="B26" s="13" t="str">
        <x:v>正文段落</x:v>
      </x:c>
      <x:c r="C26" s="13" t="str">
        <x:v>提取段落P21</x:v>
      </x:c>
      <x:c r="D26" s="13" t="str">
        <x:v>（四）商业秘密+明确禁止向当前第三方披露的有效保密义务</x:v>
      </x:c>
      <x:c r="E26" s="13" t="str"/>
      <x:c r="F26" s="9" t="str">
        <x:v>待核验</x:v>
      </x:c>
      <x:c r="G26" s="13" t="str"/>
    </x:row>
    <x:row r="27" ht="53" customHeight="1">
      <x:c r="A27" s="13" t="str">
        <x:v>BND-P22</x:v>
      </x:c>
      <x:c r="B27" s="13" t="str">
        <x:v>正文段落</x:v>
      </x:c>
      <x:c r="C27" s="13" t="str">
        <x:v>提取段落P22</x:v>
      </x:c>
      <x:c r="D27" s="13" t="str">
        <x:v>《反不正当竞争法》现行规定禁止违反保密义务或者违反权利人有关保守商业秘密的要求，披露、使用或者允许他人使用所掌握的商业秘密。</x:v>
      </x:c>
      <x:c r="E27" s="13" t="str"/>
      <x:c r="F27" s="9" t="str">
        <x:v>待核验</x:v>
      </x:c>
      <x:c r="G27" s="13" t="str"/>
    </x:row>
    <x:row r="28" ht="68" customHeight="1">
      <x:c r="A28" s="13" t="str">
        <x:v>BND-P23</x:v>
      </x:c>
      <x:c r="B28" s="13" t="str">
        <x:v>正文段落</x:v>
      </x:c>
      <x:c r="C28" s="13" t="str">
        <x:v>提取段落P23</x:v>
      </x:c>
      <x:c r="D28" s="13" t="str">
        <x:v>在劳动争议中，常见于竞业限制、离职争议、客户名单、技术资料、源代码、报价体系、经营数据等材料。判断时应先确认是否满足商业秘密构成，再确认是否存在有效的保密义务，以及该义务是否明确禁止向当前第三方提供。</x:v>
      </x:c>
      <x:c r="E28" s="13" t="str"/>
      <x:c r="F28" s="9" t="str">
        <x:v>待核验</x:v>
      </x:c>
      <x:c r="G28" s="13" t="str"/>
    </x:row>
    <x:row r="29" ht="53" customHeight="1">
      <x:c r="A29" s="13" t="str">
        <x:v>BND-P24</x:v>
      </x:c>
      <x:c r="B29" s="13" t="str">
        <x:v>正文段落</x:v>
      </x:c>
      <x:c r="C29" s="13" t="str">
        <x:v>提取段落P24</x:v>
      </x:c>
      <x:c r="D29" s="13" t="str">
        <x:v>只有当商业秘密属性、有效保密义务/明确禁止、当前第三方不在允许范围、不存在合法授权或例外四项条件均成立时，才有充分理由认定当前外部提供受到明确禁止。</x:v>
      </x:c>
      <x:c r="E29" s="13" t="str"/>
      <x:c r="F29" s="9" t="str">
        <x:v>待核验</x:v>
      </x:c>
      <x:c r="G29" s="13" t="str"/>
    </x:row>
    <x:row r="30" ht="44" customHeight="1">
      <x:c r="A30" s="13" t="str">
        <x:v>BND-P25</x:v>
      </x:c>
      <x:c r="B30" s="13" t="str">
        <x:v>正文段落</x:v>
      </x:c>
      <x:c r="C30" s="13" t="str">
        <x:v>提取段落P25</x:v>
      </x:c>
      <x:c r="D30" s="13" t="str">
        <x:v>（五）其他法律明确禁止当前披露行为的特殊情形</x:v>
      </x:c>
      <x:c r="E30" s="13" t="str"/>
      <x:c r="F30" s="9" t="str">
        <x:v>待核验</x:v>
      </x:c>
      <x:c r="G30" s="13" t="str"/>
    </x:row>
    <x:row r="31" ht="68" customHeight="1">
      <x:c r="A31" s="13" t="str">
        <x:v>BND-P26</x:v>
      </x:c>
      <x:c r="B31" s="13" t="str">
        <x:v>正文段落</x:v>
      </x:c>
      <x:c r="C31" s="13" t="str">
        <x:v>提取段落P26</x:v>
      </x:c>
      <x:c r="D31" s="13" t="str">
        <x:v>劳动争议案件可能出现其他特别法保护对象，例如特定行业、特定行政管理活动中的法定保密信息。此类情形不能建立一个脱离具体法律构成的敏感信息大类。应当做到一类一法、一种行为对应具体禁止条款。</x:v>
      </x:c>
      <x:c r="E31" s="13" t="str"/>
      <x:c r="F31" s="9" t="str">
        <x:v>待核验</x:v>
      </x:c>
      <x:c r="G31" s="13" t="str"/>
    </x:row>
    <x:row r="32" ht="44" customHeight="1">
      <x:c r="A32" s="13" t="str">
        <x:v>BND-P27</x:v>
      </x:c>
      <x:c r="B32" s="13" t="str">
        <x:v>正文段落</x:v>
      </x:c>
      <x:c r="C32" s="13" t="str">
        <x:v>提取段落P27</x:v>
      </x:c>
      <x:c r="D32" s="13" t="str">
        <x:v>如果系统无法确认特别法的适用对象、适用行为或事实前提，不应直接认定为禁止，而应进入依据人工核实程序。</x:v>
      </x:c>
      <x:c r="E32" s="13" t="str"/>
      <x:c r="F32" s="9" t="str">
        <x:v>待核验</x:v>
      </x:c>
      <x:c r="G32" s="13" t="str"/>
    </x:row>
    <x:row r="33" ht="44" customHeight="1">
      <x:c r="A33" s="13" t="str">
        <x:v>BND-P28</x:v>
      </x:c>
      <x:c r="B33" s="13" t="str">
        <x:v>正文段落</x:v>
      </x:c>
      <x:c r="C33" s="13" t="str">
        <x:v>提取段落P28</x:v>
      </x:c>
      <x:c r="D33" s="13" t="str">
        <x:v>三、以下信息不能仅凭类别直接认定为坚决不能外发，应进一步判断</x:v>
      </x:c>
      <x:c r="E33" s="13" t="str"/>
      <x:c r="F33" s="9" t="str">
        <x:v>待核验</x:v>
      </x:c>
      <x:c r="G33" s="13" t="str"/>
    </x:row>
    <x:row r="34" ht="44" customHeight="1">
      <x:c r="A34" s="13" t="str">
        <x:v>BND-P29</x:v>
      </x:c>
      <x:c r="B34" s="13" t="str">
        <x:v>正文段落</x:v>
      </x:c>
      <x:c r="C34" s="13" t="str">
        <x:v>提取段落P29</x:v>
      </x:c>
      <x:c r="D34" s="13" t="str">
        <x:v>四、必须人工复核的情形</x:v>
      </x:c>
      <x:c r="E34" s="13" t="str"/>
      <x:c r="F34" s="9" t="str">
        <x:v>待核验</x:v>
      </x:c>
      <x:c r="G34" s="13" t="str"/>
    </x:row>
    <x:row r="35" ht="44" customHeight="1">
      <x:c r="A35" s="13" t="str">
        <x:v>BND-P30</x:v>
      </x:c>
      <x:c r="B35" s="13" t="str">
        <x:v>正文段落</x:v>
      </x:c>
      <x:c r="C35" s="13" t="str">
        <x:v>提取段落P30</x:v>
      </x:c>
      <x:c r="D35" s="13" t="str">
        <x:v>五、规则冲突时的处理要求</x:v>
      </x:c>
      <x:c r="E35" s="13" t="str"/>
      <x:c r="F35" s="9" t="str">
        <x:v>待核验</x:v>
      </x:c>
      <x:c r="G35" s="13" t="str"/>
    </x:row>
    <x:row r="36" ht="44" customHeight="1">
      <x:c r="A36" s="13" t="str">
        <x:v>BND-P31</x:v>
      </x:c>
      <x:c r="B36" s="13" t="str">
        <x:v>正文段落</x:v>
      </x:c>
      <x:c r="C36" s="13" t="str">
        <x:v>提取段落P31</x:v>
      </x:c>
      <x:c r="D36" s="13" t="str">
        <x:v>1.先确定保护对象：是个人信息、敏感个人信息、隐私、商业秘密、国家秘密，还是受到具体程序保密措施保护的材料。</x:v>
      </x:c>
      <x:c r="E36" s="13" t="str"/>
      <x:c r="F36" s="9" t="str">
        <x:v>待核验</x:v>
      </x:c>
      <x:c r="G36" s="13" t="str"/>
    </x:row>
    <x:row r="37" ht="44" customHeight="1">
      <x:c r="A37" s="13" t="str">
        <x:v>BND-P32</x:v>
      </x:c>
      <x:c r="B37" s="13" t="str">
        <x:v>正文段落</x:v>
      </x:c>
      <x:c r="C37" s="13" t="str">
        <x:v>提取段落P32</x:v>
      </x:c>
      <x:c r="D37" s="13" t="str">
        <x:v>2.再确定处理行为：是本地存储、委托处理、向其他个人信息处理者提供、公开披露，还是跨境提</x:v>
      </x:c>
      <x:c r="E37" s="13" t="str"/>
      <x:c r="F37" s="9" t="str">
        <x:v>待核验</x:v>
      </x:c>
      <x:c r="G37" s="13" t="str"/>
    </x:row>
    <x:row r="38" ht="44" customHeight="1">
      <x:c r="A38" s="13" t="str">
        <x:v>BND-P33</x:v>
      </x:c>
      <x:c r="B38" s="13" t="str">
        <x:v>正文段落</x:v>
      </x:c>
      <x:c r="C38" s="13" t="str">
        <x:v>提取段落P33</x:v>
      </x:c>
      <x:c r="D38" s="13" t="str">
        <x:v>供。</x:v>
      </x:c>
      <x:c r="E38" s="13" t="str"/>
      <x:c r="F38" s="9" t="str">
        <x:v>待核验</x:v>
      </x:c>
      <x:c r="G38" s="13" t="str"/>
    </x:row>
    <x:row r="39" ht="44" customHeight="1">
      <x:c r="A39" s="13" t="str">
        <x:v>BND-P34</x:v>
      </x:c>
      <x:c r="B39" s="13" t="str">
        <x:v>正文段落</x:v>
      </x:c>
      <x:c r="C39" s="13" t="str">
        <x:v>提取段落P34</x:v>
      </x:c>
      <x:c r="D39" s="13" t="str">
        <x:v>3.再确定义务主体：该规则约束的是律师、律所、客户、法院/仲裁机构、AI服务商，还是其他主体。</x:v>
      </x:c>
      <x:c r="E39" s="13" t="str"/>
      <x:c r="F39" s="9" t="str">
        <x:v>待核验</x:v>
      </x:c>
      <x:c r="G39" s="13" t="str"/>
    </x:row>
    <x:row r="40" ht="44" customHeight="1">
      <x:c r="A40" s="13" t="str">
        <x:v>BND-P35</x:v>
      </x:c>
      <x:c r="B40" s="13" t="str">
        <x:v>正文段落</x:v>
      </x:c>
      <x:c r="C40" s="13" t="str">
        <x:v>提取段落P35</x:v>
      </x:c>
      <x:c r="D40" s="13" t="str">
        <x:v>4.再判断处分权限：查阅权、复制权、使用权、委托处理权和向第三方提供权不能混为一谈。</x:v>
      </x:c>
      <x:c r="E40" s="13" t="str"/>
      <x:c r="F40" s="9" t="str">
        <x:v>待核验</x:v>
      </x:c>
      <x:c r="G40" s="13" t="str"/>
    </x:row>
    <x:row r="41" ht="44" customHeight="1">
      <x:c r="A41" s="13" t="str">
        <x:v>BND-P36</x:v>
      </x:c>
      <x:c r="B41" s="13" t="str">
        <x:v>正文段落</x:v>
      </x:c>
      <x:c r="C41" s="13" t="str">
        <x:v>提取段落P36</x:v>
      </x:c>
      <x:c r="D41" s="13" t="str">
        <x:v>5.再确定规范关系：判断一般法、特别法、司法解释、程序规则、行政规范与合同约定各自解决什么</x:v>
      </x:c>
      <x:c r="E41" s="13" t="str"/>
      <x:c r="F41" s="9" t="str">
        <x:v>待核验</x:v>
      </x:c>
      <x:c r="G41" s="13" t="str"/>
    </x:row>
    <x:row r="42" ht="44" customHeight="1">
      <x:c r="A42" s="13" t="str">
        <x:v>BND-P37</x:v>
      </x:c>
      <x:c r="B42" s="13" t="str">
        <x:v>正文段落</x:v>
      </x:c>
      <x:c r="C42" s="13" t="str">
        <x:v>提取段落P37</x:v>
      </x:c>
      <x:c r="D42" s="13" t="str">
        <x:v>问题。</x:v>
      </x:c>
      <x:c r="E42" s="13" t="str"/>
      <x:c r="F42" s="9" t="str">
        <x:v>待核验</x:v>
      </x:c>
      <x:c r="G42" s="13" t="str"/>
    </x:row>
    <x:row r="43" ht="44" customHeight="1">
      <x:c r="A43" s="13" t="str">
        <x:v>BND-P38</x:v>
      </x:c>
      <x:c r="B43" s="13" t="str">
        <x:v>正文段落</x:v>
      </x:c>
      <x:c r="C43" s="13" t="str">
        <x:v>提取段落P38</x:v>
      </x:c>
      <x:c r="D43" s="13" t="str">
        <x:v>6.最后判断能否通过删除无关信息、去除直接标识符、减少数据范围等方式同时满足不同规则。</x:v>
      </x:c>
      <x:c r="E43" s="13" t="str"/>
      <x:c r="F43" s="9" t="str">
        <x:v>待核验</x:v>
      </x:c>
      <x:c r="G43" s="13" t="str"/>
    </x:row>
    <x:row r="44" ht="53" customHeight="1">
      <x:c r="A44" s="13" t="str">
        <x:v>BND-P39</x:v>
      </x:c>
      <x:c r="B44" s="13" t="str">
        <x:v>正文段落</x:v>
      </x:c>
      <x:c r="C44" s="13" t="str">
        <x:v>提取段落P39</x:v>
      </x:c>
      <x:c r="D44" s="13" t="str">
        <x:v>如果冲突的决定性事实能够自动确认，就按明确规则执行；如果不能确认且会改变结论，暂停外部处理并转人工核实；不能因为存在疑问就直接把疑问写成法律禁止。</x:v>
      </x:c>
      <x:c r="E44" s="13" t="str"/>
      <x:c r="F44" s="9" t="str">
        <x:v>待核验</x:v>
      </x:c>
      <x:c r="G44" s="13" t="str"/>
    </x:row>
    <x:row r="45" ht="44" customHeight="1">
      <x:c r="A45" s="13" t="str">
        <x:v>BND-P40</x:v>
      </x:c>
      <x:c r="B45" s="13" t="str">
        <x:v>正文段落</x:v>
      </x:c>
      <x:c r="C45" s="13" t="str">
        <x:v>提取段落P40</x:v>
      </x:c>
      <x:c r="D45" s="13" t="str">
        <x:v>六、法律依据不确定时，系统应该怎么回复</x:v>
      </x:c>
      <x:c r="E45" s="13" t="str"/>
      <x:c r="F45" s="9" t="str">
        <x:v>待核验</x:v>
      </x:c>
      <x:c r="G45" s="13" t="str"/>
    </x:row>
    <x:row r="46" ht="143" customHeight="1">
      <x:c r="A46" s="13" t="str">
        <x:v>BND-P41</x:v>
      </x:c>
      <x:c r="B46" s="13" t="str">
        <x:v>正文段落</x:v>
      </x:c>
      <x:c r="C46" s="13" t="str">
        <x:v>提取段落P41</x:v>
      </x:c>
      <x:c r="D46" s="13" t="str">
        <x:v>“当前材料是否可以进行外部处理暂不能确定。
待核实事项：〔具体写明法律适用/处分权限/保密义务/外部处理条件/跨境情况/规则冲突〕。
可能涉及依据：〔法源名称＋条款位置〕。
目前无法确认的关键事实：〔具体事实〕。
处理要求：在上述事项核实完成前，不将相关原始材料提交外部模型。
人工核实后，根据核实结果重新确定是否允许外部处理以及需要采取的脱敏、最小化或其他措施。”</x:v>
      </x:c>
      <x:c r="E46" s="13" t="str"/>
      <x:c r="F46" s="9" t="str">
        <x:v>待核验</x:v>
      </x:c>
      <x:c r="G46" s="13" t="str"/>
    </x:row>
    <x:row r="47" ht="44" customHeight="1">
      <x:c r="A47" s="13" t="str">
        <x:v>BND-P42</x:v>
      </x:c>
      <x:c r="B47" s="13" t="str">
        <x:v>正文段落</x:v>
      </x:c>
      <x:c r="C47" s="13" t="str">
        <x:v>提取段落P42</x:v>
      </x:c>
      <x:c r="D47" s="13" t="str">
        <x:v>七、已经确认存在禁止时，系统应该怎么回复</x:v>
      </x:c>
      <x:c r="E47" s="13" t="str"/>
      <x:c r="F47" s="9" t="str">
        <x:v>待核验</x:v>
      </x:c>
      <x:c r="G47" s="13" t="str"/>
    </x:row>
    <x:row r="48" ht="83" customHeight="1">
      <x:c r="A48" s="13" t="str">
        <x:v>BND-P43</x:v>
      </x:c>
      <x:c r="B48" s="13" t="str">
        <x:v>正文段落</x:v>
      </x:c>
      <x:c r="C48" s="13" t="str">
        <x:v>提取段落P43</x:v>
      </x:c>
      <x:c r="D48" s="13" t="str">
        <x:v>“经核实，当前材料属于〔具体保护对象〕，〔具体法律/有效保密措施〕明确限制当前向外部第三方提供的行为。现有脱敏、加密或范围缩减措施不能消除该法律限制。处理要求：不得向当前外部模型提交；如需继续处理，应改用符合相应保密和安全要求的处理环境，或先取得有权主体的合法授权/解除相关限制。”</x:v>
      </x:c>
      <x:c r="E48" s="13" t="str"/>
      <x:c r="F48" s="9" t="str">
        <x:v>待核验</x:v>
      </x:c>
      <x:c r="G48" s="13" t="str"/>
    </x:row>
    <x:row r="49" ht="44" customHeight="1">
      <x:c r="A49" s="13" t="str">
        <x:v>BND-P44</x:v>
      </x:c>
      <x:c r="B49" s="13" t="str">
        <x:v>正文段落</x:v>
      </x:c>
      <x:c r="C49" s="13" t="str">
        <x:v>提取段落P44</x:v>
      </x:c>
      <x:c r="D49" s="13" t="str">
        <x:v>人工复核结论必须留下的法律依据</x:v>
      </x:c>
      <x:c r="E49" s="13" t="str"/>
      <x:c r="F49" s="9" t="str">
        <x:v>待核验</x:v>
      </x:c>
      <x:c r="G49" s="13" t="str"/>
    </x:row>
    <x:row r="50" ht="44" customHeight="1">
      <x:c r="A50" s="13" t="str">
        <x:v>BND-P46</x:v>
      </x:c>
      <x:c r="B50" s="13" t="str">
        <x:v>正文段落</x:v>
      </x:c>
      <x:c r="C50" s="13" t="str">
        <x:v>提取段落P46</x:v>
      </x:c>
      <x:c r="D50" s="13" t="str">
        <x:v>九、不同判断状态下的处理规则</x:v>
      </x:c>
      <x:c r="E50" s="13" t="str"/>
      <x:c r="F50" s="9" t="str">
        <x:v>待核验</x:v>
      </x:c>
      <x:c r="G50" s="13" t="str"/>
    </x:row>
    <x:row r="51" ht="44" customHeight="1">
      <x:c r="A51" s="13" t="str">
        <x:v>BND-P47</x:v>
      </x:c>
      <x:c r="B51" s="13" t="str">
        <x:v>正文段落</x:v>
      </x:c>
      <x:c r="C51" s="13" t="str">
        <x:v>提取段落P47</x:v>
      </x:c>
      <x:c r="D51" s="13" t="str">
        <x:v>十、主要法源</x:v>
      </x:c>
      <x:c r="E51" s="13" t="str"/>
      <x:c r="F51" s="9" t="str">
        <x:v>待核验</x:v>
      </x:c>
      <x:c r="G51" s="13" t="str"/>
    </x:row>
    <x:row r="52" ht="44" customHeight="1">
      <x:c r="A52" s="13" t="str">
        <x:v>BND-P48</x:v>
      </x:c>
      <x:c r="B52" s="13" t="str">
        <x:v>正文段落</x:v>
      </x:c>
      <x:c r="C52" s="13" t="str">
        <x:v>提取段落P48</x:v>
      </x:c>
      <x:c r="D52" s="13" t="str">
        <x:v>《中华人民共和国个人信息保护法》：第6、13、21、23、28-31、38-41、55-56条。</x:v>
      </x:c>
      <x:c r="E52" s="13" t="str"/>
      <x:c r="F52" s="9" t="str">
        <x:v>待核验</x:v>
      </x:c>
      <x:c r="G52" s="13" t="str"/>
    </x:row>
    <x:row r="53" ht="44" customHeight="1">
      <x:c r="A53" s="13" t="str">
        <x:v>BND-P49</x:v>
      </x:c>
      <x:c r="B53" s="13" t="str">
        <x:v>正文段落</x:v>
      </x:c>
      <x:c r="C53" s="13" t="str">
        <x:v>提取段落P49</x:v>
      </x:c>
      <x:c r="D53" s="13" t="str">
        <x:v>《中华人民共和国保守国家秘密法》（2024年修订）：重点第二十九条、第三十一条。</x:v>
      </x:c>
      <x:c r="E53" s="13" t="str"/>
      <x:c r="F53" s="9" t="str">
        <x:v>待核验</x:v>
      </x:c>
      <x:c r="G53" s="13" t="str"/>
    </x:row>
    <x:row r="54" ht="44" customHeight="1">
      <x:c r="A54" s="13" t="str">
        <x:v>BND-P50</x:v>
      </x:c>
      <x:c r="B54" s="13" t="str">
        <x:v>正文段落</x:v>
      </x:c>
      <x:c r="C54" s="13" t="str">
        <x:v>提取段落P50</x:v>
      </x:c>
      <x:c r="D54" s="13" t="str">
        <x:v>《中华人民共和国传染病防治法》（2025年修订）：重点第十三条、第十六条。</x:v>
      </x:c>
      <x:c r="E54" s="13" t="str"/>
      <x:c r="F54" s="9" t="str">
        <x:v>待核验</x:v>
      </x:c>
      <x:c r="G54" s="13" t="str"/>
    </x:row>
    <x:row r="55" ht="44" customHeight="1">
      <x:c r="A55" s="13" t="str">
        <x:v>BND-P51</x:v>
      </x:c>
      <x:c r="B55" s="13" t="str">
        <x:v>正文段落</x:v>
      </x:c>
      <x:c r="C55" s="13" t="str">
        <x:v>提取段落P51</x:v>
      </x:c>
      <x:c r="D55" s="13" t="str">
        <x:v>《中华人民共和国反不正当竞争法》（2025年修订）：重点第十条。</x:v>
      </x:c>
      <x:c r="E55" s="13" t="str"/>
      <x:c r="F55" s="9" t="str">
        <x:v>待核验</x:v>
      </x:c>
      <x:c r="G55" s="13" t="str"/>
    </x:row>
    <x:row r="56" ht="44" customHeight="1">
      <x:c r="A56" s="13" t="str">
        <x:v>BND-P52</x:v>
      </x:c>
      <x:c r="B56" s="13" t="str">
        <x:v>正文段落</x:v>
      </x:c>
      <x:c r="C56" s="13" t="str">
        <x:v>提取段落P52</x:v>
      </x:c>
      <x:c r="D56" s="13" t="str">
        <x:v>《中华人民共和国律师法》：重点第三十八条。</x:v>
      </x:c>
      <x:c r="E56" s="13" t="str"/>
      <x:c r="F56" s="9" t="str">
        <x:v>待核验</x:v>
      </x:c>
      <x:c r="G56" s="13" t="str"/>
    </x:row>
    <x:row r="57" ht="44" customHeight="1">
      <x:c r="A57" s="13" t="str">
        <x:v>BND-P53</x:v>
      </x:c>
      <x:c r="B57" s="13" t="str">
        <x:v>正文段落</x:v>
      </x:c>
      <x:c r="C57" s="13" t="str">
        <x:v>提取段落P53</x:v>
      </x:c>
      <x:c r="D57" s="13" t="str">
        <x:v>《中华人民共和国劳动争议调解仲裁法》：重点第二十六条。</x:v>
      </x:c>
      <x:c r="E57" s="13" t="str"/>
      <x:c r="F57" s="9" t="str">
        <x:v>待核验</x:v>
      </x:c>
      <x:c r="G57" s="13" t="str"/>
    </x:row>
    <x:row r="58" ht="44" customHeight="1">
      <x:c r="A58" s="13" t="str">
        <x:v>BND-P54</x:v>
      </x:c>
      <x:c r="B58" s="13" t="str">
        <x:v>正文段落</x:v>
      </x:c>
      <x:c r="C58" s="13" t="str">
        <x:v>提取段落P54</x:v>
      </x:c>
      <x:c r="D58" s="13" t="str">
        <x:v>《劳动人事争议仲裁办案规则》：重点第二十二条至第二十五条。</x:v>
      </x:c>
      <x:c r="E58" s="13" t="str"/>
      <x:c r="F58" s="9" t="str">
        <x:v>待核验</x:v>
      </x:c>
      <x:c r="G58" s="13" t="str"/>
    </x:row>
    <x:row r="59" ht="44" customHeight="1">
      <x:c r="A59" s="13" t="str">
        <x:v>BND-P55</x:v>
      </x:c>
      <x:c r="B59" s="13" t="str">
        <x:v>正文段落</x:v>
      </x:c>
      <x:c r="C59" s="13" t="str">
        <x:v>提取段落P55</x:v>
      </x:c>
      <x:c r="D59" s="13" t="str">
        <x:v>《中华人民共和国未成年人保护法》：重点第四条、第七十二条。</x:v>
      </x:c>
      <x:c r="E59" s="13" t="str"/>
      <x:c r="F59" s="9" t="str">
        <x:v>待核验</x:v>
      </x:c>
      <x:c r="G59" s="13" t="str"/>
    </x:row>
    <x:row r="60" ht="44" customHeight="1">
      <x:c r="A60" s="13" t="str">
        <x:v>BND-P56</x:v>
      </x:c>
      <x:c r="B60" s="13" t="str">
        <x:v>正文段落</x:v>
      </x:c>
      <x:c r="C60" s="13" t="str">
        <x:v>提取段落P56</x:v>
      </x:c>
      <x:c r="D60" s="13" t="str">
        <x:v>《中华人民共和国民法典》：隐私权、个人信息保护相关规定。</x:v>
      </x:c>
      <x:c r="E60" s="13" t="str"/>
      <x:c r="F60" s="9" t="str">
        <x:v>待核验</x:v>
      </x:c>
      <x:c r="G60" s="13" t="str"/>
    </x:row>
    <x:row r="61" ht="44" customHeight="1">
      <x:c r="A61" s="13" t="str">
        <x:v>BND-P57</x:v>
      </x:c>
      <x:c r="B61" s="13" t="str">
        <x:v>正文段落</x:v>
      </x:c>
      <x:c r="C61" s="13" t="str">
        <x:v>提取段落P57</x:v>
      </x:c>
      <x:c r="D61" s="13" t="str">
        <x:v>《促进和规范数据跨境流动规定》。</x:v>
      </x:c>
      <x:c r="E61" s="13" t="str"/>
      <x:c r="F61" s="9" t="str">
        <x:v>待核验</x:v>
      </x:c>
      <x:c r="G61" s="13" t="str"/>
    </x:row>
    <x:row r="62" ht="44" customHeight="1">
      <x:c r="A62" s="13" t="str">
        <x:v>BND-T1R01</x:v>
      </x:c>
      <x:c r="B62" s="13" t="str">
        <x:v>表1</x:v>
      </x:c>
      <x:c r="C62" s="13" t="str">
        <x:v>表1行1</x:v>
      </x:c>
      <x:c r="D62" s="13" t="str">
        <x:v>信息/材料</x:v>
      </x:c>
      <x:c r="E62" s="13" t="str">
        <x:v>可能存疑的地方；进一步判断的具体内容</x:v>
      </x:c>
      <x:c r="F62" s="9" t="str">
        <x:v>待核验</x:v>
      </x:c>
      <x:c r="G62" s="13" t="str"/>
    </x:row>
    <x:row r="63" ht="53" customHeight="1">
      <x:c r="A63" s="13" t="str">
        <x:v>BND-T1R02</x:v>
      </x:c>
      <x:c r="B63" s="13" t="str">
        <x:v>表1</x:v>
      </x:c>
      <x:c r="C63" s="13" t="str">
        <x:v>表1行2</x:v>
      </x:c>
      <x:c r="D63" s="13" t="str">
        <x:v>医疗健康、职业病信息</x:v>
      </x:c>
      <x:c r="E63" s="13" t="str">
        <x:v>属于敏感个人信息，处理条件更严格，但劳动争议中的必要事实并非当然禁止处理；是否必要、处理基础、是否需要特殊授权、是否存在特别披露限制、能否删除无关病历细节</x:v>
      </x:c>
      <x:c r="F63" s="9" t="str">
        <x:v>待核验</x:v>
      </x:c>
      <x:c r="G63" s="13" t="str"/>
    </x:row>
    <x:row r="64" ht="53" customHeight="1">
      <x:c r="A64" s="13" t="str">
        <x:v>BND-T1R03</x:v>
      </x:c>
      <x:c r="B64" s="13" t="str">
        <x:v>表1</x:v>
      </x:c>
      <x:c r="C64" s="13" t="str">
        <x:v>表1行3</x:v>
      </x:c>
      <x:c r="D64" s="13" t="str">
        <x:v>严重传染病相关信息</x:v>
      </x:c>
      <x:c r="E64" s="13" t="str">
        <x:v>只有满足特定主体、受保护信息和当前披露行为等法律构成，才能适用明确禁止；疾病标签本身不够；是否属于患者/携带者/疑似患者，披露内容是否属于其个人隐私/个人信息</x:v>
      </x:c>
      <x:c r="F64" s="9" t="str">
        <x:v>待核验</x:v>
      </x:c>
      <x:c r="G64" s="13" t="str"/>
    </x:row>
    <x:row r="65" ht="53" customHeight="1">
      <x:c r="A65" s="13" t="str">
        <x:v>BND-T1R04</x:v>
      </x:c>
      <x:c r="B65" s="13" t="str">
        <x:v>表1</x:v>
      </x:c>
      <x:c r="C65" s="13" t="str">
        <x:v>表1行4</x:v>
      </x:c>
      <x:c r="D65" s="13" t="str">
        <x:v>商业秘密</x:v>
      </x:c>
      <x:c r="E65" s="13" t="str">
        <x:v>法律重点禁止非法获取、披露、使用及违反保密义务等行为，并非规定商业秘密绝对不得被任何第三方处理；商业秘密是否成立、保密义务内容、第三方提供权限、必要性</x:v>
      </x:c>
      <x:c r="F65" s="9" t="str">
        <x:v>待核验</x:v>
      </x:c>
      <x:c r="G65" s="13" t="str"/>
    </x:row>
    <x:row r="66" ht="53" customHeight="1">
      <x:c r="A66" s="13" t="str">
        <x:v>BND-T1R05</x:v>
      </x:c>
      <x:c r="B66" s="13" t="str">
        <x:v>表1</x:v>
      </x:c>
      <x:c r="C66" s="13" t="str">
        <x:v>表1行5</x:v>
      </x:c>
      <x:c r="D66" s="13" t="str">
        <x:v>工资、社保、银行账户等信息</x:v>
      </x:c>
      <x:c r="E66" s="13" t="str">
        <x:v>通常属于个人信息，其中部分属于敏感个人信息，但法律并非一概禁止为合法目的处理；任务必要性、合法处理基础、最小化程度、外部处理条件</x:v>
      </x:c>
      <x:c r="F66" s="9" t="str">
        <x:v>待核验</x:v>
      </x:c>
      <x:c r="G66" s="13" t="str"/>
    </x:row>
    <x:row r="67" ht="44" customHeight="1">
      <x:c r="A67" s="13" t="str">
        <x:v>BND-T1R06</x:v>
      </x:c>
      <x:c r="B67" s="13" t="str">
        <x:v>表1</x:v>
      </x:c>
      <x:c r="C67" s="13" t="str">
        <x:v>表1行6</x:v>
      </x:c>
      <x:c r="D67" s="13" t="str">
        <x:v>诉讼/仲裁材料</x:v>
      </x:c>
      <x:c r="E67" s="13" t="str">
        <x:v>案件材料存在保密规则，但查阅、复制、提供给第三方是不同法律行为；具体保密措施、授权范围、第三方角色</x:v>
      </x:c>
      <x:c r="F67" s="9" t="str">
        <x:v>待核验</x:v>
      </x:c>
      <x:c r="G67" s="13" t="str"/>
    </x:row>
    <x:row r="68" ht="53" customHeight="1">
      <x:c r="A68" s="13" t="str">
        <x:v>BND-T1R07</x:v>
      </x:c>
      <x:c r="B68" s="13" t="str">
        <x:v>表1</x:v>
      </x:c>
      <x:c r="C68" s="13" t="str">
        <x:v>表1行7</x:v>
      </x:c>
      <x:c r="D68" s="13" t="str">
        <x:v>律师执业中知悉的信息</x:v>
      </x:c>
      <x:c r="E68" s="13" t="str">
        <x:v>律师负有严格保密义务，但不能把保密义务无限扩大解释成任何技术服务商均不得接触；办案必要性、第三方身份、授权、保密安排、服务商处理条件</x:v>
      </x:c>
      <x:c r="F68" s="9" t="str">
        <x:v>待核验</x:v>
      </x:c>
      <x:c r="G68" s="13" t="str"/>
    </x:row>
    <x:row r="69" ht="44" customHeight="1">
      <x:c r="A69" s="13" t="str">
        <x:v>BND-T1R08</x:v>
      </x:c>
      <x:c r="B69" s="13" t="str">
        <x:v>表1</x:v>
      </x:c>
      <x:c r="C69" s="13" t="str">
        <x:v>表1行8</x:v>
      </x:c>
      <x:c r="D69" s="13" t="str">
        <x:v>境外AI服务</x:v>
      </x:c>
      <x:c r="E69" s="13" t="str">
        <x:v>可能产生跨境个人信息处理，但境外服务商身份本身不等于已经发生跨境传输；实际数据流向、境外访问、存储地点、适用跨境机制</x:v>
      </x:c>
      <x:c r="F69" s="9" t="str">
        <x:v>待核验</x:v>
      </x:c>
      <x:c r="G69" s="13" t="str"/>
    </x:row>
    <x:row r="70" ht="68" customHeight="1">
      <x:c r="A70" s="13" t="str">
        <x:v>BND-T1R09</x:v>
      </x:c>
      <x:c r="B70" s="13" t="str">
        <x:v>表1</x:v>
      </x:c>
      <x:c r="C70" s="13" t="str">
        <x:v>表1行9</x:v>
      </x:c>
      <x:c r="D70" s="13" t="str">
        <x:v>未成年人个人信息</x:v>
      </x:c>
      <x:c r="E70" s="13" t="str">
        <x:v>不满14周岁个人信息属于敏感个人信息，未成年人个人信息受到特殊保护，但法律并非简单规定“所有涉及未成年人信息均不得向任何第三方处理”；年龄、信息类型、处理目的、合法处理基础、是否存在特别司法/行政规则、当前第三方处理关系</x:v>
      </x:c>
      <x:c r="F70" s="9" t="str">
        <x:v>待核验</x:v>
      </x:c>
      <x:c r="G70" s="13" t="str"/>
    </x:row>
    <x:row r="71" ht="44" customHeight="1">
      <x:c r="A71" s="13" t="str">
        <x:v>BND-T2R01</x:v>
      </x:c>
      <x:c r="B71" s="13" t="str">
        <x:v>表2</x:v>
      </x:c>
      <x:c r="C71" s="13" t="str">
        <x:v>表2行1</x:v>
      </x:c>
      <x:c r="D71" s="13" t="str">
        <x:v>情形</x:v>
      </x:c>
      <x:c r="E71" s="13" t="str">
        <x:v>可能存疑的地方；人工复核的具体内容</x:v>
      </x:c>
      <x:c r="F71" s="9" t="str">
        <x:v>待核验</x:v>
      </x:c>
      <x:c r="G71" s="13" t="str"/>
    </x:row>
    <x:row r="72" ht="44" customHeight="1">
      <x:c r="A72" s="13" t="str">
        <x:v>BND-T2R02</x:v>
      </x:c>
      <x:c r="B72" s="13" t="str">
        <x:v>表2</x:v>
      </x:c>
      <x:c r="C72" s="13" t="str">
        <x:v>表2行2</x:v>
      </x:c>
      <x:c r="D72" s="13" t="str">
        <x:v>特别法是否适用无法确认</x:v>
      </x:c>
      <x:c r="E72" s="13" t="str">
        <x:v>同一事实可能同时涉及劳动法、个保法、传染病防治等规则；具体法条、适用对象、适用行为、事实是否满足构成要件</x:v>
      </x:c>
      <x:c r="F72" s="9" t="str">
        <x:v>待核验</x:v>
      </x:c>
      <x:c r="G72" s="13" t="str"/>
    </x:row>
    <x:row r="73" ht="44" customHeight="1">
      <x:c r="A73" s="13" t="str">
        <x:v>BND-T2R03</x:v>
      </x:c>
      <x:c r="B73" s="13" t="str">
        <x:v>表2</x:v>
      </x:c>
      <x:c r="C73" s="13" t="str">
        <x:v>表2行3</x:v>
      </x:c>
      <x:c r="D73" s="13" t="str">
        <x:v>处分权限不明确</x:v>
      </x:c>
      <x:c r="E73" s="13" t="str">
        <x:v>能够查看、复制案件材料不当然意味着可以向任意第三方提供；授权人、授权范围、是否包含第三方提供/委托处理、是否存在相反限制</x:v>
      </x:c>
      <x:c r="F73" s="9" t="str">
        <x:v>待核验</x:v>
      </x:c>
      <x:c r="G73" s="13" t="str"/>
    </x:row>
    <x:row r="74" ht="53" customHeight="1">
      <x:c r="A74" s="13" t="str">
        <x:v>BND-T2R04</x:v>
      </x:c>
      <x:c r="B74" s="13" t="str">
        <x:v>表2</x:v>
      </x:c>
      <x:c r="C74" s="13" t="str">
        <x:v>表2行4</x:v>
      </x:c>
      <x:c r="D74" s="13" t="str">
        <x:v>保密义务范围不明确</x:v>
      </x:c>
      <x:c r="E74" s="13" t="str">
        <x:v>存在NDA或合同保密条款，但条款可能只限制公开披露或竞争性使用；是否禁止向当前AI服务商提供、是否允许受托处理、是否有例外</x:v>
      </x:c>
      <x:c r="F74" s="9" t="str">
        <x:v>待核验</x:v>
      </x:c>
      <x:c r="G74" s="13" t="str"/>
    </x:row>
    <x:row r="75" ht="44" customHeight="1">
      <x:c r="A75" s="13" t="str">
        <x:v>BND-T2R05</x:v>
      </x:c>
      <x:c r="B75" s="13" t="str">
        <x:v>表2</x:v>
      </x:c>
      <x:c r="C75" s="13" t="str">
        <x:v>表2行5</x:v>
      </x:c>
      <x:c r="D75" s="13" t="str">
        <x:v>司法/仲裁保密措施不明确</x:v>
      </x:c>
      <x:c r="E75" s="13" t="str">
        <x:v>“不公开审理”等一般性描述无法判断是否限制当前第三方；具体决定、保密令、承诺书、限制接触/复制的范围</x:v>
      </x:c>
      <x:c r="F75" s="9" t="str">
        <x:v>待核验</x:v>
      </x:c>
      <x:c r="G75" s="13" t="str"/>
    </x:row>
    <x:row r="76" ht="44" customHeight="1">
      <x:c r="A76" s="13" t="str">
        <x:v>BND-T2R06</x:v>
      </x:c>
      <x:c r="B76" s="13" t="str">
        <x:v>表2</x:v>
      </x:c>
      <x:c r="C76" s="13" t="str">
        <x:v>表2行6</x:v>
      </x:c>
      <x:c r="D76" s="13" t="str">
        <x:v>AI服务商处理关系不明确</x:v>
      </x:c>
      <x:c r="E76" s="13" t="str">
        <x:v>委托处理与向其他处理者提供适用规则不同；服务商法律角色、处理目的、保存、训练、人工访问、再委托</x:v>
      </x:c>
      <x:c r="F76" s="9" t="str">
        <x:v>待核验</x:v>
      </x:c>
      <x:c r="G76" s="13" t="str"/>
    </x:row>
    <x:row r="77" ht="44" customHeight="1">
      <x:c r="A77" s="13" t="str">
        <x:v>BND-T2R07</x:v>
      </x:c>
      <x:c r="B77" s="13" t="str">
        <x:v>表2</x:v>
      </x:c>
      <x:c r="C77" s="13" t="str">
        <x:v>表2行7</x:v>
      </x:c>
      <x:c r="D77" s="13" t="str">
        <x:v>是否发生跨境处理无法确认</x:v>
      </x:c>
      <x:c r="E77" s="13" t="str">
        <x:v>境外公司、境外品牌不必然等于当前数据已经跨境；数据实际流向、存储和访问地点、跨境机制</x:v>
      </x:c>
      <x:c r="F77" s="9" t="str">
        <x:v>待核验</x:v>
      </x:c>
      <x:c r="G77" s="13" t="str"/>
    </x:row>
    <x:row r="78" ht="44" customHeight="1">
      <x:c r="A78" s="13" t="str">
        <x:v>BND-T2R08</x:v>
      </x:c>
      <x:c r="B78" s="13" t="str">
        <x:v>表2</x:v>
      </x:c>
      <x:c r="C78" s="13" t="str">
        <x:v>表2行8</x:v>
      </x:c>
      <x:c r="D78" s="13" t="str">
        <x:v>规则之间存在真实冲突</x:v>
      </x:c>
      <x:c r="E78" s="13" t="str">
        <x:v>不同规范可能分别约束不同主体或不同处理行为；各规范效力、适用范围、特别法关系、是否能通过最小化协调</x:v>
      </x:c>
      <x:c r="F78" s="9" t="str">
        <x:v>待核验</x:v>
      </x:c>
      <x:c r="G78" s="13" t="str"/>
    </x:row>
    <x:row r="79" ht="44" customHeight="1">
      <x:c r="A79" s="13" t="str">
        <x:v>BND-T2R09</x:v>
      </x:c>
      <x:c r="B79" s="13" t="str">
        <x:v>表2</x:v>
      </x:c>
      <x:c r="C79" s="13" t="str">
        <x:v>表2行9</x:v>
      </x:c>
      <x:c r="D79" s="13" t="str">
        <x:v>去标识化后能否重新识别无法确认</x:v>
      </x:c>
      <x:c r="E79" s="13" t="str">
        <x:v>删除姓名不代表组合信息一定无法识别；直接标识符、准标识符、组合识别风险、信息主体归属</x:v>
      </x:c>
      <x:c r="F79" s="9" t="str">
        <x:v>待核验</x:v>
      </x:c>
      <x:c r="G79" s="13" t="str"/>
    </x:row>
    <x:row r="80" ht="44" customHeight="1">
      <x:c r="A80" s="13" t="str">
        <x:v>BND-T2R10</x:v>
      </x:c>
      <x:c r="B80" s="13" t="str">
        <x:v>表2</x:v>
      </x:c>
      <x:c r="C80" s="13" t="str">
        <x:v>表2行10</x:v>
      </x:c>
      <x:c r="D80" s="13" t="str">
        <x:v>决定性事实缺失</x:v>
      </x:c>
      <x:c r="E80" s="13" t="str">
        <x:v>法律结论所需的关键事实没有出现在当前材料中；补充何种事实才能完成法律判断</x:v>
      </x:c>
      <x:c r="F80" s="9" t="str">
        <x:v>待核验</x:v>
      </x:c>
      <x:c r="G80" s="13" t="str"/>
    </x:row>
    <x:row r="81" ht="44" customHeight="1">
      <x:c r="A81" s="13" t="str">
        <x:v>BND-T2R11</x:v>
      </x:c>
      <x:c r="B81" s="13" t="str">
        <x:v>表2</x:v>
      </x:c>
      <x:c r="C81" s="13" t="str">
        <x:v>表2行11</x:v>
      </x:c>
      <x:c r="D81" s="13" t="str">
        <x:v>是否属于国家秘密无法确认</x:v>
      </x:c>
      <x:c r="E81" s="13" t="str">
        <x:v>“内部”“重要”“涉政”等标签不足以证明法定秘密属性；秘密属性、定密依据、涉密等级、当前处理环境是否满足保密要求</x:v>
      </x:c>
      <x:c r="F81" s="9" t="str">
        <x:v>待核验</x:v>
      </x:c>
      <x:c r="G81" s="13" t="str"/>
    </x:row>
    <x:row r="82" ht="44" customHeight="1">
      <x:c r="A82" s="13" t="str">
        <x:v>BND-T3R01</x:v>
      </x:c>
      <x:c r="B82" s="13" t="str">
        <x:v>表3</x:v>
      </x:c>
      <x:c r="C82" s="13" t="str">
        <x:v>表3行1</x:v>
      </x:c>
      <x:c r="D82" s="13" t="str">
        <x:v>记录项目</x:v>
      </x:c>
      <x:c r="E82" s="13" t="str">
        <x:v>最低要求</x:v>
      </x:c>
      <x:c r="F82" s="9" t="str">
        <x:v>待核验</x:v>
      </x:c>
      <x:c r="G82" s="13" t="str"/>
    </x:row>
    <x:row r="83" ht="44" customHeight="1">
      <x:c r="A83" s="13" t="str">
        <x:v>BND-T3R02</x:v>
      </x:c>
      <x:c r="B83" s="13" t="str">
        <x:v>表3</x:v>
      </x:c>
      <x:c r="C83" s="13" t="str">
        <x:v>表3行2</x:v>
      </x:c>
      <x:c r="D83" s="13" t="str">
        <x:v>待核实事项</x:v>
      </x:c>
      <x:c r="E83" s="13" t="str">
        <x:v>必须是具体法律问题或事实问题，不得只写“风险较高”</x:v>
      </x:c>
      <x:c r="F83" s="9" t="str">
        <x:v>待核验</x:v>
      </x:c>
      <x:c r="G83" s="13" t="str"/>
    </x:row>
    <x:row r="84" ht="44" customHeight="1">
      <x:c r="A84" s="13" t="str">
        <x:v>BND-T3R03</x:v>
      </x:c>
      <x:c r="B84" s="13" t="str">
        <x:v>表3</x:v>
      </x:c>
      <x:c r="C84" s="13" t="str">
        <x:v>表3行3</x:v>
      </x:c>
      <x:c r="D84" s="13" t="str">
        <x:v>法源</x:v>
      </x:c>
      <x:c r="E84" s="13" t="str">
        <x:v>名称、条款/位置、来源、版本或检索日期</x:v>
      </x:c>
      <x:c r="F84" s="9" t="str">
        <x:v>待核验</x:v>
      </x:c>
      <x:c r="G84" s="13" t="str"/>
    </x:row>
    <x:row r="85" ht="44" customHeight="1">
      <x:c r="A85" s="13" t="str">
        <x:v>BND-T3R04</x:v>
      </x:c>
      <x:c r="B85" s="13" t="str">
        <x:v>表3</x:v>
      </x:c>
      <x:c r="C85" s="13" t="str">
        <x:v>表3行4</x:v>
      </x:c>
      <x:c r="D85" s="13" t="str">
        <x:v>事实前提</x:v>
      </x:c>
      <x:c r="E85" s="13" t="str">
        <x:v>说明哪些事实已经确认、哪些尚未确认</x:v>
      </x:c>
      <x:c r="F85" s="9" t="str">
        <x:v>待核验</x:v>
      </x:c>
      <x:c r="G85" s="13" t="str"/>
    </x:row>
    <x:row r="86" ht="44" customHeight="1">
      <x:c r="A86" s="13" t="str">
        <x:v>BND-T3R05</x:v>
      </x:c>
      <x:c r="B86" s="13" t="str">
        <x:v>表3</x:v>
      </x:c>
      <x:c r="C86" s="13" t="str">
        <x:v>表3行5</x:v>
      </x:c>
      <x:c r="D86" s="13" t="str">
        <x:v>权限判断</x:v>
      </x:c>
      <x:c r="E86" s="13" t="str">
        <x:v>说明谁有权处理、谁有权向第三方提供、授权范围是什么</x:v>
      </x:c>
      <x:c r="F86" s="9" t="str">
        <x:v>待核验</x:v>
      </x:c>
      <x:c r="G86" s="13" t="str"/>
    </x:row>
    <x:row r="87" ht="44" customHeight="1">
      <x:c r="A87" s="13" t="str">
        <x:v>BND-T3R06</x:v>
      </x:c>
      <x:c r="B87" s="13" t="str">
        <x:v>表3</x:v>
      </x:c>
      <x:c r="C87" s="13" t="str">
        <x:v>表3行6</x:v>
      </x:c>
      <x:c r="D87" s="13" t="str">
        <x:v>外部处理条件</x:v>
      </x:c>
      <x:c r="E87" s="13" t="str">
        <x:v>说明服务商角色、保存、训练、人工访问、再委托及跨境情况</x:v>
      </x:c>
      <x:c r="F87" s="9" t="str">
        <x:v>待核验</x:v>
      </x:c>
      <x:c r="G87" s="13" t="str"/>
    </x:row>
    <x:row r="88" ht="44" customHeight="1">
      <x:c r="A88" s="13" t="str">
        <x:v>BND-T3R07</x:v>
      </x:c>
      <x:c r="B88" s="13" t="str">
        <x:v>表3</x:v>
      </x:c>
      <x:c r="C88" s="13" t="str">
        <x:v>表3行7</x:v>
      </x:c>
      <x:c r="D88" s="13" t="str">
        <x:v>最小化措施</x:v>
      </x:c>
      <x:c r="E88" s="13" t="str">
        <x:v>说明已删除或拟删除哪些非必要信息，以及是否足以解决限制</x:v>
      </x:c>
      <x:c r="F88" s="9" t="str">
        <x:v>待核验</x:v>
      </x:c>
      <x:c r="G88" s="13" t="str"/>
    </x:row>
    <x:row r="89" ht="44" customHeight="1">
      <x:c r="A89" s="13" t="str">
        <x:v>BND-T3R08</x:v>
      </x:c>
      <x:c r="B89" s="13" t="str">
        <x:v>表3</x:v>
      </x:c>
      <x:c r="C89" s="13" t="str">
        <x:v>表3行8</x:v>
      </x:c>
      <x:c r="D89" s="13" t="str">
        <x:v>最终依据</x:v>
      </x:c>
      <x:c r="E89" s="13" t="str">
        <x:v>说明为什么允许、为什么禁止，或者为什么仍需补充事实</x:v>
      </x:c>
      <x:c r="F89" s="9" t="str">
        <x:v>待核验</x:v>
      </x:c>
      <x:c r="G89" s="13" t="str"/>
    </x:row>
    <x:row r="90" ht="44" customHeight="1">
      <x:c r="A90" s="13" t="str">
        <x:v>BND-T3R09</x:v>
      </x:c>
      <x:c r="B90" s="13" t="str">
        <x:v>表3</x:v>
      </x:c>
      <x:c r="C90" s="13" t="str">
        <x:v>表3行9</x:v>
      </x:c>
      <x:c r="D90" s="13" t="str">
        <x:v>适用边界</x:v>
      </x:c>
      <x:c r="E90" s="13" t="str">
        <x:v>明确本结论只适用于当前案件、当前材料和当前处理方式</x:v>
      </x:c>
      <x:c r="F90" s="9" t="str">
        <x:v>待核验</x:v>
      </x:c>
      <x:c r="G90" s="13" t="str"/>
    </x:row>
    <x:row r="91" ht="44" customHeight="1">
      <x:c r="A91" s="13" t="str">
        <x:v>BND-T4R01</x:v>
      </x:c>
      <x:c r="B91" s="13" t="str">
        <x:v>表4</x:v>
      </x:c>
      <x:c r="C91" s="13" t="str">
        <x:v>表4行1</x:v>
      </x:c>
      <x:c r="D91" s="13" t="str">
        <x:v>已经确认存在明确禁止</x:v>
      </x:c>
      <x:c r="E91" s="13" t="str">
        <x:v>即法律构成已经成立，当前行为受到直接限制；阻止当前外部处理，并记录具体依据</x:v>
      </x:c>
      <x:c r="F91" s="9" t="str">
        <x:v>待核验</x:v>
      </x:c>
      <x:c r="G91" s="13" t="str"/>
    </x:row>
    <x:row r="92" ht="44" customHeight="1">
      <x:c r="A92" s="13" t="str">
        <x:v>BND-T4R02</x:v>
      </x:c>
      <x:c r="B92" s="13" t="str">
        <x:v>表4</x:v>
      </x:c>
      <x:c r="C92" s="13" t="str">
        <x:v>表4行2</x:v>
      </x:c>
      <x:c r="D92" s="13" t="str">
        <x:v>存在决定性问题但事实/依据未查清</x:v>
      </x:c>
      <x:c r="E92" s="13" t="str">
        <x:v>即目前不能合法、准确地作出允许或禁止的确定判断；暂停当前外部处理，提出具体问题交人工核实</x:v>
      </x:c>
      <x:c r="F92" s="9" t="str">
        <x:v>待核验</x:v>
      </x:c>
      <x:c r="G92" s="13" t="str"/>
    </x:row>
    <x:row r="93" ht="44" customHeight="1">
      <x:c r="A93" s="13" t="str">
        <x:v>BND-T4R03</x:v>
      </x:c>
      <x:c r="B93" s="13" t="str">
        <x:v>表4</x:v>
      </x:c>
      <x:c r="C93" s="13" t="str">
        <x:v>表4行3</x:v>
      </x:c>
      <x:c r="D93" s="13" t="str">
        <x:v>信息敏感但法律基础、权限和处理条件明确</x:v>
      </x:c>
      <x:c r="E93" s="13" t="str">
        <x:v>即敏感性本身没有形成禁止；按必要性、最小化和相应保护要求处理</x:v>
      </x:c>
      <x:c r="F93" s="9" t="str">
        <x:v>待核验</x:v>
      </x:c>
      <x:c r="G93" s="13" t="str"/>
    </x:row>
    <x:row r="94" ht="44" customHeight="1">
      <x:c r="A94" s="13" t="str">
        <x:v>BND-T4R04</x:v>
      </x:c>
      <x:c r="B94" s="13" t="str">
        <x:v>表4</x:v>
      </x:c>
      <x:c r="C94" s="13" t="str">
        <x:v>表4行4</x:v>
      </x:c>
      <x:c r="D94" s="13" t="str">
        <x:v>可以通过删除/匿名化等方式消除问题</x:v>
      </x:c>
      <x:c r="E94" s="13" t="str">
        <x:v>即原始材料存在问题，但处理后的数据可能不再落入限制范围；先处理数据，再重新进行法律判断</x:v>
      </x:c>
      <x:c r="F94" s="9" t="str">
        <x:v>待核验</x:v>
      </x:c>
      <x:c r="G94" s="13" t="str"/>
    </x:row>
    <x:row r="95" ht="44" customHeight="1">
      <x:c r="A95" s="13" t="str">
        <x:v>BND-T4R05</x:v>
      </x:c>
      <x:c r="B95" s="13" t="str">
        <x:v>表4</x:v>
      </x:c>
      <x:c r="C95" s="13" t="str">
        <x:v>表4行5</x:v>
      </x:c>
      <x:c r="D95" s="13" t="str">
        <x:v>仅有合同/服务商规则禁止</x:v>
      </x:c>
      <x:c r="E95" s="13" t="str">
        <x:v>即可能阻止当前服务调用，但性质不必然是法律禁止；停止使用该服务，并单独记录合同/业务依据</x:v>
      </x:c>
      <x:c r="F95" s="9" t="str">
        <x:v>待核验</x:v>
      </x:c>
      <x:c r="G95" s="13" t="str"/>
    </x:row>
  </x:sheetData>
  <x:mergeCells>
    <x:mergeCell ref="A1:H1"/>
    <x:mergeCell ref="A2:G2"/>
    <x:mergeCell ref="A3:G3"/>
  </x:mergeCells>
  <x:dataValidations count="1">
    <x:dataValidation type="list" sqref="F6:F95">
      <x:formula1>'标注选项'!$B$24:$B$28</x:formula1>
    </x:dataValidation>
  </x:dataValidations>
  <x:pageMargins left="0.7" right="0.7" top="0.75" bottom="0.75" header="0.3" footer="0.3"/>
  <x:legacyDrawing xmlns:r="http://schemas.openxmlformats.org/officeDocument/2006/relationships" r:id="Rb6b072ce5d76449f"/>
  <x:tableParts count="1">
    <x:tablePart xmlns:r="http://schemas.openxmlformats.org/officeDocument/2006/relationships" r:id="Rc7fd0c35288b436c"/>
  </x:tableParts>
</x:worksheet>
</file>

<file path=xl/worksheets/sheet12.xml><?xml version="1.0" encoding="utf-8"?>
<x:worksheet xmlns:x="http://schemas.openxmlformats.org/spreadsheetml/2006/main">
  <x:sheetPr>
    <x:tabColor rgb="FF89919E"/>
  </x:sheetPr>
  <x:sheetViews>
    <x:sheetView showGridLines="0" workbookViewId="0">
      <x:pane xSplit="2" ySplit="5" topLeftCell="C6" activePane="bottomRight" state="frozen"/>
    </x:sheetView>
  </x:sheetViews>
  <x:sheetFormatPr defaultRowHeight="15"/>
  <x:cols>
    <x:col min="1" max="1" width="24" hidden="0" customWidth="1"/>
    <x:col min="2" max="2" width="38" hidden="0" customWidth="1"/>
    <x:col min="3" max="3" width="38" hidden="0" customWidth="1"/>
    <x:col min="4" max="4" width="38" hidden="0" customWidth="1"/>
    <x:col min="5" max="5" width="38" hidden="0" customWidth="1"/>
    <x:col min="6" max="6" width="66" hidden="0" customWidth="1"/>
    <x:col min="7" max="7" width="58" hidden="0" customWidth="1"/>
    <x:col min="8" max="8" width="38" hidden="0" customWidth="1"/>
    <x:col min="9" max="9" width="38" hidden="0" customWidth="1"/>
    <x:col min="10" max="10" width="38" hidden="0" customWidth="1"/>
    <x:col min="11" max="11" width="38" hidden="0" customWidth="1"/>
    <x:col min="12" max="12" width="38" hidden="0" customWidth="1"/>
    <x:col min="13" max="13" width="38" hidden="0" customWidth="1"/>
    <x:col min="14" max="14" width="22" hidden="0" customWidth="1"/>
    <x:col min="15" max="15" width="38" hidden="0" customWidth="1"/>
    <x:col min="16" max="16" width="38" hidden="0" customWidth="1"/>
    <x:col min="17" max="17" width="22" hidden="0" customWidth="1"/>
    <x:col min="18" max="18" width="38" hidden="0" customWidth="1"/>
    <x:col min="19" max="19" width="22" hidden="0" customWidth="1"/>
  </x:cols>
  <x:sheetData>
    <x:row r="1" ht="38" customHeight="1">
      <x:c r="A1" s="5" t="str">
        <x:v>法源目录</x:v>
      </x:c>
      <x:c r="B1" s="5"/>
      <x:c r="C1" s="5"/>
      <x:c r="D1" s="5"/>
      <x:c r="E1" s="5"/>
      <x:c r="F1" s="5"/>
      <x:c r="G1" s="5"/>
      <x:c r="H1" s="5"/>
      <x:c r="I1" s="3"/>
      <x:c r="J1" s="3"/>
      <x:c r="K1" s="3"/>
      <x:c r="L1" s="3"/>
      <x:c r="M1" s="3"/>
      <x:c r="N1" s="3"/>
      <x:c r="O1" s="3"/>
      <x:c r="P1" s="3"/>
      <x:c r="Q1" s="3"/>
      <x:c r="R1" s="3"/>
      <x:c r="S1" s="3"/>
    </x:row>
    <x:row r="2" ht="36" customHeight="1">
      <x:c r="A2" s="6" t="str">
        <x:v>60条原目录记录完整保留；含重复法源和不同规则性质。官方链接仅对已核查项目补录。</x:v>
      </x:c>
      <x:c r="B2" s="6"/>
      <x:c r="C2" s="6"/>
      <x:c r="D2" s="6"/>
      <x:c r="E2" s="6"/>
      <x:c r="F2" s="6"/>
      <x:c r="G2" s="6"/>
      <x:c r="H2" s="6"/>
      <x:c r="I2" s="6"/>
      <x:c r="J2" s="6"/>
      <x:c r="K2" s="6"/>
      <x:c r="L2" s="6"/>
      <x:c r="M2" s="6"/>
      <x:c r="N2" s="6"/>
      <x:c r="O2" s="6"/>
      <x:c r="P2" s="6"/>
      <x:c r="Q2" s="6"/>
      <x:c r="R2" s="6"/>
      <x:c r="S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c r="M3" s="7"/>
      <x:c r="N3" s="7"/>
      <x:c r="O3" s="7"/>
      <x:c r="P3" s="7"/>
      <x:c r="Q3" s="7"/>
      <x:c r="R3" s="7"/>
      <x:c r="S3" s="7"/>
    </x:row>
    <x:row r="4" ht="44" customHeight="1">
      <x:c r="A4" s="3"/>
      <x:c r="B4" s="3"/>
      <x:c r="C4" s="3"/>
      <x:c r="D4" s="3"/>
      <x:c r="E4" s="3"/>
      <x:c r="F4" s="3"/>
      <x:c r="G4" s="3"/>
      <x:c r="H4" s="3"/>
      <x:c r="I4" s="3"/>
      <x:c r="J4" s="3"/>
      <x:c r="K4" s="3"/>
      <x:c r="L4" s="3"/>
      <x:c r="M4" s="3"/>
      <x:c r="N4" s="3"/>
      <x:c r="O4" s="3"/>
      <x:c r="P4" s="3"/>
      <x:c r="Q4" s="3"/>
      <x:c r="R4" s="3"/>
      <x:c r="S4" s="3"/>
    </x:row>
    <x:row r="5" ht="48" customHeight="1">
      <x:c r="A5" s="10" t="str">
        <x:v>法源ID</x:v>
      </x:c>
      <x:c r="B5" s="10" t="str">
        <x:v>原表行号</x:v>
      </x:c>
      <x:c r="C5" s="10" t="str">
        <x:v>法源层级（原）</x:v>
      </x:c>
      <x:c r="D5" s="10" t="str">
        <x:v>名称（原）</x:v>
      </x:c>
      <x:c r="E5" s="10" t="str">
        <x:v>条款位置（原）</x:v>
      </x:c>
      <x:c r="F5" s="10" t="str">
        <x:v>原文概括（原）</x:v>
      </x:c>
      <x:c r="G5" s="10" t="str">
        <x:v>规范内容（原）</x:v>
      </x:c>
      <x:c r="H5" s="10" t="str">
        <x:v>适用对象范围（原）</x:v>
      </x:c>
      <x:c r="I5" s="10" t="str">
        <x:v>触发条件（原）</x:v>
      </x:c>
      <x:c r="J5" s="10" t="str">
        <x:v>法律后果（原）</x:v>
      </x:c>
      <x:c r="K5" s="10" t="str">
        <x:v>人工复核（原）</x:v>
      </x:c>
      <x:c r="L5" s="10" t="str">
        <x:v>规则性质（原）</x:v>
      </x:c>
      <x:c r="M5" s="10" t="str">
        <x:v>版本修订（原）</x:v>
      </x:c>
      <x:c r="N5" s="10" t="str">
        <x:v>生效日期（原）</x:v>
      </x:c>
      <x:c r="O5" s="10" t="str">
        <x:v>官方核验入口</x:v>
      </x:c>
      <x:c r="P5" s="10" t="str">
        <x:v>核验提示</x:v>
      </x:c>
      <x:c r="Q5" s="10" t="str">
        <x:v>核验状态</x:v>
      </x:c>
      <x:c r="R5" s="10" t="str">
        <x:v>核验后条款或解释</x:v>
      </x:c>
      <x:c r="S5" s="10" t="str">
        <x:v>核验人与日期</x:v>
      </x:c>
    </x:row>
    <x:row r="6" ht="68" customHeight="1">
      <x:c r="A6" s="13" t="str">
        <x:v>LAW-001</x:v>
      </x:c>
      <x:c r="B6" s="13" t="n">
        <x:v>2</x:v>
      </x:c>
      <x:c r="C6" s="13" t="str">
        <x:v>法律</x:v>
      </x:c>
      <x:c r="D6" s="13" t="str">
        <x:v>《中华人民共和国个人信息保护法》</x:v>
      </x:c>
      <x:c r="E6" s="13" t="str">
        <x:v>第4条、第5条、第6条、第10条</x:v>
      </x:c>
      <x:c r="F6" s="13" t="str">
        <x:v>个人信息是以电子或者其他方式记录的与已识别或者可识别的自然人有关的各种信息；处理包括收集、存储、使用、加工、传输、提供、公开、删除等；处理应遵循合法、正当、必要和诚信原则并限于最小范围；不得非法传输、提供、公开他人个人信息。</x:v>
      </x:c>
      <x:c r="G6" s="13" t="str">
        <x:v>确定劳动争议诉讼材料中的姓名、联系方式、住址、身份证件号码、健康信息、金融账户、行踪等是否属于个人信息，并确定外部AI处理的基本合法性与最小化边界。</x:v>
      </x:c>
      <x:c r="H6" s="13" t="str">
        <x:v>个人信息处理者；适用于境内处理及法定境外处理情形。</x:v>
      </x:c>
      <x:c r="I6" s="13" t="str">
        <x:v>拟将劳动争议诉讼材料中的自然人信息提供给外部模型进行整理、摘要、分析。</x:v>
      </x:c>
      <x:c r="J6" s="13" t="str">
        <x:v>违反个人信息处理规则可能承担民事、行政等法律责任。</x:v>
      </x:c>
      <x:c r="K6" s="13" t="str">
        <x:v>是（处理主体、权限或合法基础不清时）</x:v>
      </x:c>
      <x:c r="L6" s="13" t="str">
        <x:v>法律规范</x:v>
      </x:c>
      <x:c r="M6" s="13" t="str">
        <x:v>2021-08-20通过；现行法</x:v>
      </x:c>
      <x:c r="N6" s="13" t="str">
        <x:v>2021-11-01</x:v>
      </x:c>
      <x:c r="O6" s="13" t="str">
        <x:v>https://www.miit.gov.cn/jgsj/zfs/fl/art/2022/art_515a4b20c12f430eab54bb4f56d89f56.html</x:v>
      </x:c>
      <x:c r="P6" s="15" t="str">
        <x:v>需核验法源版本、具体条款及本次处理行为；原文保留不表示已审核</x:v>
      </x:c>
      <x:c r="Q6" s="16" t="str">
        <x:v>待核验</x:v>
      </x:c>
      <x:c r="R6" s="15" t="str"/>
      <x:c r="S6" s="15" t="str"/>
    </x:row>
    <x:row r="7" ht="53" customHeight="1">
      <x:c r="A7" s="13" t="str">
        <x:v>LAW-002</x:v>
      </x:c>
      <x:c r="B7" s="13" t="n">
        <x:v>3</x:v>
      </x:c>
      <x:c r="C7" s="13" t="str">
        <x:v>法律</x:v>
      </x:c>
      <x:c r="D7" s="13" t="str">
        <x:v>《中华人民共和国个人信息保护法》</x:v>
      </x:c>
      <x:c r="E7" s="13" t="str">
        <x:v>第6条</x:v>
      </x:c>
      <x:c r="F7" s="13" t="str">
        <x:v>处理个人信息应当具有明确、合理的目的，并应当与处理目的直接相关，采取对个人权益影响最小的方式；收集个人信息，应当限于实现处理目的的最小范围，不得过度收集。</x:v>
      </x:c>
      <x:c r="G7" s="13" t="str">
        <x:v>外部AI调用不得把与劳动争议事实总结无关的个人信息一并发送；应围绕争议事实、证据关系和法律分析所必需的范围处理。</x:v>
      </x:c>
      <x:c r="H7" s="13" t="str">
        <x:v>个人信息处理者。</x:v>
      </x:c>
      <x:c r="I7" s="13" t="str">
        <x:v>外部调用载荷包含超出案件事实总结所需范围的信息。</x:v>
      </x:c>
      <x:c r="J7" s="13" t="str">
        <x:v>构成违法处理个人信息的判断依据之一。</x:v>
      </x:c>
      <x:c r="K7" s="13" t="str">
        <x:v>否；规则明确时自动最小化；必要性边界不清时复核</x:v>
      </x:c>
      <x:c r="L7" s="13" t="str">
        <x:v>法律规范</x:v>
      </x:c>
      <x:c r="M7" s="13" t="str">
        <x:v>同上</x:v>
      </x:c>
      <x:c r="N7" s="13" t="str">
        <x:v>2021-11-01</x:v>
      </x:c>
      <x:c r="O7" s="13" t="str">
        <x:v>https://www.miit.gov.cn/jgsj/zfs/fl/art/2022/art_515a4b20c12f430eab54bb4f56d89f56.html</x:v>
      </x:c>
      <x:c r="P7" s="15" t="str">
        <x:v>需核验法源版本、具体条款及本次处理行为；原文保留不表示已审核</x:v>
      </x:c>
      <x:c r="Q7" s="16" t="str">
        <x:v>待核验</x:v>
      </x:c>
      <x:c r="R7" s="15" t="str"/>
      <x:c r="S7" s="15" t="str"/>
    </x:row>
    <x:row r="8" ht="53" customHeight="1">
      <x:c r="A8" s="13" t="str">
        <x:v>LAW-003</x:v>
      </x:c>
      <x:c r="B8" s="13" t="n">
        <x:v>4</x:v>
      </x:c>
      <x:c r="C8" s="13" t="str">
        <x:v>法律</x:v>
      </x:c>
      <x:c r="D8" s="13" t="str">
        <x:v>《中华人民共和国个人信息保护法》</x:v>
      </x:c>
      <x:c r="E8" s="13" t="str">
        <x:v>第10条</x:v>
      </x:c>
      <x:c r="F8" s="13" t="str">
        <x:v>任何组织、个人不得非法收集、使用、加工、传输他人个人信息，不得非法买卖、提供或者公开他人个人信息。</x:v>
      </x:c>
      <x:c r="G8" s="13" t="str">
        <x:v>外部模型调用属于个人信息处理中的传输/提供环节，不能仅因信息已进入诉讼材料就当然认为可以向任意第三方提供。</x:v>
      </x:c>
      <x:c r="H8" s="13" t="str">
        <x:v>任何组织、个人；具体责任依实际处理关系判断。</x:v>
      </x:c>
      <x:c r="I8" s="13" t="str">
        <x:v>向外部AI提供个人信息且无法证明具有合法处理基础或权限。</x:v>
      </x:c>
      <x:c r="J8" s="13" t="str">
        <x:v>可能承担本法规定的法律责任。</x:v>
      </x:c>
      <x:c r="K8" s="13" t="str">
        <x:v>是</x:v>
      </x:c>
      <x:c r="L8" s="13" t="str">
        <x:v>法律规范</x:v>
      </x:c>
      <x:c r="M8" s="13" t="str">
        <x:v>同上</x:v>
      </x:c>
      <x:c r="N8" s="13" t="str">
        <x:v>2021-11-01</x:v>
      </x:c>
      <x:c r="O8" s="13" t="str">
        <x:v>https://www.miit.gov.cn/jgsj/zfs/fl/art/2022/art_515a4b20c12f430eab54bb4f56d89f56.html</x:v>
      </x:c>
      <x:c r="P8" s="15" t="str">
        <x:v>需核验法源版本、具体条款及本次处理行为；原文保留不表示已审核</x:v>
      </x:c>
      <x:c r="Q8" s="16" t="str">
        <x:v>待核验</x:v>
      </x:c>
      <x:c r="R8" s="15" t="str"/>
      <x:c r="S8" s="15" t="str"/>
    </x:row>
    <x:row r="9" ht="53" customHeight="1">
      <x:c r="A9" s="13" t="str">
        <x:v>LAW-004</x:v>
      </x:c>
      <x:c r="B9" s="13" t="n">
        <x:v>5</x:v>
      </x:c>
      <x:c r="C9" s="13" t="str">
        <x:v>法律</x:v>
      </x:c>
      <x:c r="D9" s="13" t="str">
        <x:v>《中华人民共和国个人信息保护法》</x:v>
      </x:c>
      <x:c r="E9" s="13" t="str">
        <x:v>第13条</x:v>
      </x:c>
      <x:c r="F9" s="13" t="str">
        <x:v>符合取得同意、合同必要、人力资源管理必要、履行法定义务等法定情形之一，个人信息处理者方可处理个人信息；第2至第7项情形不需取得个人同意。</x:v>
      </x:c>
      <x:c r="G9" s="13" t="str">
        <x:v>劳动争议材料的处理不能机械地以“必须取得同意”为唯一标准，应核实具体处理目的和法定处理基础；外部委托还要结合第21条。</x:v>
      </x:c>
      <x:c r="H9" s="13" t="str">
        <x:v>个人信息处理者。</x:v>
      </x:c>
      <x:c r="I9" s="13" t="str">
        <x:v>当前处理活动需要确定其法定处理基础。</x:v>
      </x:c>
      <x:c r="J9" s="13" t="str">
        <x:v>无法证明存在法定处理基础时不得继续相关处理。</x:v>
      </x:c>
      <x:c r="K9" s="13" t="str">
        <x:v>是；处理基础事实不清时</x:v>
      </x:c>
      <x:c r="L9" s="13" t="str">
        <x:v>法律规范</x:v>
      </x:c>
      <x:c r="M9" s="13" t="str">
        <x:v>同上</x:v>
      </x:c>
      <x:c r="N9" s="13" t="str">
        <x:v>2021-11-01</x:v>
      </x:c>
      <x:c r="O9" s="13" t="str">
        <x:v>https://www.miit.gov.cn/jgsj/zfs/fl/art/2022/art_515a4b20c12f430eab54bb4f56d89f56.html</x:v>
      </x:c>
      <x:c r="P9" s="15" t="str">
        <x:v>需核验法源版本、具体条款及本次处理行为；原文保留不表示已审核</x:v>
      </x:c>
      <x:c r="Q9" s="16" t="str">
        <x:v>待核验</x:v>
      </x:c>
      <x:c r="R9" s="15" t="str"/>
      <x:c r="S9" s="15" t="str"/>
    </x:row>
    <x:row r="10" ht="53" customHeight="1">
      <x:c r="A10" s="13" t="str">
        <x:v>LAW-005</x:v>
      </x:c>
      <x:c r="B10" s="13" t="n">
        <x:v>6</x:v>
      </x:c>
      <x:c r="C10" s="13" t="str">
        <x:v>法律</x:v>
      </x:c>
      <x:c r="D10" s="13" t="str">
        <x:v>《中华人民共和国个人信息保护法》</x:v>
      </x:c>
      <x:c r="E10" s="13" t="str">
        <x:v>第21条</x:v>
      </x:c>
      <x:c r="F10" s="13" t="str">
        <x:v>个人信息处理者委托处理个人信息的，应当与受托人约定委托处理的目的、期限、处理方式、个人信息的种类、保护措施以及双方的权利和义务等，并对受托人的个人信息处理活动进行监督。</x:v>
      </x:c>
      <x:c r="G10" s="13" t="str">
        <x:v>如果外部AI供应商构成受托处理，应核实委托关系、合同、处理目的、期限、方式、信息种类和保护措施；不能把“有API”本身等同于满足委托处理要求。</x:v>
      </x:c>
      <x:c r="H10" s="13" t="str">
        <x:v>个人信息处理者与受托人。</x:v>
      </x:c>
      <x:c r="I10" s="13" t="str">
        <x:v>律所/客户将诉讼材料交给外部模型服务商处理。</x:v>
      </x:c>
      <x:c r="J10" s="13" t="str">
        <x:v>未履行委托处理规则可能产生合规责任。</x:v>
      </x:c>
      <x:c r="K10" s="13" t="str">
        <x:v>是；供应商角色、合同和处理条款不明确时</x:v>
      </x:c>
      <x:c r="L10" s="13" t="str">
        <x:v>法律规范</x:v>
      </x:c>
      <x:c r="M10" s="13" t="str">
        <x:v>同上</x:v>
      </x:c>
      <x:c r="N10" s="13" t="str">
        <x:v>2021-11-01</x:v>
      </x:c>
      <x:c r="O10" s="13" t="str">
        <x:v>https://www.miit.gov.cn/jgsj/zfs/fl/art/2022/art_515a4b20c12f430eab54bb4f56d89f56.html</x:v>
      </x:c>
      <x:c r="P10" s="15" t="str">
        <x:v>需核验法源版本、具体条款及本次处理行为；原文保留不表示已审核</x:v>
      </x:c>
      <x:c r="Q10" s="16" t="str">
        <x:v>待核验</x:v>
      </x:c>
      <x:c r="R10" s="15" t="str"/>
      <x:c r="S10" s="15" t="str"/>
    </x:row>
    <x:row r="11" ht="53" customHeight="1">
      <x:c r="A11" s="13" t="str">
        <x:v>LAW-006</x:v>
      </x:c>
      <x:c r="B11" s="13" t="n">
        <x:v>7</x:v>
      </x:c>
      <x:c r="C11" s="13" t="str">
        <x:v>法律</x:v>
      </x:c>
      <x:c r="D11" s="13" t="str">
        <x:v>《中华人民共和国个人信息保护法》</x:v>
      </x:c>
      <x:c r="E11" s="13" t="str">
        <x:v>第23条</x:v>
      </x:c>
      <x:c r="F11" s="13" t="str">
        <x:v>个人信息处理者向其他个人信息处理者提供个人信息，应告知接收方、处理目的、处理方式和个人信息种类，并依法取得单独同意，法律另有规定的除外。</x:v>
      </x:c>
      <x:c r="G11" s="13" t="str">
        <x:v>如果外部AI服务商属于独立个人信息处理者而非受托人，应进一步判断第23条的提供规则；不能仅凭技术接口确定法律关系。</x:v>
      </x:c>
      <x:c r="H11" s="13" t="str">
        <x:v>个人信息处理者向其他个人信息处理者提供个人信息的情形。</x:v>
      </x:c>
      <x:c r="I11" s="13" t="str">
        <x:v>接收方法律身份无法确认，或提供行为不属于委托处理。</x:v>
      </x:c>
      <x:c r="J11" s="13" t="str">
        <x:v>未满足第23条条件的，不得继续该提供行为。</x:v>
      </x:c>
      <x:c r="K11" s="13" t="str">
        <x:v>是</x:v>
      </x:c>
      <x:c r="L11" s="13" t="str">
        <x:v>法律规范</x:v>
      </x:c>
      <x:c r="M11" s="13" t="str">
        <x:v>同上</x:v>
      </x:c>
      <x:c r="N11" s="13" t="str">
        <x:v>2021-11-01</x:v>
      </x:c>
      <x:c r="O11" s="13" t="str">
        <x:v>https://www.miit.gov.cn/jgsj/zfs/fl/art/2022/art_515a4b20c12f430eab54bb4f56d89f56.html</x:v>
      </x:c>
      <x:c r="P11" s="15" t="str">
        <x:v>需核验法源版本、具体条款及本次处理行为；原文保留不表示已审核</x:v>
      </x:c>
      <x:c r="Q11" s="16" t="str">
        <x:v>待核验</x:v>
      </x:c>
      <x:c r="R11" s="15" t="str"/>
      <x:c r="S11" s="15" t="str"/>
    </x:row>
    <x:row r="12" ht="53" customHeight="1">
      <x:c r="A12" s="13" t="str">
        <x:v>LAW-007</x:v>
      </x:c>
      <x:c r="B12" s="13" t="n">
        <x:v>8</x:v>
      </x:c>
      <x:c r="C12" s="13" t="str">
        <x:v>法律</x:v>
      </x:c>
      <x:c r="D12" s="13" t="str">
        <x:v>《中华人民共和国个人信息保护法》</x:v>
      </x:c>
      <x:c r="E12" s="13" t="str">
        <x:v>第28条</x:v>
      </x:c>
      <x:c r="F12" s="13" t="str">
        <x:v>敏感个人信息包括生物识别、宗教信仰、特定身份、医疗健康、金融账户、行踪轨迹等，以及不满十四周岁未成年人的个人信息；只有在具有特定目的和充分必要性并采取严格保护措施的情形下方可处理。</x:v>
      </x:c>
      <x:c r="G12" s="13" t="str">
        <x:v>工资银行卡号、医疗健康、指纹/人脸考勤、精确行踪等在劳动争议材料中出现时，应按敏感个人信息处理；“敏感”本身不等于当然禁止外部处理。</x:v>
      </x:c>
      <x:c r="H12" s="13" t="str">
        <x:v>处理敏感个人信息的个人信息处理者。</x:v>
      </x:c>
      <x:c r="I12" s="13" t="str">
        <x:v>材料包含健康、金融账户、生物识别、精确行踪、不满14周岁信息等。</x:v>
      </x:c>
      <x:c r="J12" s="13" t="str">
        <x:v>不满足特定目的、充分必要性或严格保护措施的，不应继续处理。</x:v>
      </x:c>
      <x:c r="K12" s="13" t="str">
        <x:v>否；条件明确且可满足时直接处理；条件不明时复核</x:v>
      </x:c>
      <x:c r="L12" s="13" t="str">
        <x:v>法律规范</x:v>
      </x:c>
      <x:c r="M12" s="13" t="str">
        <x:v>同上</x:v>
      </x:c>
      <x:c r="N12" s="13" t="str">
        <x:v>2021-11-01</x:v>
      </x:c>
      <x:c r="O12" s="13" t="str">
        <x:v>https://www.miit.gov.cn/jgsj/zfs/fl/art/2022/art_515a4b20c12f430eab54bb4f56d89f56.html</x:v>
      </x:c>
      <x:c r="P12" s="15" t="str">
        <x:v>需核验法源版本、具体条款及本次处理行为；原文保留不表示已审核</x:v>
      </x:c>
      <x:c r="Q12" s="16" t="str">
        <x:v>待核验</x:v>
      </x:c>
      <x:c r="R12" s="15" t="str"/>
      <x:c r="S12" s="15" t="str"/>
    </x:row>
    <x:row r="13" ht="53" customHeight="1">
      <x:c r="A13" s="13" t="str">
        <x:v>LAW-008</x:v>
      </x:c>
      <x:c r="B13" s="13" t="n">
        <x:v>9</x:v>
      </x:c>
      <x:c r="C13" s="13" t="str">
        <x:v>法律</x:v>
      </x:c>
      <x:c r="D13" s="13" t="str">
        <x:v>《中华人民共和国个人信息保护法》</x:v>
      </x:c>
      <x:c r="E13" s="13" t="str">
        <x:v>第29条</x:v>
      </x:c>
      <x:c r="F13" s="13" t="str">
        <x:v>处理敏感个人信息应当取得个人的单独同意；法律、行政法规规定处理敏感个人信息应当取得书面同意的，从其规定。</x:v>
      </x:c>
      <x:c r="G13" s="13" t="str">
        <x:v>敏感信息不是自动L4；先判断第13条等法定不需同意情形及其他法律规定，再决定是否需要同意及进一步处置。</x:v>
      </x:c>
      <x:c r="H13" s="13" t="str">
        <x:v>处理敏感个人信息的个人信息处理者。</x:v>
      </x:c>
      <x:c r="I13" s="13" t="str">
        <x:v>材料含敏感个人信息且处理基础不属于法定免同意情形。</x:v>
      </x:c>
      <x:c r="J13" s="13" t="str">
        <x:v>未满足必要的同意/法定基础时不得继续相关处理。</x:v>
      </x:c>
      <x:c r="K13" s="13" t="str">
        <x:v>是；需要判断是否存在法定免同意情形</x:v>
      </x:c>
      <x:c r="L13" s="13" t="str">
        <x:v>法律规范</x:v>
      </x:c>
      <x:c r="M13" s="13" t="str">
        <x:v>同上</x:v>
      </x:c>
      <x:c r="N13" s="13" t="str">
        <x:v>2021-11-01</x:v>
      </x:c>
      <x:c r="O13" s="13" t="str">
        <x:v>https://www.miit.gov.cn/jgsj/zfs/fl/art/2022/art_515a4b20c12f430eab54bb4f56d89f56.html</x:v>
      </x:c>
      <x:c r="P13" s="15" t="str">
        <x:v>需核验法源版本、具体条款及本次处理行为；原文保留不表示已审核</x:v>
      </x:c>
      <x:c r="Q13" s="16" t="str">
        <x:v>待核验</x:v>
      </x:c>
      <x:c r="R13" s="15" t="str"/>
      <x:c r="S13" s="15" t="str"/>
    </x:row>
    <x:row r="14" ht="53" customHeight="1">
      <x:c r="A14" s="13" t="str">
        <x:v>LAW-009</x:v>
      </x:c>
      <x:c r="B14" s="13" t="n">
        <x:v>10</x:v>
      </x:c>
      <x:c r="C14" s="13" t="str">
        <x:v>法律</x:v>
      </x:c>
      <x:c r="D14" s="13" t="str">
        <x:v>《中华人民共和国个人信息保护法》</x:v>
      </x:c>
      <x:c r="E14" s="13" t="str">
        <x:v>第31条</x:v>
      </x:c>
      <x:c r="F14" s="13" t="str">
        <x:v>个人信息处理者处理不满十四周岁未成年人个人信息的，应当取得未成年人的父母或者其他监护人的同意。</x:v>
      </x:c>
      <x:c r="G14" s="13" t="str">
        <x:v>劳动争议材料如涉及不满14周岁的子女、亲属或其他相关人员，应单独识别其特殊规则。</x:v>
      </x:c>
      <x:c r="H14" s="13" t="str">
        <x:v>处理不满14周岁未成年人个人信息的处理者。</x:v>
      </x:c>
      <x:c r="I14" s="13" t="str">
        <x:v>材料中出现不满14周岁人员的个人信息。</x:v>
      </x:c>
      <x:c r="J14" s="13" t="str">
        <x:v>不满足特别处理条件时不得继续相关处理。</x:v>
      </x:c>
      <x:c r="K14" s="13" t="str">
        <x:v>是；年龄和监护授权事实不明确时</x:v>
      </x:c>
      <x:c r="L14" s="13" t="str">
        <x:v>法律规范</x:v>
      </x:c>
      <x:c r="M14" s="13" t="str">
        <x:v>同上</x:v>
      </x:c>
      <x:c r="N14" s="13" t="str">
        <x:v>2021-11-01</x:v>
      </x:c>
      <x:c r="O14" s="13" t="str">
        <x:v>https://www.miit.gov.cn/jgsj/zfs/fl/art/2022/art_515a4b20c12f430eab54bb4f56d89f56.html</x:v>
      </x:c>
      <x:c r="P14" s="15" t="str">
        <x:v>需核验法源版本、具体条款及本次处理行为；原文保留不表示已审核</x:v>
      </x:c>
      <x:c r="Q14" s="16" t="str">
        <x:v>待核验</x:v>
      </x:c>
      <x:c r="R14" s="15" t="str"/>
      <x:c r="S14" s="15" t="str"/>
    </x:row>
    <x:row r="15" ht="53" customHeight="1">
      <x:c r="A15" s="13" t="str">
        <x:v>LAW-010</x:v>
      </x:c>
      <x:c r="B15" s="13" t="n">
        <x:v>11</x:v>
      </x:c>
      <x:c r="C15" s="13" t="str">
        <x:v>法律</x:v>
      </x:c>
      <x:c r="D15" s="13" t="str">
        <x:v>《中华人民共和国个人信息保护法》</x:v>
      </x:c>
      <x:c r="E15" s="13" t="str">
        <x:v>第38条</x:v>
      </x:c>
      <x:c r="F15" s="13" t="str">
        <x:v>向境外提供个人信息应符合法定跨境提供条件。</x:v>
      </x:c>
      <x:c r="G15" s="13" t="str">
        <x:v>只有实际发生跨境提供时才触发，不以“使用境外品牌/模型”这一名称本身直接推定跨境。</x:v>
      </x:c>
      <x:c r="H15" s="13" t="str">
        <x:v>向境外提供个人信息的处理者等。</x:v>
      </x:c>
      <x:c r="I15" s="13" t="str">
        <x:v>数据实际出境、境外接收方参与处理或其他法定跨境情形。</x:v>
      </x:c>
      <x:c r="J15" s="13" t="str">
        <x:v>未满足跨境条件不得继续出境处理。</x:v>
      </x:c>
      <x:c r="K15" s="13" t="str">
        <x:v>是；数据流向、境外接收方和适用机制不明确时</x:v>
      </x:c>
      <x:c r="L15" s="13" t="str">
        <x:v>法律规范</x:v>
      </x:c>
      <x:c r="M15" s="13" t="str">
        <x:v>同上</x:v>
      </x:c>
      <x:c r="N15" s="13" t="str">
        <x:v>2021-11-01</x:v>
      </x:c>
      <x:c r="O15" s="13" t="str">
        <x:v>https://www.miit.gov.cn/jgsj/zfs/fl/art/2022/art_515a4b20c12f430eab54bb4f56d89f56.html</x:v>
      </x:c>
      <x:c r="P15" s="15" t="str">
        <x:v>需核验法源版本、具体条款及本次处理行为；原文保留不表示已审核</x:v>
      </x:c>
      <x:c r="Q15" s="16" t="str">
        <x:v>待核验</x:v>
      </x:c>
      <x:c r="R15" s="15" t="str"/>
      <x:c r="S15" s="15" t="str"/>
    </x:row>
    <x:row r="16" ht="53" customHeight="1">
      <x:c r="A16" s="13" t="str">
        <x:v>LAW-011</x:v>
      </x:c>
      <x:c r="B16" s="13" t="n">
        <x:v>12</x:v>
      </x:c>
      <x:c r="C16" s="13" t="str">
        <x:v>法律</x:v>
      </x:c>
      <x:c r="D16" s="13" t="str">
        <x:v>《中华人民共和国个人信息保护法》</x:v>
      </x:c>
      <x:c r="E16" s="13" t="str">
        <x:v>第55条</x:v>
      </x:c>
      <x:c r="F16" s="13" t="str">
        <x:v>处理敏感个人信息、委托处理、向其他处理者提供、公开个人信息、跨境提供等情形依法应事前进行个人信息保护影响评估并记录。</x:v>
      </x:c>
      <x:c r="G16" s="13" t="str">
        <x:v>作为外部AI调用的合规前置核验点；该条本身不是单独的“禁止外发”条款。</x:v>
      </x:c>
      <x:c r="H16" s="13" t="str">
        <x:v>依法承担个人信息保护影响评估义务的个人信息处理者。</x:v>
      </x:c>
      <x:c r="I16" s="13" t="str">
        <x:v>外部调用落入第55条列举的处理活动。</x:v>
      </x:c>
      <x:c r="J16" s="13" t="str">
        <x:v>未按规定开展影响评估可能产生合规责任。</x:v>
      </x:c>
      <x:c r="K16" s="13" t="str">
        <x:v>是；是否触发及是否完成评估不明确时</x:v>
      </x:c>
      <x:c r="L16" s="13" t="str">
        <x:v>法律规范</x:v>
      </x:c>
      <x:c r="M16" s="13" t="str">
        <x:v>同上</x:v>
      </x:c>
      <x:c r="N16" s="13" t="str">
        <x:v>2021-11-01</x:v>
      </x:c>
      <x:c r="O16" s="13" t="str">
        <x:v>https://www.miit.gov.cn/jgsj/zfs/fl/art/2022/art_515a4b20c12f430eab54bb4f56d89f56.html</x:v>
      </x:c>
      <x:c r="P16" s="15" t="str">
        <x:v>需核验法源版本、具体条款及本次处理行为；原文保留不表示已审核</x:v>
      </x:c>
      <x:c r="Q16" s="16" t="str">
        <x:v>待核验</x:v>
      </x:c>
      <x:c r="R16" s="15" t="str"/>
      <x:c r="S16" s="15" t="str"/>
    </x:row>
    <x:row r="17" ht="53" customHeight="1">
      <x:c r="A17" s="13" t="str">
        <x:v>LAW-012</x:v>
      </x:c>
      <x:c r="B17" s="13" t="n">
        <x:v>13</x:v>
      </x:c>
      <x:c r="C17" s="13" t="str">
        <x:v>法律</x:v>
      </x:c>
      <x:c r="D17" s="13" t="str">
        <x:v>《中华人民共和国民法典》</x:v>
      </x:c>
      <x:c r="E17" s="13" t="str">
        <x:v>第1032条、第1033条</x:v>
      </x:c>
      <x:c r="F17" s="13" t="str">
        <x:v>自然人享有隐私权；任何组织或者个人不得以刺探、侵扰、泄露、公开等方式侵害隐私；除法律另有规定或者权利人明确同意外，不得处理他人的私密信息等。</x:v>
      </x:c>
      <x:c r="G17" s="13" t="str">
        <x:v>劳动争议材料中的家庭、私生活、私密沟通等内容可能同时涉及隐私权；进入诉讼材料不当然失去隐私保护。</x:v>
      </x:c>
      <x:c r="H17" s="13" t="str">
        <x:v>任何组织、个人。</x:v>
      </x:c>
      <x:c r="I17" s="13" t="str">
        <x:v>外部AI处理私密信息且不存在法律依据或权利人明确同意等例外。</x:v>
      </x:c>
      <x:c r="J17" s="13" t="str">
        <x:v>可能构成侵害隐私权并承担民事责任。</x:v>
      </x:c>
      <x:c r="K17" s="13" t="str">
        <x:v>是；私密信息范围、必要性和依据不清时</x:v>
      </x:c>
      <x:c r="L17" s="13" t="str">
        <x:v>法律规范</x:v>
      </x:c>
      <x:c r="M17" s="13" t="str">
        <x:v>2020-05-28通过；2021-01-01施行</x:v>
      </x:c>
      <x:c r="N17" s="13" t="str">
        <x:v>2021-01-01</x:v>
      </x:c>
      <x:c r="O17" s="13" t="str"/>
      <x:c r="P17" s="15" t="str">
        <x:v>需核验法源版本、具体条款及本次处理行为；原文保留不表示已审核</x:v>
      </x:c>
      <x:c r="Q17" s="16" t="str">
        <x:v>待核验</x:v>
      </x:c>
      <x:c r="R17" s="15" t="str"/>
      <x:c r="S17" s="15" t="str"/>
    </x:row>
    <x:row r="18" ht="44" customHeight="1">
      <x:c r="A18" s="13" t="str">
        <x:v>LAW-013</x:v>
      </x:c>
      <x:c r="B18" s="13" t="n">
        <x:v>14</x:v>
      </x:c>
      <x:c r="C18" s="13" t="str">
        <x:v>法律</x:v>
      </x:c>
      <x:c r="D18" s="13" t="str">
        <x:v>《中华人民共和国民法典》</x:v>
      </x:c>
      <x:c r="E18" s="13" t="str">
        <x:v>第1034条</x:v>
      </x:c>
      <x:c r="F18" s="13" t="str">
        <x:v>自然人的个人信息受法律保护；个人信息包括姓名、出生日期、身份证件号码、住址、电话号码、电子邮箱、健康信息、行踪信息等。</x:v>
      </x:c>
      <x:c r="G18" s="13" t="str">
        <x:v>作为劳动争议诉讼材料个人信息类型识别的基础条款，与个人信息保护法共同使用。</x:v>
      </x:c>
      <x:c r="H18" s="13" t="str">
        <x:v>任何组织、个人。</x:v>
      </x:c>
      <x:c r="I18" s="13" t="str">
        <x:v>材料出现可识别自然人的上述信息。</x:v>
      </x:c>
      <x:c r="J18" s="13" t="str">
        <x:v>按个人信息保护规则处理。</x:v>
      </x:c>
      <x:c r="K18" s="13" t="str">
        <x:v>否；类型识别明确时直接映射</x:v>
      </x:c>
      <x:c r="L18" s="13" t="str">
        <x:v>法律规范</x:v>
      </x:c>
      <x:c r="M18" s="13" t="str">
        <x:v>同上</x:v>
      </x:c>
      <x:c r="N18" s="13" t="str">
        <x:v>2021-01-01</x:v>
      </x:c>
      <x:c r="O18" s="13" t="str"/>
      <x:c r="P18" s="15" t="str">
        <x:v>需核验法源版本、具体条款及本次处理行为；原文保留不表示已审核</x:v>
      </x:c>
      <x:c r="Q18" s="16" t="str">
        <x:v>待核验</x:v>
      </x:c>
      <x:c r="R18" s="15" t="str"/>
      <x:c r="S18" s="15" t="str"/>
    </x:row>
    <x:row r="19" ht="53" customHeight="1">
      <x:c r="A19" s="13" t="str">
        <x:v>LAW-014</x:v>
      </x:c>
      <x:c r="B19" s="13" t="n">
        <x:v>15</x:v>
      </x:c>
      <x:c r="C19" s="13" t="str">
        <x:v>法律</x:v>
      </x:c>
      <x:c r="D19" s="13" t="str">
        <x:v>《中华人民共和国律师法》</x:v>
      </x:c>
      <x:c r="E19" s="13" t="str">
        <x:v>第38条</x:v>
      </x:c>
      <x:c r="F19" s="13" t="str">
        <x:v>律师应当保守执业活动中知悉的国家秘密、商业秘密，不得泄露当事人的隐私；对委托人和其他人不愿泄露的情况和信息，应当保密，但法定例外除外。</x:v>
      </x:c>
      <x:c r="G19" s="13" t="str">
        <x:v>律师保密义务是执业规范依据，但不能直接推导为任何第三方技术服务一律禁止；应结合具体保密对象、授权、必要性和处理关系判断。</x:v>
      </x:c>
      <x:c r="H19" s="13" t="str">
        <x:v>律师、律师事务所执业活动。</x:v>
      </x:c>
      <x:c r="I19" s="13" t="str">
        <x:v>材料含国家秘密、商业秘密、当事人隐私或其他明确不愿披露的信息。</x:v>
      </x:c>
      <x:c r="J19" s="13" t="str">
        <x:v>违反律师保密义务可依法承担相应责任。</x:v>
      </x:c>
      <x:c r="K19" s="13" t="str">
        <x:v>是；具体保密义务或授权不清时</x:v>
      </x:c>
      <x:c r="L19" s="13" t="str">
        <x:v>法律规范</x:v>
      </x:c>
      <x:c r="M19" s="13" t="str">
        <x:v>现行文本</x:v>
      </x:c>
      <x:c r="N19" s="13" t="str">
        <x:v>2008-06-01</x:v>
      </x:c>
      <x:c r="O19" s="13" t="str">
        <x:v>https://www.xinhuanet.com/politics/20260828/1dfbd0eeae8745b6a6960c9891e33f69/c.html</x:v>
      </x:c>
      <x:c r="P19" s="15" t="str">
        <x:v>原律师法第38条版本待更新；根据2026修法条次顺延推定为第41条，须复核整编法条，见FB-003</x:v>
      </x:c>
      <x:c r="Q19" s="16" t="str">
        <x:v>待核验</x:v>
      </x:c>
      <x:c r="R19" s="15" t="str"/>
      <x:c r="S19" s="15" t="str"/>
    </x:row>
    <x:row r="20" ht="53" customHeight="1">
      <x:c r="A20" s="13" t="str">
        <x:v>LAW-015</x:v>
      </x:c>
      <x:c r="B20" s="13" t="n">
        <x:v>16</x:v>
      </x:c>
      <x:c r="C20" s="13" t="str">
        <x:v>法律</x:v>
      </x:c>
      <x:c r="D20" s="13" t="str">
        <x:v>《中华人民共和国反不正当竞争法》</x:v>
      </x:c>
      <x:c r="E20" s="13" t="str">
        <x:v>第10条</x:v>
      </x:c>
      <x:c r="F20" s="13" t="str">
        <x:v>不得以不正当手段获取商业秘密，不得披露、使用或者允许他人使用；违反保密义务或权利人有关保密要求而披露、使用也属于禁止行为；商业秘密须具备非公知、商业价值和保密措施。</x:v>
      </x:c>
      <x:c r="G20" s="13" t="str">
        <x:v>劳动争议中的竞业限制、保密协议、客户名单、技术信息等不能仅凭“商业秘密”标签直接判定禁止外发；需确认商业秘密属性及第三方提供权限。</x:v>
      </x:c>
      <x:c r="H20" s="13" t="str">
        <x:v>经营者及实施相关侵害行为的其他自然人、法人和非法人组织。</x:v>
      </x:c>
      <x:c r="I20" s="13" t="str">
        <x:v>确认属于商业秘密且外部处理落入违法获取、披露、使用或允许他人使用。</x:v>
      </x:c>
      <x:c r="J20" s="13" t="str">
        <x:v>可能承担民事、行政等法律责任。</x:v>
      </x:c>
      <x:c r="K20" s="13" t="str">
        <x:v>是；商业秘密属性、保密措施、第三方权限不明时</x:v>
      </x:c>
      <x:c r="L20" s="13" t="str">
        <x:v>法律规范</x:v>
      </x:c>
      <x:c r="M20" s="13" t="str">
        <x:v>2025-06-27修订</x:v>
      </x:c>
      <x:c r="N20" s="13" t="str">
        <x:v>2025-10-15</x:v>
      </x:c>
      <x:c r="O20" s="13" t="str"/>
      <x:c r="P20" s="15" t="str">
        <x:v>需核验法源版本、具体条款及本次处理行为；原文保留不表示已审核</x:v>
      </x:c>
      <x:c r="Q20" s="16" t="str">
        <x:v>待核验</x:v>
      </x:c>
      <x:c r="R20" s="15" t="str"/>
      <x:c r="S20" s="15" t="str"/>
    </x:row>
    <x:row r="21" ht="53" customHeight="1">
      <x:c r="A21" s="13" t="str">
        <x:v>LAW-016</x:v>
      </x:c>
      <x:c r="B21" s="13" t="n">
        <x:v>17</x:v>
      </x:c>
      <x:c r="C21" s="13" t="str">
        <x:v>法律</x:v>
      </x:c>
      <x:c r="D21" s="13" t="str">
        <x:v>《中华人民共和国劳动争议调解仲裁法》</x:v>
      </x:c>
      <x:c r="E21" s="13" t="str">
        <x:v>第26条</x:v>
      </x:c>
      <x:c r="F21" s="13" t="str">
        <x:v>劳动争议仲裁公开进行，但当事人协议不公开进行或者涉及国家秘密、商业秘密和个人隐私的除外。</x:v>
      </x:c>
      <x:c r="G21" s="13" t="str">
        <x:v>仲裁不公开不等于诉讼材料当然禁止交给外部AI；该条首先规定仲裁审理公开性的例外，应与具体保密义务、材料来源和第三方处理权限结合判断。</x:v>
      </x:c>
      <x:c r="H21" s="13" t="str">
        <x:v>劳动争议仲裁参与主体及仲裁程序。</x:v>
      </x:c>
      <x:c r="I21" s="13" t="str">
        <x:v>仲裁案件涉及国家秘密、商业秘密、个人隐私或当事人协议不公开。</x:v>
      </x:c>
      <x:c r="J21" s="13" t="str">
        <x:v>仲裁庭依法不公开审理。</x:v>
      </x:c>
      <x:c r="K21" s="13" t="str">
        <x:v>否；仅凭“不公开仲裁”不得自动L3/L4</x:v>
      </x:c>
      <x:c r="L21" s="13" t="str">
        <x:v>法律规范</x:v>
      </x:c>
      <x:c r="M21" s="13" t="str">
        <x:v>现行文本</x:v>
      </x:c>
      <x:c r="N21" s="13" t="str">
        <x:v>2008-05-01</x:v>
      </x:c>
      <x:c r="O21" s="13" t="str"/>
      <x:c r="P21" s="15" t="str">
        <x:v>需核验法源版本、具体条款及本次处理行为；原文保留不表示已审核</x:v>
      </x:c>
      <x:c r="Q21" s="16" t="str">
        <x:v>待核验</x:v>
      </x:c>
      <x:c r="R21" s="15" t="str"/>
      <x:c r="S21" s="15" t="str"/>
    </x:row>
    <x:row r="22" ht="68" customHeight="1">
      <x:c r="A22" s="13" t="str">
        <x:v>LAW-017</x:v>
      </x:c>
      <x:c r="B22" s="13" t="n">
        <x:v>18</x:v>
      </x:c>
      <x:c r="C22" s="13" t="str">
        <x:v>部门规章</x:v>
      </x:c>
      <x:c r="D22" s="13" t="str">
        <x:v>《劳动人事争议仲裁办案规则》</x:v>
      </x:c>
      <x:c r="E22" s="13" t="str">
        <x:v>第22条、第23条、第25条</x:v>
      </x:c>
      <x:c r="F22" s="13" t="str">
        <x:v>正卷包括仲裁申请书、答辩书、身份证明、授权委托书、调查证据、证据材料、庭审笔录、裁决书等；当事人及代理人依法查阅、复制正卷；涉及国家秘密、军事秘密按保密规定；涉及商业秘密和个人隐私并书面申请的，不公开审理。</x:v>
      </x:c>
      <x:c r="G22" s="13" t="str">
        <x:v>用于确定劳动争议仲裁材料的典型构成，以及区分“依法查阅复制”与“向外部第三方提供”不是同一权限。</x:v>
      </x:c>
      <x:c r="H22" s="13" t="str">
        <x:v>劳动人事争议仲裁委员会、当事人及代理人。</x:v>
      </x:c>
      <x:c r="I22" s="13" t="str">
        <x:v>材料来源于仲裁案卷；需要判断第三方处理权限。</x:v>
      </x:c>
      <x:c r="J22" s="13" t="str">
        <x:v>违反特定保密规则时依法承担相应责任。</x:v>
      </x:c>
      <x:c r="K22" s="13" t="str">
        <x:v>是；取得权限与第三方提供权限不一致或不明确时</x:v>
      </x:c>
      <x:c r="L22" s="13" t="str">
        <x:v>法律规范</x:v>
      </x:c>
      <x:c r="M22" s="13" t="str">
        <x:v>人社部令第33号；2017年修订</x:v>
      </x:c>
      <x:c r="N22" s="13" t="str">
        <x:v>2017-07-01</x:v>
      </x:c>
      <x:c r="O22" s="13" t="str"/>
      <x:c r="P22" s="15" t="str">
        <x:v>需核验法源版本、具体条款及本次处理行为；原文保留不表示已审核</x:v>
      </x:c>
      <x:c r="Q22" s="16" t="str">
        <x:v>待核验</x:v>
      </x:c>
      <x:c r="R22" s="15" t="str"/>
      <x:c r="S22" s="15" t="str"/>
    </x:row>
    <x:row r="23" ht="53" customHeight="1">
      <x:c r="A23" s="13" t="str">
        <x:v>LAW-018</x:v>
      </x:c>
      <x:c r="B23" s="13" t="n">
        <x:v>19</x:v>
      </x:c>
      <x:c r="C23" s="13" t="str">
        <x:v>法律</x:v>
      </x:c>
      <x:c r="D23" s="13" t="str">
        <x:v>《中华人民共和国劳动合同法》</x:v>
      </x:c>
      <x:c r="E23" s="13" t="str">
        <x:v>第23条、第24条</x:v>
      </x:c>
      <x:c r="F23" s="13" t="str">
        <x:v>劳动合同可以约定保守商业秘密和知识产权相关保密事项；对负有保密义务的劳动者可以约定竞业限制；竞业限制人员限于高级管理人员、高级技术人员和其他负有保密义务人员。</x:v>
      </x:c>
      <x:c r="G23" s="13" t="str">
        <x:v>劳动争议中保密协议、竞业限制材料应进入商业秘密/保密义务判断链，但不能仅凭存在竞业条款直接认定所有材料禁止外部处理。</x:v>
      </x:c>
      <x:c r="H23" s="13" t="str">
        <x:v>用人单位与劳动者。</x:v>
      </x:c>
      <x:c r="I23" s="13" t="str">
        <x:v>材料涉及保密协议、竞业限制、商业秘密、知识产权保密事项。</x:v>
      </x:c>
      <x:c r="J23" s="13" t="str">
        <x:v>依约承担保密/竞业义务；争议由仲裁机构或法院依法判断。</x:v>
      </x:c>
      <x:c r="K23" s="13" t="str">
        <x:v>是；具体保密条款是否限制向当前第三方提供不清时</x:v>
      </x:c>
      <x:c r="L23" s="13" t="str">
        <x:v>法律规范</x:v>
      </x:c>
      <x:c r="M23" s="13" t="str">
        <x:v>现行文本</x:v>
      </x:c>
      <x:c r="N23" s="13" t="str">
        <x:v>2013-07-01</x:v>
      </x:c>
      <x:c r="O23" s="13" t="str"/>
      <x:c r="P23" s="15" t="str">
        <x:v>需核验法源版本、具体条款及本次处理行为；原文保留不表示已审核</x:v>
      </x:c>
      <x:c r="Q23" s="16" t="str">
        <x:v>待核验</x:v>
      </x:c>
      <x:c r="R23" s="15" t="str"/>
      <x:c r="S23" s="15" t="str"/>
    </x:row>
    <x:row r="24" ht="44" customHeight="1">
      <x:c r="A24" s="13" t="str">
        <x:v>LAW-019</x:v>
      </x:c>
      <x:c r="B24" s="13" t="n">
        <x:v>20</x:v>
      </x:c>
      <x:c r="C24" s="13" t="str">
        <x:v>司法解释</x:v>
      </x:c>
      <x:c r="D24" s="13" t="str">
        <x:v>《最高人民法院关于审理劳动争议案件适用法律问题的解释（一）》</x:v>
      </x:c>
      <x:c r="E24" s="13" t="str">
        <x:v>第42条</x:v>
      </x:c>
      <x:c r="F24" s="13" t="str">
        <x:v>劳动者主张加班费的，应就加班事实存在承担举证责任；有证据证明用人单位掌握加班事实证据而不提供的，由用人单位承担不利后果。</x:v>
      </x:c>
      <x:c r="G24" s="13" t="str">
        <x:v>用于支撑劳动争议材料中考勤、打卡、工资、加班审批等属于常见核心证据。</x:v>
      </x:c>
      <x:c r="H24" s="13" t="str">
        <x:v>人民法院审理劳动争议案件。</x:v>
      </x:c>
      <x:c r="I24" s="13" t="str">
        <x:v>案件涉及加班费及举证责任。</x:v>
      </x:c>
      <x:c r="J24" s="13" t="str">
        <x:v>影响举证责任和裁判后果。</x:v>
      </x:c>
      <x:c r="K24" s="13" t="str">
        <x:v>否；作为材料类型和业务参考</x:v>
      </x:c>
      <x:c r="L24" s="13" t="str">
        <x:v>司法解释</x:v>
      </x:c>
      <x:c r="M24" s="13" t="str">
        <x:v>法释〔2020〕26号</x:v>
      </x:c>
      <x:c r="N24" s="13" t="str">
        <x:v>2021-01-01</x:v>
      </x:c>
      <x:c r="O24" s="13" t="str"/>
      <x:c r="P24" s="15" t="str">
        <x:v>需核验法源版本、具体条款及本次处理行为；原文保留不表示已审核</x:v>
      </x:c>
      <x:c r="Q24" s="16" t="str">
        <x:v>待核验</x:v>
      </x:c>
      <x:c r="R24" s="15" t="str"/>
      <x:c r="S24" s="15" t="str"/>
    </x:row>
    <x:row r="25" ht="44" customHeight="1">
      <x:c r="A25" s="13" t="str">
        <x:v>LAW-020</x:v>
      </x:c>
      <x:c r="B25" s="13" t="n">
        <x:v>21</x:v>
      </x:c>
      <x:c r="C25" s="13" t="str">
        <x:v>司法解释</x:v>
      </x:c>
      <x:c r="D25" s="13" t="str">
        <x:v>《最高人民法院关于审理劳动争议案件适用法律问题的解释（二）》</x:v>
      </x:c>
      <x:c r="E25" s="13" t="str">
        <x:v>全文/具体争议事项条款</x:v>
      </x:c>
      <x:c r="F25" s="13" t="str">
        <x:v>2025年发布，自2025年9月1日起施行，涉及承包用工、固定期限合同、竞业限制、社会保险等劳动争议裁判规则。</x:v>
      </x:c>
      <x:c r="G25" s="13" t="str">
        <x:v>用于识别劳动争议案件的具体法律问题；不是个人信息外发的直接禁止依据。</x:v>
      </x:c>
      <x:c r="H25" s="13" t="str">
        <x:v>人民法院审理劳动争议案件。</x:v>
      </x:c>
      <x:c r="I25" s="13" t="str">
        <x:v>案件争议事项落入解释（二）规定范围。</x:v>
      </x:c>
      <x:c r="J25" s="13" t="str">
        <x:v>影响劳动争议实体裁判。</x:v>
      </x:c>
      <x:c r="K25" s="13" t="str">
        <x:v>否；具体法律适用争议不明时复核</x:v>
      </x:c>
      <x:c r="L25" s="13" t="str">
        <x:v>司法解释</x:v>
      </x:c>
      <x:c r="M25" s="13" t="str">
        <x:v>法释〔2025〕12号</x:v>
      </x:c>
      <x:c r="N25" s="13" t="str">
        <x:v>2025-09-01</x:v>
      </x:c>
      <x:c r="O25" s="13" t="str"/>
      <x:c r="P25" s="15" t="str">
        <x:v>需核验法源版本、具体条款及本次处理行为；原文保留不表示已审核</x:v>
      </x:c>
      <x:c r="Q25" s="16" t="str">
        <x:v>待核验</x:v>
      </x:c>
      <x:c r="R25" s="15" t="str"/>
      <x:c r="S25" s="15" t="str"/>
    </x:row>
    <x:row r="26" ht="44" customHeight="1">
      <x:c r="A26" s="13" t="str">
        <x:v>LAW-021</x:v>
      </x:c>
      <x:c r="B26" s="13" t="n">
        <x:v>22</x:v>
      </x:c>
      <x:c r="C26" s="13" t="str">
        <x:v>（仅作参考）</x:v>
      </x:c>
      <x:c r="D26" s="13" t="str">
        <x:v>人社部、最高人民法院《劳动人事争议典型案例（第四批）》</x:v>
      </x:c>
      <x:c r="E26" s="13" t="str">
        <x:v>案例1-5等</x:v>
      </x:c>
      <x:c r="F26" s="13" t="str">
        <x:v>发布工伤待遇、女职工孕期调岗降薪、遗属抚恤、社会保险、竞业限制等典型案例，供各地仲裁机构、人民法院参照。</x:v>
      </x:c>
      <x:c r="G26" s="13" t="str">
        <x:v>用于识别劳动争议常见材料和争议类型，作为裁判规则实践参考；不是直接法律禁止依据。</x:v>
      </x:c>
      <x:c r="H26" s="13" t="str">
        <x:v>劳动人事争议仲裁机构、人民法院办案实践。</x:v>
      </x:c>
      <x:c r="I26" s="13" t="str">
        <x:v>具体案件事实与典型案例高度相似时。</x:v>
      </x:c>
      <x:c r="J26" s="13" t="str">
        <x:v>仅产生类案参考价值，不等同于法律条文。</x:v>
      </x:c>
      <x:c r="K26" s="13" t="str">
        <x:v>否；仅作业务参考</x:v>
      </x:c>
      <x:c r="L26" s="13" t="str">
        <x:v>入库/典型案例</x:v>
      </x:c>
      <x:c r="M26" s="13" t="str">
        <x:v>2025-04-09发布</x:v>
      </x:c>
      <x:c r="N26" s="13" t="str">
        <x:v>2025-04-09</x:v>
      </x:c>
      <x:c r="O26" s="13" t="str"/>
      <x:c r="P26" s="15" t="str">
        <x:v>需核验法源版本、具体条款及本次处理行为；原文保留不表示已审核</x:v>
      </x:c>
      <x:c r="Q26" s="16" t="str">
        <x:v>待核验</x:v>
      </x:c>
      <x:c r="R26" s="15" t="str"/>
      <x:c r="S26" s="15" t="str"/>
    </x:row>
    <x:row r="27" ht="53" customHeight="1">
      <x:c r="A27" s="13" t="str">
        <x:v>LAW-022</x:v>
      </x:c>
      <x:c r="B27" s="13" t="n">
        <x:v>23</x:v>
      </x:c>
      <x:c r="C27" s="13" t="str">
        <x:v>法律</x:v>
      </x:c>
      <x:c r="D27" s="13" t="str">
        <x:v>《中华人民共和国职业病防治法》</x:v>
      </x:c>
      <x:c r="E27" s="13" t="str">
        <x:v>第36条</x:v>
      </x:c>
      <x:c r="F27" s="13" t="str">
        <x:v>用人单位应建立职业健康监护档案，包含职业史、职业病危害接触史、职业健康检查结果和职业病诊疗等个人健康资料；劳动者离职时有权索取本人档案复印件。</x:v>
      </x:c>
      <x:c r="G27" s="13" t="str">
        <x:v>用于识别劳动争议中的职业健康、职业病材料。该条没有规定职业健康信息一律不得外部处理。</x:v>
      </x:c>
      <x:c r="H27" s="13" t="str">
        <x:v>用人单位、劳动者等职业病防治主体。</x:v>
      </x:c>
      <x:c r="I27" s="13" t="str">
        <x:v>材料属于职业健康监护档案或职业病相关资料。</x:v>
      </x:c>
      <x:c r="J27" s="13" t="str">
        <x:v>依法保存、提供档案；个人健康资料同时受个保法敏感信息规则约束。</x:v>
      </x:c>
      <x:c r="K27" s="13" t="str">
        <x:v>否；通常按敏感个人信息最小化；具体用途/保密限制不明时复核</x:v>
      </x:c>
      <x:c r="L27" s="13" t="str">
        <x:v>法律规范</x:v>
      </x:c>
      <x:c r="M27" s="13" t="str">
        <x:v>2018年修正文本</x:v>
      </x:c>
      <x:c r="N27" s="13" t="str">
        <x:v>2018-12-29</x:v>
      </x:c>
      <x:c r="O27" s="13" t="str"/>
      <x:c r="P27" s="15" t="str">
        <x:v>需核验法源版本、具体条款及本次处理行为；原文保留不表示已审核</x:v>
      </x:c>
      <x:c r="Q27" s="16" t="str">
        <x:v>待核验</x:v>
      </x:c>
      <x:c r="R27" s="15" t="str"/>
      <x:c r="S27" s="15" t="str"/>
    </x:row>
    <x:row r="28" ht="53" customHeight="1">
      <x:c r="A28" s="13" t="str">
        <x:v>LAW-023</x:v>
      </x:c>
      <x:c r="B28" s="13" t="n">
        <x:v>24</x:v>
      </x:c>
      <x:c r="C28" s="13" t="str">
        <x:v>法律</x:v>
      </x:c>
      <x:c r="D28" s="13" t="str">
        <x:v>《中华人民共和国传染病防治法》</x:v>
      </x:c>
      <x:c r="E28" s="13" t="str">
        <x:v>第13条、第16条</x:v>
      </x:c>
      <x:c r="F28" s="13" t="str">
        <x:v>传染病防治中处理个人信息应遵守民法典、个保法等并确保安全、保护隐私；相关信息不得用于传染病防治以外的目的；不得泄露传染病患者、病原携带者、疑似患者等个人隐私和个人信息。</x:v>
      </x:c>
      <x:c r="G28" s="13" t="str">
        <x:v>劳动争议材料中如出现传染病患者身份、诊疗等信息，需要判断是否落入该法特定主体和用途限制；不能把“传染病”关键词本身直接等同于所有情形L4。</x:v>
      </x:c>
      <x:c r="H28" s="13" t="str">
        <x:v>传染病防治活动中的单位和个人；第16条保护对象需结合具体主体判断。</x:v>
      </x:c>
      <x:c r="I28" s="13" t="str">
        <x:v>信息属于该法保护对象且当前处理目的为劳动争议事实总结而非传染病防治。</x:v>
      </x:c>
      <x:c r="J28" s="13" t="str">
        <x:v>可能违反特定用途/隐私保护要求。</x:v>
      </x:c>
      <x:c r="K28" s="13" t="str">
        <x:v>是；保护对象、用途限制适用性不明时</x:v>
      </x:c>
      <x:c r="L28" s="13" t="str">
        <x:v>法律规范</x:v>
      </x:c>
      <x:c r="M28" s="13" t="str">
        <x:v>2025年修订</x:v>
      </x:c>
      <x:c r="N28" s="13" t="str">
        <x:v>2025-09-01</x:v>
      </x:c>
      <x:c r="O28" s="13" t="str"/>
      <x:c r="P28" s="15" t="str">
        <x:v>需核验法源版本、具体条款及本次处理行为；原文保留不表示已审核</x:v>
      </x:c>
      <x:c r="Q28" s="16" t="str">
        <x:v>待核验</x:v>
      </x:c>
      <x:c r="R28" s="15" t="str"/>
      <x:c r="S28" s="15" t="str"/>
    </x:row>
    <x:row r="29" ht="53" customHeight="1">
      <x:c r="A29" s="13" t="str">
        <x:v>LAW-024</x:v>
      </x:c>
      <x:c r="B29" s="13" t="n">
        <x:v>25</x:v>
      </x:c>
      <x:c r="C29" s="13" t="str">
        <x:v>法律</x:v>
      </x:c>
      <x:c r="D29" s="13" t="str">
        <x:v>《中华人民共和国数据安全法》</x:v>
      </x:c>
      <x:c r="E29" s="13" t="str">
        <x:v>第32条、第36条、第38条、第53条</x:v>
      </x:c>
      <x:c r="F29" s="13" t="str">
        <x:v>数据收集应合法正当；法律行政法规规定目的、范围的应在规定范围内使用；国家机关履职知悉的个人隐私、个人信息、商业秘密等应依法保密；涉及国家秘密的数据处理适用保密法等。</x:v>
      </x:c>
      <x:c r="G29" s="13" t="str">
        <x:v>用于判断劳动争议材料若来源于国家机关/公共机构时的额外数据处理约束，以及与国家秘密规则的衔接。</x:v>
      </x:c>
      <x:c r="H29" s="13" t="str">
        <x:v>数据处理者；第38条特别针对国家机关。</x:v>
      </x:c>
      <x:c r="I29" s="13" t="str">
        <x:v>材料属于政务数据、重要数据或国家秘密相关数据。</x:v>
      </x:c>
      <x:c r="J29" s="13" t="str">
        <x:v>依法承担数据安全保护责任。</x:v>
      </x:c>
      <x:c r="K29" s="13" t="str">
        <x:v>是；数据属性和主体身份不明确时</x:v>
      </x:c>
      <x:c r="L29" s="13" t="str">
        <x:v>法律规范</x:v>
      </x:c>
      <x:c r="M29" s="13" t="str">
        <x:v>2021-06-10通过；2021-09-01施行</x:v>
      </x:c>
      <x:c r="N29" s="13" t="str">
        <x:v>2021-09-01</x:v>
      </x:c>
      <x:c r="O29" s="13" t="str"/>
      <x:c r="P29" s="15" t="str">
        <x:v>需核验法源版本、具体条款及本次处理行为；原文保留不表示已审核</x:v>
      </x:c>
      <x:c r="Q29" s="16" t="str">
        <x:v>待核验</x:v>
      </x:c>
      <x:c r="R29" s="15" t="str"/>
      <x:c r="S29" s="15" t="str"/>
    </x:row>
    <x:row r="30" ht="53" customHeight="1">
      <x:c r="A30" s="13" t="str">
        <x:v>LAW-025</x:v>
      </x:c>
      <x:c r="B30" s="13" t="n">
        <x:v>26</x:v>
      </x:c>
      <x:c r="C30" s="13" t="str">
        <x:v>法律</x:v>
      </x:c>
      <x:c r="D30" s="13" t="str">
        <x:v>《中华人民共和国保守国家秘密法》</x:v>
      </x:c>
      <x:c r="E30" s="13" t="str">
        <x:v>第25条、第29条、第31条</x:v>
      </x:c>
      <x:c r="F30" s="13" t="str">
        <x:v>国家秘密属性或密级不明确有争议的依法确定；禁止未按规定采取有效保密措施通过互联网等公共信息网络传递国家秘密；不得使用非涉密信息系统、设备存储或处理国家秘密。</x:v>
      </x:c>
      <x:c r="G30" s="13" t="str">
        <x:v>只有材料已确认属于国家秘密时才进入硬性禁止判断；“内部”“重要”“涉政府”本身不等于国家秘密。</x:v>
      </x:c>
      <x:c r="H30" s="13" t="str">
        <x:v>任何组织和个人；涉密系统、设备的相关主体。</x:v>
      </x:c>
      <x:c r="I30" s="13" t="str">
        <x:v>材料被依法确定为国家秘密，且拟通过不符合保密要求的外部AI/互联网传递或处理。</x:v>
      </x:c>
      <x:c r="J30" s="13" t="str">
        <x:v>违反保密法可能承担处分、行政乃至刑事责任。</x:v>
      </x:c>
      <x:c r="K30" s="13" t="str">
        <x:v>是；密级或是否属于国家秘密不明确时；确认禁止条件成立后阻断</x:v>
      </x:c>
      <x:c r="L30" s="13" t="str">
        <x:v>法律规范</x:v>
      </x:c>
      <x:c r="M30" s="13" t="str">
        <x:v>2024-02-27修订；2024-05-01施行</x:v>
      </x:c>
      <x:c r="N30" s="13" t="str">
        <x:v>2024-05-01</x:v>
      </x:c>
      <x:c r="O30" s="13" t="str"/>
      <x:c r="P30" s="15" t="str">
        <x:v>需核验法源版本、具体条款及本次处理行为；原文保留不表示已审核</x:v>
      </x:c>
      <x:c r="Q30" s="16" t="str">
        <x:v>待核验</x:v>
      </x:c>
      <x:c r="R30" s="15" t="str"/>
      <x:c r="S30" s="15" t="str"/>
    </x:row>
    <x:row r="31" ht="53" customHeight="1">
      <x:c r="A31" s="13" t="str">
        <x:v>LAW-026</x:v>
      </x:c>
      <x:c r="B31" s="13" t="n">
        <x:v>27</x:v>
      </x:c>
      <x:c r="C31" s="13" t="str">
        <x:v>部门规章</x:v>
      </x:c>
      <x:c r="D31" s="13" t="str">
        <x:v>《生成式人工智能服务管理暂行办法》</x:v>
      </x:c>
      <x:c r="E31" s="13" t="str">
        <x:v>第4条、第9条、第11条</x:v>
      </x:c>
      <x:c r="F31" s="13" t="str">
        <x:v>提供和使用生成式人工智能服务应遵守法律法规；涉及个人信息依法承担个人信息处理者责任；提供者应与使用者签订服务协议；对输入信息和使用记录履行保护义务，不得非法留存或向他人提供。</x:v>
      </x:c>
      <x:c r="G31" s="13" t="str">
        <x:v>作为外部AI服务的辅助规范，不把它直接解释成劳动争议材料一律不得外发；供应商合同和隐私政策另行核对。</x:v>
      </x:c>
      <x:c r="H31" s="13" t="str">
        <x:v>境内向公众提供生成式人工智能服务的提供者及使用者；内部研发应用不适用本办法。</x:v>
      </x:c>
      <x:c r="I31" s="13" t="str">
        <x:v>使用公共生成式AI服务处理劳动争议材料。</x:v>
      </x:c>
      <x:c r="J31" s="13" t="str">
        <x:v>违反服务规范依法承担相应责任。</x:v>
      </x:c>
      <x:c r="K31" s="13" t="str">
        <x:v>是；供应商角色、协议和输入处理方式不明时</x:v>
      </x:c>
      <x:c r="L31" s="13" t="str">
        <x:v>法律规范</x:v>
      </x:c>
      <x:c r="M31" s="13" t="str">
        <x:v>2023-07-10发布；2023-08-15施行</x:v>
      </x:c>
      <x:c r="N31" s="13" t="str">
        <x:v>2023-08-15</x:v>
      </x:c>
      <x:c r="O31" s="13" t="str"/>
      <x:c r="P31" s="15" t="str">
        <x:v>需核验法源版本、具体条款及本次处理行为；原文保留不表示已审核</x:v>
      </x:c>
      <x:c r="Q31" s="16" t="str">
        <x:v>待核验</x:v>
      </x:c>
      <x:c r="R31" s="15" t="str"/>
      <x:c r="S31" s="15" t="str"/>
    </x:row>
    <x:row r="32" ht="44" customHeight="1">
      <x:c r="A32" s="13" t="str">
        <x:v>LAW-027</x:v>
      </x:c>
      <x:c r="B32" s="13" t="n">
        <x:v>28</x:v>
      </x:c>
      <x:c r="C32" s="13" t="str">
        <x:v>项目自定规则</x:v>
      </x:c>
      <x:c r="D32" s="13" t="str">
        <x:v>项目规则：劳动争议诉讼材料中的直接身份识别信息原则上先自动脱敏</x:v>
      </x:c>
      <x:c r="E32" s="13" t="str">
        <x:v>项目处理规则（非法律条文）</x:v>
      </x:c>
      <x:c r="F32" s="13" t="str">
        <x:v>项目自行设定，不属于外部法律规范。</x:v>
      </x:c>
      <x:c r="G32" s="13" t="str">
        <x:v>在不影响事实总结的前提下，对姓名、手机号、身份证号、住址、邮箱、银行账号等直接识别信息优先替换为角色标识或部分掩码。</x:v>
      </x:c>
      <x:c r="H32" s="13" t="str">
        <x:v>案隐盾项目；仅作为内部安全控制。</x:v>
      </x:c>
      <x:c r="I32" s="13" t="str">
        <x:v>任务不需要直接识别具体个人时。</x:v>
      </x:c>
      <x:c r="J32" s="13" t="str">
        <x:v>项目内部的系统处理要求；不应表述为法律强制。</x:v>
      </x:c>
      <x:c r="K32" s="13" t="str">
        <x:v>否；规则明确时自动执行</x:v>
      </x:c>
      <x:c r="L32" s="13" t="str">
        <x:v>项目自行采取的保守控制</x:v>
      </x:c>
      <x:c r="M32" s="13" t="str">
        <x:v>项目规则；2026版工作规则</x:v>
      </x:c>
      <x:c r="N32" s="13" t="str">
        <x:v>2026-09-10</x:v>
      </x:c>
      <x:c r="O32" s="13" t="str"/>
      <x:c r="P32" s="15" t="str">
        <x:v>需核验法源版本、具体条款及本次处理行为；原文保留不表示已审核</x:v>
      </x:c>
      <x:c r="Q32" s="16" t="str">
        <x:v>待核验</x:v>
      </x:c>
      <x:c r="R32" s="15" t="str"/>
      <x:c r="S32" s="15" t="str"/>
    </x:row>
    <x:row r="33" ht="68" customHeight="1">
      <x:c r="A33" s="13" t="str">
        <x:v>LAW-028</x:v>
      </x:c>
      <x:c r="B33" s="13" t="n">
        <x:v>29</x:v>
      </x:c>
      <x:c r="C33" s="13" t="str">
        <x:v>项目自定规则</x:v>
      </x:c>
      <x:c r="D33" s="13" t="str">
        <x:v>项目规则：敏感个人信息在能够完成任务的情况下优先最小化而非默认人工复核</x:v>
      </x:c>
      <x:c r="E33" s="13" t="str">
        <x:v>项目处理规则（非法律条文）</x:v>
      </x:c>
      <x:c r="F33" s="13" t="str">
        <x:v>项目自行设定，不属于外部法律规范。</x:v>
      </x:c>
      <x:c r="G33" s="13" t="str">
        <x:v>医疗健康、金融账户、行踪轨迹、生物识别等信息，若法律条件已明确且可通过最小化完成任务，不因“敏感”标签自动升级人工复核；只有法律基础、权限、用途或供应商条件存在决定性不确定性时复核。</x:v>
      </x:c>
      <x:c r="H33" s="13" t="str">
        <x:v>案隐盾项目；仅作为内部安全控制。</x:v>
      </x:c>
      <x:c r="I33" s="13" t="str">
        <x:v>敏感信息存在，但法律条件明确且可通过最小化满足。</x:v>
      </x:c>
      <x:c r="J33" s="13" t="str">
        <x:v>项目内部处理要求。</x:v>
      </x:c>
      <x:c r="K33" s="13" t="str">
        <x:v>否；规则明确时自动执行</x:v>
      </x:c>
      <x:c r="L33" s="13" t="str">
        <x:v>项目自行采取的保守控制</x:v>
      </x:c>
      <x:c r="M33" s="13" t="str">
        <x:v>项目规则；2026版工作规则</x:v>
      </x:c>
      <x:c r="N33" s="13" t="str">
        <x:v>2026-09-10</x:v>
      </x:c>
      <x:c r="O33" s="13" t="str"/>
      <x:c r="P33" s="15" t="str">
        <x:v>需核验法源版本、具体条款及本次处理行为；原文保留不表示已审核</x:v>
      </x:c>
      <x:c r="Q33" s="16" t="str">
        <x:v>待核验</x:v>
      </x:c>
      <x:c r="R33" s="15" t="str"/>
      <x:c r="S33" s="15" t="str"/>
    </x:row>
    <x:row r="34" ht="53" customHeight="1">
      <x:c r="A34" s="13" t="str">
        <x:v>LAW-029</x:v>
      </x:c>
      <x:c r="B34" s="13" t="n">
        <x:v>30</x:v>
      </x:c>
      <x:c r="C34" s="13" t="str">
        <x:v>项目自定规则</x:v>
      </x:c>
      <x:c r="D34" s="13" t="str">
        <x:v>项目规则：法律依据不确定时暂停外部调用</x:v>
      </x:c>
      <x:c r="E34" s="13" t="str">
        <x:v>项目处理规则（非法律条文）</x:v>
      </x:c>
      <x:c r="F34" s="13" t="str">
        <x:v>项目自行设定，不属于外部法律规范。</x:v>
      </x:c>
      <x:c r="G34" s="13" t="str">
        <x:v>当决定性事实无法自动确认，且会直接影响外部提供的合法性或权限时，暂缓外部调用，转人工复核；不能把“不确定”直接写成“法律禁止”。</x:v>
      </x:c>
      <x:c r="H34" s="13" t="str">
        <x:v>案隐盾项目；仅作为内部安全控制。</x:v>
      </x:c>
      <x:c r="I34" s="13" t="str">
        <x:v>存在具体且决定性的法律适用、处分权限、供应商条件或跨境状态不确定。</x:v>
      </x:c>
      <x:c r="J34" s="13" t="str">
        <x:v>项目内部的人工复核触发要求。</x:v>
      </x:c>
      <x:c r="K34" s="13" t="str">
        <x:v>是</x:v>
      </x:c>
      <x:c r="L34" s="13" t="str">
        <x:v>项目自行采取的保守控制</x:v>
      </x:c>
      <x:c r="M34" s="13" t="str">
        <x:v>项目规则；2026版工作规则</x:v>
      </x:c>
      <x:c r="N34" s="13" t="str">
        <x:v>2026-09-10</x:v>
      </x:c>
      <x:c r="O34" s="13" t="str"/>
      <x:c r="P34" s="15" t="str">
        <x:v>需核验法源版本、具体条款及本次处理行为；原文保留不表示已审核</x:v>
      </x:c>
      <x:c r="Q34" s="16" t="str">
        <x:v>待核验</x:v>
      </x:c>
      <x:c r="R34" s="15" t="str"/>
      <x:c r="S34" s="15" t="str"/>
    </x:row>
    <x:row r="35" ht="53" customHeight="1">
      <x:c r="A35" s="13" t="str">
        <x:v>LAW-030</x:v>
      </x:c>
      <x:c r="B35" s="13" t="n">
        <x:v>31</x:v>
      </x:c>
      <x:c r="C35" s="13" t="str">
        <x:v>国家标准</x:v>
      </x:c>
      <x:c r="D35" s="13" t="str">
        <x:v>GB/T 37964—2019《信息安全技术 个人信息去标识化指南》</x:v>
      </x:c>
      <x:c r="E35" s="13" t="str">
        <x:v>1 范围</x:v>
      </x:c>
      <x:c r="F35" s="13" t="str">
        <x:v>本标准描述了个人信息去标识化的目标和原则，提出了去标识化过程和管理措施。</x:v>
      </x:c>
      <x:c r="G35" s="13" t="str">
        <x:v>明确本标准用于个人信息去标识化的目标、原则、过程和管理措施，为劳动争议诉讼材料的自动脱敏、去标识化和再识别风险控制提供技术处理参考。</x:v>
      </x:c>
      <x:c r="H35" s="13" t="str">
        <x:v>组织开展个人信息去标识化工作；也适用于网络安全相关主管部门、第三方评估机构等开展个人信息安全监督管理、评估。</x:v>
      </x:c>
      <x:c r="I35" s="13" t="str">
        <x:v>拟对劳动争议诉讼材料中的个人信息进行去标识化后交由外部AI处理。</x:v>
      </x:c>
      <x:c r="J35" s="13" t="str">
        <x:v>推荐性国家标准本身通常不直接产生行政法律责任；若被合同、内部制度或其他适用规则引用，应按相应约束执行。</x:v>
      </x:c>
      <x:c r="K35" s="13" t="str">
        <x:v>否；属于明确的技术处理参考；具体法律限制仍按法律规范判断</x:v>
      </x:c>
      <x:c r="L35" s="13" t="str">
        <x:v>业务规则</x:v>
      </x:c>
      <x:c r="M35" s="13" t="str">
        <x:v>现行；国家标准信息公共服务平台显示继续有效；上次复审2025-12-08</x:v>
      </x:c>
      <x:c r="N35" s="13" t="str">
        <x:v>2020-03-01</x:v>
      </x:c>
      <x:c r="O35" s="13" t="str"/>
      <x:c r="P35" s="15" t="str">
        <x:v>需核验法源版本、具体条款及本次处理行为；原文保留不表示已审核</x:v>
      </x:c>
      <x:c r="Q35" s="16" t="str">
        <x:v>待核验</x:v>
      </x:c>
      <x:c r="R35" s="15" t="str"/>
      <x:c r="S35" s="15" t="str"/>
    </x:row>
    <x:row r="36" ht="128" customHeight="1">
      <x:c r="A36" s="13" t="str">
        <x:v>LAW-031</x:v>
      </x:c>
      <x:c r="B36" s="13" t="n">
        <x:v>32</x:v>
      </x:c>
      <x:c r="C36" s="13" t="str">
        <x:v>国家标准</x:v>
      </x:c>
      <x:c r="D36" s="13" t="str">
        <x:v>GB/T 37964—2019《信息安全技术 个人信息去标识化指南》</x:v>
      </x:c>
      <x:c r="E36" s="13" t="str">
        <x:v>3.7 直接标识符</x:v>
      </x:c>
      <x:c r="F36" s="13" t="str">
        <x:v>微数据中的属性，在特定环境下可以单独识别个人信息主体。
注1：特定环境指个人信息使用的具体场景。例如，在一个具体的学校，通过学号可以直接识别出一个具体的学生。
注2：常见的直接标识符有：姓名、身份证号、护照号、驾照号、地址、电子邮件地址、电话号码、传真号码、银行卡号码、车牌号码、车辆识别号码、社会保险号码、健康卡号码、病历号码、设备标识符、生物识别码、互联网协议(IP)地址号和网络通用资源定位符(URL)等。</x:v>
      </x:c>
      <x:c r="G36" s="13" t="str">
        <x:v>为劳动争议材料中的姓名、身份证号、地址、电话、邮箱、银行卡号、社保号、病历号、生物识别码等直接识别信息建立统一识别口径。</x:v>
      </x:c>
      <x:c r="H36" s="13" t="str">
        <x:v>组织开展个人信息去标识化工作的技术参考。</x:v>
      </x:c>
      <x:c r="I36" s="13" t="str">
        <x:v>材料中出现能够在具体环境下单独识别个人的字段。</x:v>
      </x:c>
      <x:c r="J36" s="13" t="str">
        <x:v>该条属于推荐性国家标准的识别规则，不单独构成“必须禁止外传”的法律依据。</x:v>
      </x:c>
      <x:c r="K36" s="13" t="str">
        <x:v>否；直接标识符可按规则自动识别；法律必要性另行判断</x:v>
      </x:c>
      <x:c r="L36" s="13" t="str">
        <x:v>业务规则</x:v>
      </x:c>
      <x:c r="M36" s="13" t="str">
        <x:v>现行</x:v>
      </x:c>
      <x:c r="N36" s="13" t="str">
        <x:v>2020-03-01</x:v>
      </x:c>
      <x:c r="O36" s="13" t="str"/>
      <x:c r="P36" s="15" t="str">
        <x:v>需核验法源版本、具体条款及本次处理行为；原文保留不表示已审核</x:v>
      </x:c>
      <x:c r="Q36" s="16" t="str">
        <x:v>待核验</x:v>
      </x:c>
      <x:c r="R36" s="15" t="str"/>
      <x:c r="S36" s="15" t="str"/>
    </x:row>
    <x:row r="37" ht="98" customHeight="1">
      <x:c r="A37" s="13" t="str">
        <x:v>LAW-032</x:v>
      </x:c>
      <x:c r="B37" s="13" t="n">
        <x:v>33</x:v>
      </x:c>
      <x:c r="C37" s="13" t="str">
        <x:v>国家标准</x:v>
      </x:c>
      <x:c r="D37" s="13" t="str">
        <x:v>GB/T 37964—2019《信息安全技术 个人信息去标识化指南》</x:v>
      </x:c>
      <x:c r="E37" s="13" t="str">
        <x:v>3.8 准标识符</x:v>
      </x:c>
      <x:c r="F37" s="13" t="str">
        <x:v>微数据中的属性，结合其他属性可唯一识别个人信息主体。
注：常见的准标识符有：性别、出生日期或年龄、事件日期(例如入院、手术、出院、访问)、地点(例如邮政编码、建筑名称、地区)、族裔血统、出生国、语言、原住民身份、可见的少数民族地位、职业、婚姻状况、受教育水平、上学年限、犯罪历史、总收入和宗教信仰等。</x:v>
      </x:c>
      <x:c r="G37" s="13" t="str">
        <x:v>提示劳动争议材料不能只删除姓名等直接标识符，还应识别年龄、日期、地点、职业、婚姻状况、收入等组合后可能重新识别个人的字段。</x:v>
      </x:c>
      <x:c r="H37" s="13" t="str">
        <x:v>组织开展个人信息去标识化工作的技术参考。</x:v>
      </x:c>
      <x:c r="I37" s="13" t="str">
        <x:v>删除直接标识符后仍保留大量可组合识别字段。</x:v>
      </x:c>
      <x:c r="J37" s="13" t="str">
        <x:v>推荐性技术要求，不单独产生法律禁止后果；但可用于证明项目已考虑再识别风险。</x:v>
      </x:c>
      <x:c r="K37" s="13" t="str">
        <x:v>否；可按规则自动识别；组合风险无法自动判断时再复核</x:v>
      </x:c>
      <x:c r="L37" s="13" t="str">
        <x:v>业务规则</x:v>
      </x:c>
      <x:c r="M37" s="13" t="str">
        <x:v>现行</x:v>
      </x:c>
      <x:c r="N37" s="13" t="str">
        <x:v>2020-03-01</x:v>
      </x:c>
      <x:c r="O37" s="13" t="str"/>
      <x:c r="P37" s="15" t="str">
        <x:v>需核验法源版本、具体条款及本次处理行为；原文保留不表示已审核</x:v>
      </x:c>
      <x:c r="Q37" s="16" t="str">
        <x:v>待核验</x:v>
      </x:c>
      <x:c r="R37" s="15" t="str"/>
      <x:c r="S37" s="15" t="str"/>
    </x:row>
    <x:row r="38" ht="158" customHeight="1">
      <x:c r="A38" s="13" t="str">
        <x:v>LAW-033</x:v>
      </x:c>
      <x:c r="B38" s="13" t="n">
        <x:v>34</x:v>
      </x:c>
      <x:c r="C38" s="13" t="str">
        <x:v>国家标准</x:v>
      </x:c>
      <x:c r="D38" s="13" t="str">
        <x:v>GB/T 37964—2019《信息安全技术 个人信息去标识化指南》</x:v>
      </x:c>
      <x:c r="E38" s="13" t="str">
        <x:v>4.1 去标识化目标</x:v>
      </x:c>
      <x:c r="F38" s="13" t="str">
        <x:v>去标识化目标包括：
a) 对直接标识符和准标识符进行删除或变换，避免攻击者根据这些属性直接识别或结合其他信息识别出原始个人信息主体；
b) 控制重标识的风险，根据可获得的数据情况和应用场景选择合适的模型和技术，将重标识的风险控制在可接受范围内，确保重标识风险不会随着新数据发布而增加，确保数据接收方之间的潜在串通不会增加重标识风险；
c) 在控制重标识风险的前提下，结合业务目标和数据特性，选择合适的去标识化模型和技术，确保去标识化后的数据集尽量满足其预期目的（有用）。</x:v>
      </x:c>
      <x:c r="G38" s="13" t="str">
        <x:v>将项目脱敏目标从“去掉姓名”提升为同时处理直接标识符、准标识符及重标识风险。</x:v>
      </x:c>
      <x:c r="H38" s="13" t="str">
        <x:v>组织开展个人信息去标识化工作。</x:v>
      </x:c>
      <x:c r="I38" s="13" t="str">
        <x:v>劳动争议材料拟进入外部AI，且材料中存在直接标识符或可组合识别字段。</x:v>
      </x:c>
      <x:c r="J38" s="13" t="str">
        <x:v>推荐性标准不直接产生行政法律责任；可作为项目技术处理的依据和验证标准。</x:v>
      </x:c>
      <x:c r="K38" s="13" t="str">
        <x:v>否；规则可自动执行；涉及复杂重标识风险评估时可进入业务复核</x:v>
      </x:c>
      <x:c r="L38" s="13" t="str">
        <x:v>业务规则</x:v>
      </x:c>
      <x:c r="M38" s="13" t="str">
        <x:v>现行</x:v>
      </x:c>
      <x:c r="N38" s="13" t="str">
        <x:v>2020-03-01</x:v>
      </x:c>
      <x:c r="O38" s="13" t="str"/>
      <x:c r="P38" s="15" t="str">
        <x:v>需核验法源版本、具体条款及本次处理行为；原文保留不表示已审核</x:v>
      </x:c>
      <x:c r="Q38" s="16" t="str">
        <x:v>待核验</x:v>
      </x:c>
      <x:c r="R38" s="15" t="str"/>
      <x:c r="S38" s="15" t="str"/>
    </x:row>
    <x:row r="39" ht="203" customHeight="1">
      <x:c r="A39" s="13" t="str">
        <x:v>LAW-034</x:v>
      </x:c>
      <x:c r="B39" s="13" t="n">
        <x:v>35</x:v>
      </x:c>
      <x:c r="C39" s="13" t="str">
        <x:v>国家标准</x:v>
      </x:c>
      <x:c r="D39" s="13" t="str">
        <x:v>GB/T 37964—2019《信息安全技术 个人信息去标识化指南》</x:v>
      </x:c>
      <x:c r="E39" s="13" t="str">
        <x:v>5.2.2 确定去标识化对象</x:v>
      </x:c>
      <x:c r="F39" s="13" t="str">
        <x:v>确定去标识化对象，指确定需要去标识化的数据集范围，宜根据以下要素确定哪些数据属于去标识化对象：
a) 法规标准。了解国家、地区或行业的相关政策、法律、法规和标准，待采集或发布数据是否涉及去标识化相关要求。
b) 组织策略。了解数据是否属于组织列入的重要数据或敏感数据范畴，数据应用时是否存在去标识化的要求。
c) 数据来源。了解这些数据采集时是否做过去标识化相关承诺。
d) 业务背景。了解数据来源相关信息系统的业务特性，了解业务内容和业务流程，披露数据是否涉及个人信息安全风险。
e) 数据用途。了解待发布数据的用途，是否存在个人信息安全风险。
f) 关联情况。了解数据披露历史和去标识化历史情况，待披露数据是否和历史数据存在关联关系。</x:v>
      </x:c>
      <x:c r="G39" s="13" t="str">
        <x:v>用于确定劳动争议材料哪些字段进入脱敏范围，并把数据来源、用途、历史披露和关联情况纳入判断。</x:v>
      </x:c>
      <x:c r="H39" s="13" t="str">
        <x:v>组织开展个人信息去标识化工作。</x:v>
      </x:c>
      <x:c r="I39" s="13" t="str">
        <x:v>准备向外部AI发送劳动争议材料前，需要确定脱敏对象和处理范围。</x:v>
      </x:c>
      <x:c r="J39" s="13" t="str">
        <x:v>推荐性技术参考，不单独构成法律强制。</x:v>
      </x:c>
      <x:c r="K39" s="13" t="str">
        <x:v>否；作为自动化预处理的业务参考</x:v>
      </x:c>
      <x:c r="L39" s="13" t="str">
        <x:v>业务规则</x:v>
      </x:c>
      <x:c r="M39" s="13" t="str">
        <x:v>现行</x:v>
      </x:c>
      <x:c r="N39" s="13" t="str">
        <x:v>2020-03-01</x:v>
      </x:c>
      <x:c r="O39" s="13" t="str"/>
      <x:c r="P39" s="15" t="str">
        <x:v>需核验法源版本、具体条款及本次处理行为；原文保留不表示已审核</x:v>
      </x:c>
      <x:c r="Q39" s="16" t="str">
        <x:v>待核验</x:v>
      </x:c>
      <x:c r="R39" s="15" t="str"/>
      <x:c r="S39" s="15" t="str"/>
    </x:row>
    <x:row r="40" ht="44" customHeight="1">
      <x:c r="A40" s="13" t="str">
        <x:v>LAW-035</x:v>
      </x:c>
      <x:c r="B40" s="13" t="n">
        <x:v>36</x:v>
      </x:c>
      <x:c r="C40" s="13" t="str">
        <x:v>国家标准</x:v>
      </x:c>
      <x:c r="D40" s="13" t="str">
        <x:v>GB/T 37964—2019《信息安全技术 个人信息去标识化指南》</x:v>
      </x:c>
      <x:c r="E40" s="13" t="str">
        <x:v>5.3.1 识别标识</x:v>
      </x:c>
      <x:c r="F40" s="13" t="str">
        <x:v>识别标识符的方法包括查表识别法、规则判定法和人工分析法。</x:v>
      </x:c>
      <x:c r="G40" s="13" t="str">
        <x:v>支撑项目建立直接标识符、准标识符识别规则；规则无法覆盖的特殊字段才考虑人工分析。</x:v>
      </x:c>
      <x:c r="H40" s="13" t="str">
        <x:v>组织开展个人信息去标识化工作。</x:v>
      </x:c>
      <x:c r="I40" s="13" t="str">
        <x:v>系统识别劳动争议材料中的姓名、证件号、电话、地址、账号、年龄、日期、地点、职业等标识字段。</x:v>
      </x:c>
      <x:c r="J40" s="13" t="str">
        <x:v>推荐性技术参考；不意味着凡出现人工分析即构成法律上的人工复核义务。</x:v>
      </x:c>
      <x:c r="K40" s="13" t="str">
        <x:v>否；常见字段规则化处理；仅对规则覆盖不足的字段进入技术复核</x:v>
      </x:c>
      <x:c r="L40" s="13" t="str">
        <x:v>业务规则</x:v>
      </x:c>
      <x:c r="M40" s="13" t="str">
        <x:v>现行</x:v>
      </x:c>
      <x:c r="N40" s="13" t="str">
        <x:v>2020-03-01</x:v>
      </x:c>
      <x:c r="O40" s="13" t="str"/>
      <x:c r="P40" s="15" t="str">
        <x:v>需核验法源版本、具体条款及本次处理行为；原文保留不表示已审核</x:v>
      </x:c>
      <x:c r="Q40" s="16" t="str">
        <x:v>待核验</x:v>
      </x:c>
      <x:c r="R40" s="15" t="str"/>
      <x:c r="S40" s="15" t="str"/>
    </x:row>
    <x:row r="41" ht="83" customHeight="1">
      <x:c r="A41" s="13" t="str">
        <x:v>LAW-036</x:v>
      </x:c>
      <x:c r="B41" s="13" t="n">
        <x:v>37</x:v>
      </x:c>
      <x:c r="C41" s="13" t="str">
        <x:v>国家标准</x:v>
      </x:c>
      <x:c r="D41" s="13" t="str">
        <x:v>GB/T 37964—2019《信息安全技术 个人信息去标识化指南》</x:v>
      </x:c>
      <x:c r="E41" s="13" t="str">
        <x:v>5.4.3 选择模型技术；5.4.4 实施去标识化</x:v>
      </x:c>
      <x:c r="F41" s="13" t="str">
        <x:v>不同类型的数据需要采用不同的去标识化技术，所以在去标识化的早期阶段，重要的一步是确定数据的类型和业务特性，考虑去标识化的影响，选择合适的去标识化模型和技术，在可接受的重标识风险范围内满足数据有用性的最低要求。
根据选择的去标识化模型和技术，对数据集实施去标识化。</x:v>
      </x:c>
      <x:c r="G41" s="13" t="str">
        <x:v>说明脱敏方式不是固定一种“打码”；应根据劳动争议材料的字段类型、业务目的和重标识风险选择删除、屏蔽、泛化、假名化等方式。</x:v>
      </x:c>
      <x:c r="H41" s="13" t="str">
        <x:v>组织开展个人信息去标识化工作。</x:v>
      </x:c>
      <x:c r="I41" s="13" t="str">
        <x:v>直接删除会影响案件事实表达，或者同一人跨证据关联仍需要稳定角色标识。</x:v>
      </x:c>
      <x:c r="J41" s="13" t="str">
        <x:v>推荐性技术参考；具体采用何种方式属于项目业务规则。</x:v>
      </x:c>
      <x:c r="K41" s="13" t="str">
        <x:v>否；有明确规则时自动选择；复杂模型选择可由业务/技术人员复核</x:v>
      </x:c>
      <x:c r="L41" s="13" t="str">
        <x:v>业务规则</x:v>
      </x:c>
      <x:c r="M41" s="13" t="str">
        <x:v>现行</x:v>
      </x:c>
      <x:c r="N41" s="13" t="str">
        <x:v>2020-03-01</x:v>
      </x:c>
      <x:c r="O41" s="13" t="str"/>
      <x:c r="P41" s="15" t="str">
        <x:v>需核验法源版本、具体条款及本次处理行为；原文保留不表示已审核</x:v>
      </x:c>
      <x:c r="Q41" s="16" t="str">
        <x:v>待核验</x:v>
      </x:c>
      <x:c r="R41" s="15" t="str"/>
      <x:c r="S41" s="15" t="str"/>
    </x:row>
    <x:row r="42" ht="143" customHeight="1">
      <x:c r="A42" s="13" t="str">
        <x:v>LAW-037</x:v>
      </x:c>
      <x:c r="B42" s="13" t="n">
        <x:v>38</x:v>
      </x:c>
      <x:c r="C42" s="13" t="str">
        <x:v>国家标准</x:v>
      </x:c>
      <x:c r="D42" s="13" t="str">
        <x:v>GB/T 37964—2019《信息安全技术 个人信息去标识化指南》</x:v>
      </x:c>
      <x:c r="E42" s="13" t="str">
        <x:v>5.5.1 验证结果含义；5.5.2 验证个人信息安全</x:v>
      </x:c>
      <x:c r="F42" s="13" t="str">
        <x:v>对数据集去标识化后进行验证，以确保生成的数据集在重标识风险和数据有用性方面都符合预设的目标。在验证满足目标过程中，需对去标识化后重标识风险进行评估，计算出实际风险，与预期可接受风险阈值进行比较，若风险超出阈值，需继续进行调整直到满足要求。
验证去标识化数据满足个人信息安全保护要求的方法包括：
a) 检查生成的数据文件，以确保文件数据或元数据中不包含直接标识符和准标识符；
b) 检查生成的数据文件，以确保所得数据符合既定重标识风险要求；</x:v>
      </x:c>
      <x:c r="G42" s="13" t="str">
        <x:v>支撑项目在自动脱敏后进行再识别检验，而不是只检查姓名、手机号是否被删除。</x:v>
      </x:c>
      <x:c r="H42" s="13" t="str">
        <x:v>组织开展个人信息去标识化工作。</x:v>
      </x:c>
      <x:c r="I42" s="13" t="str">
        <x:v>脱敏完成后需要验证外部AI载荷的直接标识符、准标识符及重标识风险。</x:v>
      </x:c>
      <x:c r="J42" s="13" t="str">
        <x:v>推荐性技术参考；未通过验证时应调整项目处理方式，不直接等同法律责任。</x:v>
      </x:c>
      <x:c r="K42" s="13" t="str">
        <x:v>否；属于技术验证环节；重大风险无法自动评价时可人工复核</x:v>
      </x:c>
      <x:c r="L42" s="13" t="str">
        <x:v>业务规则</x:v>
      </x:c>
      <x:c r="M42" s="13" t="str">
        <x:v>现行</x:v>
      </x:c>
      <x:c r="N42" s="13" t="str">
        <x:v>2020-03-01</x:v>
      </x:c>
      <x:c r="O42" s="13" t="str"/>
      <x:c r="P42" s="15" t="str">
        <x:v>需核验法源版本、具体条款及本次处理行为；原文保留不表示已审核</x:v>
      </x:c>
      <x:c r="Q42" s="16" t="str">
        <x:v>待核验</x:v>
      </x:c>
      <x:c r="R42" s="15" t="str"/>
      <x:c r="S42" s="15" t="str"/>
    </x:row>
    <x:row r="43" ht="143" customHeight="1">
      <x:c r="A43" s="13" t="str">
        <x:v>LAW-038</x:v>
      </x:c>
      <x:c r="B43" s="13" t="n">
        <x:v>39</x:v>
      </x:c>
      <x:c r="C43" s="13" t="str">
        <x:v>国家标准</x:v>
      </x:c>
      <x:c r="D43" s="13" t="str">
        <x:v>GB/T 42460—2023《信息安全技术 个人信息去标识化效果评估指南》</x:v>
      </x:c>
      <x:c r="E43" s="13" t="str">
        <x:v>4 表1 个人信息标识度4级划分</x:v>
      </x:c>
      <x:c r="F43" s="13" t="str">
        <x:v>基于数据是否能直接识别个人信息主体，或能以多大概率识别个人信息主体，个人信息标识度分级划分为4级，详见表1，用于区分个人信息去标识化效果。
1级 包含直接标识符，在特定环境下能直接识别个人信息主体
2级 消除了直接标识符，但包含准标识符，且重标识风险高于或等于可接受风险阈值
3级 消除了直接标识符，但包含准标识符，且重标识风险低于可接受风险阈值
4级 不包含任何标识符</x:v>
      </x:c>
      <x:c r="G43" s="13" t="str">
        <x:v>为项目再识别检验提供统一的效果分级口径。不能把“3级/4级”直接写成法律强制门槛，除非另有适用规范或项目规则明确采用。</x:v>
      </x:c>
      <x:c r="H43" s="13" t="str">
        <x:v>适用于个人信息去标识化活动，以及个人信息安全管理、监管和评估。</x:v>
      </x:c>
      <x:c r="I43" s="13" t="str">
        <x:v>需要评价劳动争议材料经脱敏后仍能否直接或组合识别个人。</x:v>
      </x:c>
      <x:c r="J43" s="13" t="str">
        <x:v>推荐性技术参考；分级本身不是法定行政处罚标准。</x:v>
      </x:c>
      <x:c r="K43" s="13" t="str">
        <x:v>否；标准分级可自动/半自动计算；阈值适用性不清时业务复核</x:v>
      </x:c>
      <x:c r="L43" s="13" t="str">
        <x:v>业务规则</x:v>
      </x:c>
      <x:c r="M43" s="13" t="str">
        <x:v>2023-03-17发布；现行</x:v>
      </x:c>
      <x:c r="N43" s="13" t="str">
        <x:v>2023-10-01</x:v>
      </x:c>
      <x:c r="O43" s="13" t="str"/>
      <x:c r="P43" s="15" t="str">
        <x:v>需核验法源版本、具体条款及本次处理行为；原文保留不表示已审核</x:v>
      </x:c>
      <x:c r="Q43" s="16" t="str">
        <x:v>待核验</x:v>
      </x:c>
      <x:c r="R43" s="15" t="str"/>
      <x:c r="S43" s="15" t="str"/>
    </x:row>
    <x:row r="44" ht="218" customHeight="1">
      <x:c r="A44" s="13" t="str">
        <x:v>LAW-039</x:v>
      </x:c>
      <x:c r="B44" s="13" t="n">
        <x:v>40</x:v>
      </x:c>
      <x:c r="C44" s="13" t="str">
        <x:v>国家标准</x:v>
      </x:c>
      <x:c r="D44" s="13" t="str">
        <x:v>GB/T 42460—2023《信息安全技术 个人信息去标识化效果评估指南》</x:v>
      </x:c>
      <x:c r="E44" s="13" t="str">
        <x:v>6.2 定性评估；6.3 定量评估</x:v>
      </x:c>
      <x:c r="F44" s="13" t="str">
        <x:v>定性评估包括：
a) 按照 GB/T 37964—2019 中5.3识别标识符，并形成标识符清单（包括直接标识符和准标识符）；
b) 判断数据集是否包含标识符清单中的标识符，如果不包含任何标识符，评为4级，评估结束，否则继续；
c) 判断数据集是否消除了标识符清单中的直接标识符，如果含有清单中的直接标识符，评为1级，评估结束，否则进一步进行定量评估。
定量评估包括：
a) 定量计算重标识风险，按照6.1 f)确定的重标识风险计算方案进行重标识风险计算；
b) 比较计算得到的重标识风险结果与可接受风险阈值，如果重标识风险结果小于可接受风险阈值，评为3级，否则评为2级，评估结束。</x:v>
      </x:c>
      <x:c r="G44" s="13" t="str">
        <x:v>把“是否还有直接标识符”和“准标识符造成的重标识风险”拆开评价，适合项目再识别检验。</x:v>
      </x:c>
      <x:c r="H44" s="13" t="str">
        <x:v>适用于个人信息去标识化效果评估。</x:v>
      </x:c>
      <x:c r="I44" s="13" t="str">
        <x:v>外部AI载荷已经完成脱敏，需要验证其标识度。</x:v>
      </x:c>
      <x:c r="J44" s="13" t="str">
        <x:v>推荐性技术参考；不得将1—4级本身冒充法律责任等级。</x:v>
      </x:c>
      <x:c r="K44" s="13" t="str">
        <x:v>否；常规字段可自动判定；复杂风险阈值适用性不明时复核</x:v>
      </x:c>
      <x:c r="L44" s="13" t="str">
        <x:v>业务规则</x:v>
      </x:c>
      <x:c r="M44" s="13" t="str">
        <x:v>2023-03-17发布；现行</x:v>
      </x:c>
      <x:c r="N44" s="13" t="str">
        <x:v>2023-10-01</x:v>
      </x:c>
      <x:c r="O44" s="13" t="str"/>
      <x:c r="P44" s="15" t="str">
        <x:v>需核验法源版本、具体条款及本次处理行为；原文保留不表示已审核</x:v>
      </x:c>
      <x:c r="Q44" s="16" t="str">
        <x:v>待核验</x:v>
      </x:c>
      <x:c r="R44" s="15" t="str"/>
      <x:c r="S44" s="15" t="str"/>
    </x:row>
    <x:row r="45" ht="400" customHeight="1">
      <x:c r="A45" s="13" t="str">
        <x:v>LAW-040</x:v>
      </x:c>
      <x:c r="B45" s="13" t="n">
        <x:v>41</x:v>
      </x:c>
      <x:c r="C45" s="13" t="str">
        <x:v>国家标准</x:v>
      </x:c>
      <x:c r="D45" s="13" t="str">
        <x:v>GB/T 42460—2023《信息安全技术 个人信息去标识化效果评估指南》</x:v>
      </x:c>
      <x:c r="E45" s="13" t="str">
        <x:v>附录A、附录B</x:v>
      </x:c>
      <x:c r="F45" s="13" t="str">
        <x:v>任何在特定环境下可唯一识别个人的识别号码、特征或代码等属于直接标识符，常见的直接标识符包括但不限于：
a)姓名；
b)公民身份号码；
c)护照号；
d)驾驶证号；
e)详细住址；
f)电子邮件地址；
g)电话号码(包括手机号和固定电话号码)；
h)传真号码；
i)银行账户；
j)车辆标识符和序列号(包括车牌号)；
k)社会保障号码；
l)健康卡号码；
m)病历号码；
n)设备标识符和序列号；
o)生物识别码(包括指纹和声纹等识别码)；
p)全脸图片图像和其他任何可比对的图像；
q)账号、证书号或许可证号；
r)互联网协议(IP)地址。
任何在相应环境下无法单独唯一识别个人信息主体，但结合其他信息可唯一识别个人信息主体的属性属于准标识符，常见的准标识符包括但不限于：
a)性别；
b)出生日期或年龄；
c)事件日期(例如入院、手术、出院、访问相关日期)；
d)地理范围(例如邮政编码、建筑名称、地区)；
e)族裔血统；
f)国籍、籍贯；
g)语言；
h)原住民身份；
i)可见的少数民族地位；
j)职务、工作单位、部门等职业信息；
k)婚姻状况；
l)受教育水平；
m)上学年限；
n)总收入；
o)宗教信仰。</x:v>
      </x:c>
      <x:c r="G45" s="13" t="str">
        <x:v>用于劳动争议材料中直接标识符、准标识符的字段级识别，尤其对应姓名、身份证号、地址、电话、邮箱、银行账户、年龄、日期、地点、职业、婚姻、收入等。</x:v>
      </x:c>
      <x:c r="H45" s="13" t="str">
        <x:v>适用于个人信息去标识化效果评估。</x:v>
      </x:c>
      <x:c r="I45" s="13" t="str">
        <x:v>劳动争议证据中出现上述字段。</x:v>
      </x:c>
      <x:c r="J45" s="13" t="str">
        <x:v>推荐性技术参考；不改变个保法关于个人信息/敏感个人信息的法律性质。</x:v>
      </x:c>
      <x:c r="K45" s="13" t="str">
        <x:v>否；可作为自动字段识别清单</x:v>
      </x:c>
      <x:c r="L45" s="13" t="str">
        <x:v>业务规则</x:v>
      </x:c>
      <x:c r="M45" s="13" t="str">
        <x:v>2023-03-17发布；现行</x:v>
      </x:c>
      <x:c r="N45" s="13" t="str">
        <x:v>2023-10-01</x:v>
      </x:c>
      <x:c r="O45" s="13" t="str"/>
      <x:c r="P45" s="15" t="str">
        <x:v>需核验法源版本、具体条款及本次处理行为；原文保留不表示已审核</x:v>
      </x:c>
      <x:c r="Q45" s="16" t="str">
        <x:v>待核验</x:v>
      </x:c>
      <x:c r="R45" s="15" t="str"/>
      <x:c r="S45" s="15" t="str"/>
    </x:row>
    <x:row r="46" ht="218" customHeight="1">
      <x:c r="A46" s="13" t="str">
        <x:v>LAW-041</x:v>
      </x:c>
      <x:c r="B46" s="13" t="n">
        <x:v>42</x:v>
      </x:c>
      <x:c r="C46" s="13" t="str">
        <x:v>国家标准</x:v>
      </x:c>
      <x:c r="D46" s="13" t="str">
        <x:v>GB/T 45574—2025《数据安全技术 敏感个人信息处理安全要求》</x:v>
      </x:c>
      <x:c r="E46" s="13" t="str">
        <x:v>3.2；4.1；4.2</x:v>
      </x:c>
      <x:c r="F46" s="13" t="str">
        <x:v>敏感个人信息 sensitivepersonalinformation
一旦泄露或非法使用,容易导致自然人的人格尊严受到侵害或人身财产安全受到危害的个人信息。
注:敏感个人信息包括生物识别、宗教信仰、特定身份、医疗健康、金融账户和行踪轨迹等信息和不满十四周岁未成年人的个人信息。
个人信息处理者应按以下规则,识别敏感个人信息。
a) 符合以下任一条件的个人信息,应识别为敏感个人信息:
1) 一旦遭到泄露或非法使用,容易导致自然人的人格尊严受到侵害;
2) 一旦遭到泄露或非法使用,容易导致自然人的人身安全受到危害;
3) 一旦遭到泄露或非法使用,容易导致自然人的财产安全受到危害;</x:v>
      </x:c>
      <x:c r="G46" s="13" t="str">
        <x:v>为劳动争议材料中的医疗健康、金融账户、生物识别、行踪轨迹、不满14周岁等敏感信息建立识别口径，并考虑多项一般信息汇聚后的整体属性。</x:v>
      </x:c>
      <x:c r="H46" s="13" t="str">
        <x:v>个人信息处理者开展敏感个人信息处理活动；也适用于监管部门和第三方评估机构监督、管理和评估。</x:v>
      </x:c>
      <x:c r="I46" s="13" t="str">
        <x:v>材料出现可能达到敏感个人信息识别条件的信息。</x:v>
      </x:c>
      <x:c r="J46" s="13" t="str">
        <x:v>推荐性国家标准本身不等于个保法的法定强制义务；其识别和安全措施作为业务/技术参考使用。</x:v>
      </x:c>
      <x:c r="K46" s="13" t="str">
        <x:v>否；敏感类别明确时自动识别；法律适用或特殊事实不清时再复核</x:v>
      </x:c>
      <x:c r="L46" s="13" t="str">
        <x:v>业务规则</x:v>
      </x:c>
      <x:c r="M46" s="13" t="str">
        <x:v>2025-04-25发布；现行</x:v>
      </x:c>
      <x:c r="N46" s="13" t="str">
        <x:v>2025-11-01</x:v>
      </x:c>
      <x:c r="O46" s="13" t="str"/>
      <x:c r="P46" s="15" t="str">
        <x:v>需核验法源版本、具体条款及本次处理行为；原文保留不表示已审核</x:v>
      </x:c>
      <x:c r="Q46" s="16" t="str">
        <x:v>待核验</x:v>
      </x:c>
      <x:c r="R46" s="15" t="str"/>
      <x:c r="S46" s="15" t="str"/>
    </x:row>
    <x:row r="47" ht="278" customHeight="1">
      <x:c r="A47" s="13" t="str">
        <x:v>LAW-042</x:v>
      </x:c>
      <x:c r="B47" s="13" t="n">
        <x:v>43</x:v>
      </x:c>
      <x:c r="C47" s="13" t="str">
        <x:v>国家标准</x:v>
      </x:c>
      <x:c r="D47" s="13" t="str">
        <x:v>GB/T 45574—2025《数据安全技术 敏感个人信息处理安全要求》</x:v>
      </x:c>
      <x:c r="E47" s="13" t="str">
        <x:v>5.1；5.5 b)、e)、j)、l)、m)</x:v>
      </x:c>
      <x:c r="F47" s="13" t="str">
        <x:v>敏感个人信息处理,符合以下基本要求:
a) 敏感个人信息处理应符合 GB/T35273中个人信息相关要求;
b) 只有在具有特定的目的和充分的必要性,并采取严格保护措施的情形下,个人信息处理者方可处理敏感个人信息;
c) 基于个人同意处理敏感个人信息的,应取得个人信息主体的单独同意。
敏感个人信息去标识化后应作为一般个人信息进行保护,匿名化处理后的个人信息除外。
应建立敏感个人信息处理授权审批流程,对敏感个人信息的内部共享、对外提供、公开、批量查询、明文显示、下载和输出等重要操作进行审批。
敏感个人信息应加密存储和加密传输,采用的密码算法和密码技术应符合相关密码国家标准和行业标准,或密码管理部门有关规定。
敏感个人信息在产品和内部系统显示时,应默认进行去标识化处理。
应按最少够用原则,严格限制敏感个人信息访问权限和有效期,敏感个人信息权限申请和使用应基于业务需要,且仅授予访问其业务所必需的最少敏感个人信息类型和数量;</x:v>
      </x:c>
      <x:c r="G47" s="13" t="str">
        <x:v>为敏感劳动争议材料提供处理、审批、加密、去标识化和最少够用的技术/业务控制参考。特别注意：本标准为推荐性国家标准，不能把其中“应”直接写成法律强制。</x:v>
      </x:c>
      <x:c r="H47" s="13" t="str">
        <x:v>个人信息处理者开展敏感个人信息处理活动。</x:v>
      </x:c>
      <x:c r="I47" s="13" t="str">
        <x:v>外部AI载荷含敏感个人信息，且需要对外提供。</x:v>
      </x:c>
      <x:c r="J47" s="13" t="str">
        <x:v>推荐性业务规则；若项目制度、合同或适用规则另有约束，应依其约束执行。</x:v>
      </x:c>
      <x:c r="K47" s="13" t="str">
        <x:v>否；明确场景下自动最小化和去标识化；外部提供条件不明时按项目规则复核</x:v>
      </x:c>
      <x:c r="L47" s="13" t="str">
        <x:v>业务规则</x:v>
      </x:c>
      <x:c r="M47" s="13" t="str">
        <x:v>2025-04-25发布；现行</x:v>
      </x:c>
      <x:c r="N47" s="13" t="str">
        <x:v>2025-11-01</x:v>
      </x:c>
      <x:c r="O47" s="13" t="str"/>
      <x:c r="P47" s="15" t="str">
        <x:v>需核验法源版本、具体条款及本次处理行为；原文保留不表示已审核</x:v>
      </x:c>
      <x:c r="Q47" s="16" t="str">
        <x:v>待核验</x:v>
      </x:c>
      <x:c r="R47" s="15" t="str"/>
      <x:c r="S47" s="15" t="str"/>
    </x:row>
    <x:row r="48" ht="188" customHeight="1">
      <x:c r="A48" s="13" t="str">
        <x:v>LAW-043</x:v>
      </x:c>
      <x:c r="B48" s="13" t="n">
        <x:v>44</x:v>
      </x:c>
      <x:c r="C48" s="13" t="str">
        <x:v>国家标准</x:v>
      </x:c>
      <x:c r="D48" s="13" t="str">
        <x:v>GB/T 45574—2025《数据安全技术 敏感个人信息处理安全要求》</x:v>
      </x:c>
      <x:c r="E48" s="13" t="str">
        <x:v>6.4 医疗健康信息</x:v>
      </x:c>
      <x:c r="F48" s="13" t="str">
        <x:v>个人信息处理者处理医疗健康信息,在符合第5章要求的基础上,还符合以下要求:
a) 应依据医疗健康行业法律和行政法规等的要求,根据医疗健康信息的敏感程度和对个人信息主体可能造成的影响进行分类分级管理和保护;
b) 对个人医疗健康信息的收集、存储、使用和加工等环节,应建立相应的访问控制权限审批机制,例如艾滋病和性病仅限于主治医护人员访问等;
c) 应去标识化显示医疗健康信息,确需完整显示的,应进行个人信息主体或授权人员身份验证;
d) 用于临床研究、医药和医疗研发时,医疗健康信息宜按GB/T 37964去标识化后使用。</x:v>
      </x:c>
      <x:c r="G48" s="13" t="str">
        <x:v>劳动争议中的工伤、职业病、病假、生育等材料属于医疗健康信息时，项目可据此加强去标识化显示和访问控制；不得把该条直接解释为一律禁止外部AI处理。</x:v>
      </x:c>
      <x:c r="H48" s="13" t="str">
        <x:v>个人信息处理者处理医疗健康信息。</x:v>
      </x:c>
      <x:c r="I48" s="13" t="str">
        <x:v>材料包含病历、诊断、体检、职业病、生育等健康信息。</x:v>
      </x:c>
      <x:c r="J48" s="13" t="str">
        <x:v>推荐性业务规则；具体法律强制仍由个保法及医疗健康相关法律法规决定。</x:v>
      </x:c>
      <x:c r="K48" s="13" t="str">
        <x:v>否；明确可最小化时自动处理；具体行业限制或特殊用途不明时复核</x:v>
      </x:c>
      <x:c r="L48" s="13" t="str">
        <x:v>业务规则</x:v>
      </x:c>
      <x:c r="M48" s="13" t="str">
        <x:v>2025-04-25发布；现行</x:v>
      </x:c>
      <x:c r="N48" s="13" t="str">
        <x:v>2025-11-01</x:v>
      </x:c>
      <x:c r="O48" s="13" t="str"/>
      <x:c r="P48" s="15" t="str">
        <x:v>需核验法源版本、具体条款及本次处理行为；原文保留不表示已审核</x:v>
      </x:c>
      <x:c r="Q48" s="16" t="str">
        <x:v>待核验</x:v>
      </x:c>
      <x:c r="R48" s="15" t="str"/>
      <x:c r="S48" s="15" t="str"/>
    </x:row>
    <x:row r="49" ht="98" customHeight="1">
      <x:c r="A49" s="13" t="str">
        <x:v>LAW-044</x:v>
      </x:c>
      <x:c r="B49" s="13" t="n">
        <x:v>45</x:v>
      </x:c>
      <x:c r="C49" s="13" t="str">
        <x:v>国家标准</x:v>
      </x:c>
      <x:c r="D49" s="13" t="str">
        <x:v>GB/T 45574—2025《数据安全技术 敏感个人信息处理安全要求》</x:v>
      </x:c>
      <x:c r="E49" s="13" t="str">
        <x:v>6.5 金融账户信息</x:v>
      </x:c>
      <x:c r="F49" s="13" t="str">
        <x:v>个人信息处理者处理金融账户信息,在符合第5章要求的基础上,还符合以下要求:
a) 应依据法律和行政法规等的要求,根据金融账户信息的敏感程度和对个人信息主体可能造成的影响进行分类分级管理和保护;
e) 金融账户信息应去标识化显示,确需完整显示的,应进行个人信息主体身份验证;</x:v>
      </x:c>
      <x:c r="G49" s="13" t="str">
        <x:v>劳动争议工资流水、银行卡号、账户交易信息等可据此采用去标识化显示；项目通常不需要向外部AI提供完整银行卡号。</x:v>
      </x:c>
      <x:c r="H49" s="13" t="str">
        <x:v>个人信息处理者处理金融账户信息。</x:v>
      </x:c>
      <x:c r="I49" s="13" t="str">
        <x:v>工资流水、支付凭证等材料包含银行账户信息。</x:v>
      </x:c>
      <x:c r="J49" s="13" t="str">
        <x:v>推荐性业务规则；具体法律强制由个保法第28条等确定。</x:v>
      </x:c>
      <x:c r="K49" s="13" t="str">
        <x:v>否；规则明确时自动去标识化；确需完整账户信息且必要性不明时复核</x:v>
      </x:c>
      <x:c r="L49" s="13" t="str">
        <x:v>业务规则</x:v>
      </x:c>
      <x:c r="M49" s="13" t="str">
        <x:v>2025-04-25发布；现行</x:v>
      </x:c>
      <x:c r="N49" s="13" t="str">
        <x:v>2025-11-01</x:v>
      </x:c>
      <x:c r="O49" s="13" t="str"/>
      <x:c r="P49" s="15" t="str">
        <x:v>需核验法源版本、具体条款及本次处理行为；原文保留不表示已审核</x:v>
      </x:c>
      <x:c r="Q49" s="16" t="str">
        <x:v>待核验</x:v>
      </x:c>
      <x:c r="R49" s="15" t="str"/>
      <x:c r="S49" s="15" t="str"/>
    </x:row>
    <x:row r="50" ht="158" customHeight="1">
      <x:c r="A50" s="13" t="str">
        <x:v>LAW-045</x:v>
      </x:c>
      <x:c r="B50" s="13" t="n">
        <x:v>46</x:v>
      </x:c>
      <x:c r="C50" s="13" t="str">
        <x:v>国家标准</x:v>
      </x:c>
      <x:c r="D50" s="13" t="str">
        <x:v>GB/T 45574—2025《数据安全技术 敏感个人信息处理安全要求》</x:v>
      </x:c>
      <x:c r="E50" s="13" t="str">
        <x:v>6.6 行踪轨迹信息</x:v>
      </x:c>
      <x:c r="F50" s="13" t="str">
        <x:v>个人信息处理者处理行踪轨迹信息,在符合第5章要求的基础上,还符合以下要求:
a) 持续收集行踪轨迹信息的,应提供持续提示机制;
b) 不应标注行踪轨迹涉及的国家有关部门规定的敏感位置区域;
c) 应仅在使用涉及行踪轨迹相关业务功能时,以最小频率和范围调用行踪轨迹信息;
d) 如业务功能仅收集地理位置信息,但加工后产生的信息包含经纬度、时间范围和地点空间等,则应与行踪轨迹信息同等保护要求;
e) 通过界面显示行踪轨迹信息的,宜对显示的行踪轨迹信息采取去标识化处理等措施。</x:v>
      </x:c>
      <x:c r="G50" s="13" t="str">
        <x:v>劳动争议中考勤定位、出差轨迹、GPS等材料应尽量缩减为争议所需时间、地点和事件，不宜将连续无关轨迹整体发送。</x:v>
      </x:c>
      <x:c r="H50" s="13" t="str">
        <x:v>个人信息处理者处理行踪轨迹信息。</x:v>
      </x:c>
      <x:c r="I50" s="13" t="str">
        <x:v>材料含连续定位、GPS、连续活动轨迹等信息。</x:v>
      </x:c>
      <x:c r="J50" s="13" t="str">
        <x:v>推荐性业务规则；个保法第28条的敏感个人信息义务仍是法律规范。</x:v>
      </x:c>
      <x:c r="K50" s="13" t="str">
        <x:v>否；可自动按争议时间/地点最小化；无法判断哪些轨迹属于案件必要范围时复核</x:v>
      </x:c>
      <x:c r="L50" s="13" t="str">
        <x:v>业务规则</x:v>
      </x:c>
      <x:c r="M50" s="13" t="str">
        <x:v>2025-04-25发布；现行</x:v>
      </x:c>
      <x:c r="N50" s="13" t="str">
        <x:v>2025-11-01</x:v>
      </x:c>
      <x:c r="O50" s="13" t="str"/>
      <x:c r="P50" s="15" t="str">
        <x:v>需核验法源版本、具体条款及本次处理行为；原文保留不表示已审核</x:v>
      </x:c>
      <x:c r="Q50" s="16" t="str">
        <x:v>待核验</x:v>
      </x:c>
      <x:c r="R50" s="15" t="str"/>
      <x:c r="S50" s="15" t="str"/>
    </x:row>
    <x:row r="51" ht="68" customHeight="1">
      <x:c r="A51" s="13" t="str">
        <x:v>LAW-046</x:v>
      </x:c>
      <x:c r="B51" s="13" t="n">
        <x:v>47</x:v>
      </x:c>
      <x:c r="C51" s="13" t="str">
        <x:v>国家标准</x:v>
      </x:c>
      <x:c r="D51" s="13" t="str">
        <x:v>GB/T 45574—2025《数据安全技术 敏感个人信息处理安全要求》</x:v>
      </x:c>
      <x:c r="E51" s="13" t="str">
        <x:v>6.7 不满十四周岁未成年人的个人信息</x:v>
      </x:c>
      <x:c r="F51" s="13" t="str">
        <x:v>个人信息处理者处理不满十四周岁未成年人的个人信息,在符合第5章要求的基础上,还符合以下要求。
a) 仅在未成年人相关法律法规有明确要求时,方可收集不满十四周岁未成年人身份信息。</x:v>
      </x:c>
      <x:c r="G51" s="13" t="str">
        <x:v>劳动争议材料如附带劳动者子女等不满14周岁人员信息，应与一般家庭成员信息区分；无关信息优先删除，确需处理时核实个保法第31条及相关规则。</x:v>
      </x:c>
      <x:c r="H51" s="13" t="str">
        <x:v>个人信息处理者处理不满十四周岁未成年人个人信息。</x:v>
      </x:c>
      <x:c r="I51" s="13" t="str">
        <x:v>材料中出现不满14周岁人员的身份信息或其他个人信息。</x:v>
      </x:c>
      <x:c r="J51" s="13" t="str">
        <x:v>推荐性业务规则；个保法第31条等属于法律规范。</x:v>
      </x:c>
      <x:c r="K51" s="13" t="str">
        <x:v>是；年龄、监护关系、处理基础或必要性无法自动确认时</x:v>
      </x:c>
      <x:c r="L51" s="13" t="str">
        <x:v>业务规则</x:v>
      </x:c>
      <x:c r="M51" s="13" t="str">
        <x:v>2025-04-25发布；现行</x:v>
      </x:c>
      <x:c r="N51" s="13" t="str">
        <x:v>2025-11-01</x:v>
      </x:c>
      <x:c r="O51" s="13" t="str"/>
      <x:c r="P51" s="15" t="str">
        <x:v>需核验法源版本、具体条款及本次处理行为；原文保留不表示已审核</x:v>
      </x:c>
      <x:c r="Q51" s="16" t="str">
        <x:v>待核验</x:v>
      </x:c>
      <x:c r="R51" s="15" t="str"/>
      <x:c r="S51" s="15" t="str"/>
    </x:row>
    <x:row r="52" ht="53" customHeight="1">
      <x:c r="A52" s="13" t="str">
        <x:v>LAW-047</x:v>
      </x:c>
      <x:c r="B52" s="13" t="n">
        <x:v>48</x:v>
      </x:c>
      <x:c r="C52" s="13" t="str">
        <x:v>法律</x:v>
      </x:c>
      <x:c r="D52" s="13" t="str">
        <x:v>《中华人民共和国个人信息保护法》</x:v>
      </x:c>
      <x:c r="E52" s="13" t="str">
        <x:v>第3—10、13—19、21、23、25、27—32、38—40、51、55—56、59、66、69—74条</x:v>
      </x:c>
      <x:c r="F52" s="13" t="str">
        <x:v>处理个人信息应当具有明确、合理的目的，并应当与处理目的直接相关，采取对个人权益影响最小的方式。收集个人信息，应当限于实现处理目的的最小范围，不得过度收集个人信息。</x:v>
      </x:c>
      <x:c r="G52" s="13" t="str">
        <x:v>作为本项目个人信息外部处理的总入口：先判断处理行为、合法性基础、最小必要、敏感个人信息、委托/提供、公开、跨境、安全措施、影响评估及法律责任，再决定D/L0-L4。</x:v>
      </x:c>
      <x:c r="H52" s="13" t="str">
        <x:v>境内个人信息处理者；第3条规定的特定境外处理情形亦适用。</x:v>
      </x:c>
      <x:c r="I52" s="13" t="str">
        <x:v>劳动争议诉讼/仲裁材料拟由外部AI收集、存储、使用、加工、传输、提供或公开。</x:v>
      </x:c>
      <x:c r="J52" s="13" t="str">
        <x:v>不符合合法性基础、目的与最小必要、敏感信息特别规则、委托/提供、跨境或安全义务的，不得继续相应处理；具体责任依违法行为承担。</x:v>
      </x:c>
      <x:c r="K52" s="13" t="str">
        <x:v>是；关键处理事实、法律基础、处理主体或外部接收关系不清时；规则明确时不因敏感标签自动复核。</x:v>
      </x:c>
      <x:c r="L52" s="13" t="str">
        <x:v>法律规范</x:v>
      </x:c>
      <x:c r="M52" s="13" t="str">
        <x:v>2021-08-20通过；2021-11-01施行；本次检索未发现相关条文后续修订</x:v>
      </x:c>
      <x:c r="N52" s="13" t="str">
        <x:v>2021-11-01</x:v>
      </x:c>
      <x:c r="O52" s="13" t="str">
        <x:v>https://www.miit.gov.cn/jgsj/zfs/fl/art/2022/art_515a4b20c12f430eab54bb4f56d89f56.html</x:v>
      </x:c>
      <x:c r="P52" s="15" t="str">
        <x:v>需核验法源版本、具体条款及本次处理行为；原文保留不表示已审核</x:v>
      </x:c>
      <x:c r="Q52" s="16" t="str">
        <x:v>待核验</x:v>
      </x:c>
      <x:c r="R52" s="15" t="str"/>
      <x:c r="S52" s="15" t="str"/>
    </x:row>
    <x:row r="53" ht="68" customHeight="1">
      <x:c r="A53" s="13" t="str">
        <x:v>LAW-048</x:v>
      </x:c>
      <x:c r="B53" s="13" t="n">
        <x:v>49</x:v>
      </x:c>
      <x:c r="C53" s="13" t="str">
        <x:v>法律</x:v>
      </x:c>
      <x:c r="D53" s="13" t="str">
        <x:v>《中华人民共和国民法典》</x:v>
      </x:c>
      <x:c r="E53" s="13" t="str">
        <x:v>第1032—1036条</x:v>
      </x:c>
      <x:c r="F53" s="13" t="str">
        <x:v>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x:v>
      </x:c>
      <x:c r="G53" s="13" t="str">
        <x:v>补充判断劳动争议材料中的隐私、私密信息和个人信息边界；与个保法共同用于判断家庭隐私、医疗、行踪、联系方式等信息的处理必要性与民事责任。</x:v>
      </x:c>
      <x:c r="H53" s="13" t="str">
        <x:v>所有自然人；私密信息同时受隐私权规则保护。</x:v>
      </x:c>
      <x:c r="I53" s="13" t="str">
        <x:v>材料包含家庭生活、私生活、医疗、通信、行踪等可能构成隐私或私密信息的内容。</x:v>
      </x:c>
      <x:c r="J53" s="13" t="str">
        <x:v>违反隐私权和个人信息保护规则可能产生民事责任；第1036条的合理处理例外不能被扩大解释为任意第三方外传许可。</x:v>
      </x:c>
      <x:c r="K53" s="13" t="str">
        <x:v>是；私密信息范围、合理处理依据或必要性不明时。</x:v>
      </x:c>
      <x:c r="L53" s="13" t="str">
        <x:v>法律规范</x:v>
      </x:c>
      <x:c r="M53" s="13" t="str">
        <x:v>2020-05-28通过；2021-01-01施行</x:v>
      </x:c>
      <x:c r="N53" s="13" t="str">
        <x:v>2021-01-01</x:v>
      </x:c>
      <x:c r="O53" s="13" t="str"/>
      <x:c r="P53" s="15" t="str">
        <x:v>需核验法源版本、具体条款及本次处理行为；原文保留不表示已审核</x:v>
      </x:c>
      <x:c r="Q53" s="16" t="str">
        <x:v>待核验</x:v>
      </x:c>
      <x:c r="R53" s="15" t="str"/>
      <x:c r="S53" s="15" t="str"/>
    </x:row>
    <x:row r="54" ht="68" customHeight="1">
      <x:c r="A54" s="13" t="str">
        <x:v>LAW-049</x:v>
      </x:c>
      <x:c r="B54" s="13" t="n">
        <x:v>50</x:v>
      </x:c>
      <x:c r="C54" s="13" t="str">
        <x:v>行政法规</x:v>
      </x:c>
      <x:c r="D54" s="13" t="str">
        <x:v>《网络数据安全管理条例》</x:v>
      </x:c>
      <x:c r="E54" s="13" t="str">
        <x:v>第2、8、12、21—28、63—64条</x:v>
      </x:c>
      <x:c r="F54" s="13" t="str">
        <x:v>网络数据处理者向其他网络数据处理者提供个人信息和重要数据，以及委托处理个人信息和重要数据的，应当通过合同等方式约定处理目的、方式、范围以及安全保护义务等，并对受托处理者的个人信息和重要数据处理活动进行监督。</x:v>
      </x:c>
      <x:c r="G54" s="13" t="str">
        <x:v>对网络化外部AI调用提供委托、提供、告知、敏感个人信息和未成年人保护等场景的行政法规层面细化；特别用于核查外部服务商角色、合同、处理范围、告知和安全义务。</x:v>
      </x:c>
      <x:c r="H54" s="13" t="str">
        <x:v>中华人民共和国境内网络数据处理活动及其安全监督管理；符合规定的境外处理亦受相关条款约束。</x:v>
      </x:c>
      <x:c r="I54" s="13" t="str">
        <x:v>劳动争议材料通过网络接口、云服务或其他网络数据处理方式交给外部模型/服务商。</x:v>
      </x:c>
      <x:c r="J54" s="13" t="str">
        <x:v>未履行合同约定、告知、敏感信息/未成年人或安全管理等要求的，可能承担相应法律责任；涉及国家秘密、工作秘密的从其特别保密规则。</x:v>
      </x:c>
      <x:c r="K54" s="13" t="str">
        <x:v>是；网络数据处理主体、受托/独立处理者关系、处理合同和适用特殊规则不明时。</x:v>
      </x:c>
      <x:c r="L54" s="13" t="str">
        <x:v>行政法规</x:v>
      </x:c>
      <x:c r="M54" s="13" t="str">
        <x:v>国务院令第790号；2024-09-24公布；2025-01-01施行</x:v>
      </x:c>
      <x:c r="N54" s="13" t="str">
        <x:v>2025-01-01</x:v>
      </x:c>
      <x:c r="O54" s="13" t="str"/>
      <x:c r="P54" s="15" t="str">
        <x:v>需核验法源版本、具体条款及本次处理行为；原文保留不表示已审核</x:v>
      </x:c>
      <x:c r="Q54" s="16" t="str">
        <x:v>待核验</x:v>
      </x:c>
      <x:c r="R54" s="15" t="str"/>
      <x:c r="S54" s="15" t="str"/>
    </x:row>
    <x:row r="55" ht="53" customHeight="1">
      <x:c r="A55" s="13" t="str">
        <x:v>LAW-050</x:v>
      </x:c>
      <x:c r="B55" s="13" t="n">
        <x:v>51</x:v>
      </x:c>
      <x:c r="C55" s="13" t="str">
        <x:v>部门规章</x:v>
      </x:c>
      <x:c r="D55" s="13" t="str">
        <x:v>《个人信息保护合规审计管理办法》</x:v>
      </x:c>
      <x:c r="E55" s="13" t="str">
        <x:v>第1—18条；附件《个人信息保护合规审计指引》第二—二十四项</x:v>
      </x:c>
      <x:c r="F55" s="13" t="str">
        <x:v>第一条 为了规范个人信息保护合规审计活动，保护个人信息权益，根据《中华人民共和国个人信息保护法》、《网络数据安全管理条例》等法律、行政法规，制定本办法。</x:v>
      </x:c>
      <x:c r="G55" s="13" t="str">
        <x:v>把个人信息保护法等上位法要求转换为可审计的核验事项，适合项目把外部AI调用前后的委托处理、向其他处理者提供、敏感个人信息、未成年人、公开及跨境等判断形成留痕。</x:v>
      </x:c>
      <x:c r="H55" s="13" t="str">
        <x:v>个人信息处理者及承担合规审计的相关主体。</x:v>
      </x:c>
      <x:c r="I55" s="13" t="str">
        <x:v>项目内部需要核验外部AI处理是否符合个人信息保护要求，或后续需要形成可审计记录。</x:v>
      </x:c>
      <x:c r="J55" s="13" t="str">
        <x:v>未按适用要求开展合规审计或者发现问题未整改的，依相关法律法规承担相应责任；本办法本身不等于逐项新增‘禁止外发’条款。</x:v>
      </x:c>
      <x:c r="K55" s="13" t="str">
        <x:v>否；作为合规核验框架，除非审计发现的决定性事实影响外部处理合法性。</x:v>
      </x:c>
      <x:c r="L55" s="13" t="str">
        <x:v>法律规范</x:v>
      </x:c>
      <x:c r="M55" s="13" t="str">
        <x:v>国家互联网信息办公室令第18号；2025-02-12公布；2025-05-01施行</x:v>
      </x:c>
      <x:c r="N55" s="13" t="str">
        <x:v>2025-05-01</x:v>
      </x:c>
      <x:c r="O55" s="13" t="str"/>
      <x:c r="P55" s="15" t="str">
        <x:v>需核验法源版本、具体条款及本次处理行为；原文保留不表示已审核</x:v>
      </x:c>
      <x:c r="Q55" s="16" t="str">
        <x:v>待核验</x:v>
      </x:c>
      <x:c r="R55" s="15" t="str"/>
      <x:c r="S55" s="15" t="str"/>
    </x:row>
    <x:row r="56" ht="53" customHeight="1">
      <x:c r="A56" s="13" t="str">
        <x:v>LAW-051</x:v>
      </x:c>
      <x:c r="B56" s="13" t="n">
        <x:v>52</x:v>
      </x:c>
      <x:c r="C56" s="13" t="str">
        <x:v>部门规范性文件</x:v>
      </x:c>
      <x:c r="D56" s="13" t="str">
        <x:v>《促进和规范数据跨境流动规定》</x:v>
      </x:c>
      <x:c r="E56" s="13" t="str">
        <x:v>第2—14条</x:v>
      </x:c>
      <x:c r="F56" s="13" t="str">
        <x:v>数据处理者向境外提供个人信息，符合下列条件之一的，免予申报数据出境安全评估、订立个人信息出境标准合同、通过个人信息保护认证。</x:v>
      </x:c>
      <x:c r="G56" s="13" t="str">
        <x:v>用于确定劳动争议材料涉及跨境外部AI时，是走豁免、标准合同/认证还是安全评估的判断入口；尤其关注劳动规章制度和集体合同下的跨境人力资源管理豁免，以及数量门槛。</x:v>
      </x:c>
      <x:c r="H56" s="13" t="str">
        <x:v>向境外提供数据的境内数据处理者；涉及重要数据和个人信息出境。</x:v>
      </x:c>
      <x:c r="I56" s="13" t="str">
        <x:v>境外模型、境外API、境外服务器或境外接收方实际接触/获取劳动争议材料。</x:v>
      </x:c>
      <x:c r="J56" s="13" t="str">
        <x:v>属于豁免情形的按规定执行；达到安全评估、标准合同或认证条件的，未满足相应程序不得出境。</x:v>
      </x:c>
      <x:c r="K56" s="13" t="str">
        <x:v>是；数据流向、境外接收方、数量门槛及豁免条件无法由系统确认时。</x:v>
      </x:c>
      <x:c r="L56" s="13" t="str">
        <x:v>法律规范</x:v>
      </x:c>
      <x:c r="M56" s="13" t="str">
        <x:v>国家互联网信息办公室令第16号；2024-03-22公布施行</x:v>
      </x:c>
      <x:c r="N56" s="13" t="str">
        <x:v>2024-03-22</x:v>
      </x:c>
      <x:c r="O56" s="13" t="str"/>
      <x:c r="P56" s="15" t="str">
        <x:v>需核验法源版本、具体条款及本次处理行为；原文保留不表示已审核</x:v>
      </x:c>
      <x:c r="Q56" s="16" t="str">
        <x:v>待核验</x:v>
      </x:c>
      <x:c r="R56" s="15" t="str"/>
      <x:c r="S56" s="15" t="str"/>
    </x:row>
    <x:row r="57" ht="53" customHeight="1">
      <x:c r="A57" s="13" t="str">
        <x:v>LAW-052</x:v>
      </x:c>
      <x:c r="B57" s="13" t="n">
        <x:v>53</x:v>
      </x:c>
      <x:c r="C57" s="13" t="str">
        <x:v>部门规章</x:v>
      </x:c>
      <x:c r="D57" s="13" t="str">
        <x:v>《数据出境安全评估办法》</x:v>
      </x:c>
      <x:c r="E57" s="13" t="str">
        <x:v>第2—18条</x:v>
      </x:c>
      <x:c r="F57" s="13" t="str">
        <x:v>数据处理者在申报数据出境安全评估前，应当开展数据出境风险自评估，重点评估数据出境和境外接收方处理数据的目的、范围、方式等的合法性、正当性、必要性。</x:v>
      </x:c>
      <x:c r="G57" s="13" t="str">
        <x:v>用于境外AI/API调用的安全评估路径、风险自评估、法律文件和安全要求核查；与2024年《促进和规范数据跨境流动规定》衔接时，以现行规定的门槛和豁免为准。</x:v>
      </x:c>
      <x:c r="H57" s="13" t="str">
        <x:v>向境外提供境内运营中收集和产生的个人信息、重要数据的数据处理者；具体申报范围按现行跨境规则调整。</x:v>
      </x:c>
      <x:c r="I57" s="13" t="str">
        <x:v>劳动争议材料实际发生个人信息/重要数据出境并达到安全评估条件。</x:v>
      </x:c>
      <x:c r="J57" s="13" t="str">
        <x:v>未完成依法应当完成的评估、整改或重新申报，不得继续相应出境活动。</x:v>
      </x:c>
      <x:c r="K57" s="13" t="str">
        <x:v>是；是否触发安全评估、风险自评估或重新申报的事实条件不明时。</x:v>
      </x:c>
      <x:c r="L57" s="13" t="str">
        <x:v>部门规章</x:v>
      </x:c>
      <x:c r="M57" s="13" t="str">
        <x:v>国家互联网信息办公室令第11号；2022-07-07公布；2022-09-01施行</x:v>
      </x:c>
      <x:c r="N57" s="13" t="str">
        <x:v>2022-09-01</x:v>
      </x:c>
      <x:c r="O57" s="13" t="str"/>
      <x:c r="P57" s="15" t="str">
        <x:v>需核验法源版本、具体条款及本次处理行为；原文保留不表示已审核</x:v>
      </x:c>
      <x:c r="Q57" s="16" t="str">
        <x:v>待核验</x:v>
      </x:c>
      <x:c r="R57" s="15" t="str"/>
      <x:c r="S57" s="15" t="str"/>
    </x:row>
    <x:row r="58" ht="68" customHeight="1">
      <x:c r="A58" s="13" t="str">
        <x:v>LAW-053</x:v>
      </x:c>
      <x:c r="B58" s="13" t="n">
        <x:v>54</x:v>
      </x:c>
      <x:c r="C58" s="13" t="str">
        <x:v>部门规章</x:v>
      </x:c>
      <x:c r="D58" s="13" t="str">
        <x:v>《个人信息出境认证办法》</x:v>
      </x:c>
      <x:c r="E58" s="13" t="str">
        <x:v>第1—19条</x:v>
      </x:c>
      <x:c r="F58" s="13" t="str">
        <x:v>个人信息处理者通过个人信息出境认证的方式向境外提供个人信息的，应当同时符合下列情形：（一）非关键信息基础设施运营者；（二）自当年1月1日起累计向境外提供10万人以上、不满100万人个人信息（不含敏感个人信息）或者不满1万人敏感个人信息。</x:v>
      </x:c>
      <x:c r="G58" s="13" t="str">
        <x:v>用于判断境外AI场景是否可采用个人信息出境认证路径，并核对告知、单独同意、影响评估、认证机构等要求；不得把认证路径与安全评估路径混淆，也不得通过数量拆分规避安全评估。</x:v>
      </x:c>
      <x:c r="H58" s="13" t="str">
        <x:v>通过个人信息出境认证路径向境外提供个人信息的个人信息处理者及境外接收方等。</x:v>
      </x:c>
      <x:c r="I58" s="13" t="str">
        <x:v>实际发生个人信息出境且拟采用认证路径，达到相应规模区间并不属于重要数据。</x:v>
      </x:c>
      <x:c r="J58" s="13" t="str">
        <x:v>不符合认证条件或应当采用其他出境路径而未满足相应条件的，不得继续以认证方式出境。</x:v>
      </x:c>
      <x:c r="K58" s="13" t="str">
        <x:v>是；出境规模、主体是否为关键基础设施运营者、敏感信息数量和实际路径不明确时。</x:v>
      </x:c>
      <x:c r="L58" s="13" t="str">
        <x:v>部门规章</x:v>
      </x:c>
      <x:c r="M58" s="13" t="str">
        <x:v>国家互联网信息办公室、国家市场监督管理总局令第20号；2025-10-14公布；2026-01-01施行</x:v>
      </x:c>
      <x:c r="N58" s="13" t="str">
        <x:v>2026-01-01</x:v>
      </x:c>
      <x:c r="O58" s="13" t="str"/>
      <x:c r="P58" s="15" t="str">
        <x:v>需核验法源版本、具体条款及本次处理行为；原文保留不表示已审核</x:v>
      </x:c>
      <x:c r="Q58" s="16" t="str">
        <x:v>待核验</x:v>
      </x:c>
      <x:c r="R58" s="15" t="str"/>
      <x:c r="S58" s="15" t="str"/>
    </x:row>
    <x:row r="59" ht="98" customHeight="1">
      <x:c r="A59" s="13" t="str">
        <x:v>LAW-054</x:v>
      </x:c>
      <x:c r="B59" s="13" t="n">
        <x:v>55</x:v>
      </x:c>
      <x:c r="C59" s="13" t="str">
        <x:v>司法解释</x:v>
      </x:c>
      <x:c r="D59" s="13" t="str">
        <x:v>《最高人民法院关于审理侵犯商业秘密民事案件适用法律若干问题的规定》</x:v>
      </x:c>
      <x:c r="E59" s="13" t="str">
        <x:v>第1、5、6、10、15、21条</x:v>
      </x:c>
      <x:c r="F59" s="13" t="str">
        <x:v>对于涉及当事人或者案外人的商业秘密的证据、材料，当事人或者案外人书面申请人民法院采取保密措施的，人民法院应当在保全、证据交换、质证、委托鉴定、询问、庭审等诉讼活动中采取必要的保密措施。违反保密措施的要求，擅自披露商业秘密或者在诉讼活动之外使用或者允许他人使用在诉讼中接触、获取的商业秘密的，应当依法承担民事责任。</x:v>
      </x:c>
      <x:c r="G59" s="13" t="str">
        <x:v>劳动争议中的竞业限制、保密协议、客户名单、经营信息、技术资料等，如已认定为商业秘密，且法院已针对涉密证据采取保密措施，应重点核查当前外部AI是否属于被允许的接收范围；不能把‘商业秘密’标签本身直接等同L4。</x:v>
      </x:c>
      <x:c r="H59" s="13" t="str">
        <x:v>审理侵犯商业秘密民事案件；其中第21条直接涉及诉讼活动中的涉密证据、材料。</x:v>
      </x:c>
      <x:c r="I59" s="13" t="str">
        <x:v>材料明确属于商业秘密，且存在法院保密措施、保密协议、合同或其他有效的第三方提供限制。</x:v>
      </x:c>
      <x:c r="J59" s="13" t="str">
        <x:v>违反诉讼保密措施可能承担民事责任；符合刑事诉讼法强制措施或犯罪构成的另行处理。</x:v>
      </x:c>
      <x:c r="K59" s="13" t="str">
        <x:v>是；商业秘密属性、保密措施、保密义务和向当前第三方提供的权限不明确时。</x:v>
      </x:c>
      <x:c r="L59" s="13" t="str">
        <x:v>司法解释</x:v>
      </x:c>
      <x:c r="M59" s="13" t="str">
        <x:v>法释〔2020〕7号；2020-09-10公布；2020-09-12施行</x:v>
      </x:c>
      <x:c r="N59" s="13" t="str">
        <x:v>2020-09-12</x:v>
      </x:c>
      <x:c r="O59" s="13" t="str"/>
      <x:c r="P59" s="15" t="str">
        <x:v>需核验法源版本、具体条款及本次处理行为；原文保留不表示已审核</x:v>
      </x:c>
      <x:c r="Q59" s="16" t="str">
        <x:v>待核验</x:v>
      </x:c>
      <x:c r="R59" s="15" t="str"/>
      <x:c r="S59" s="15" t="str"/>
    </x:row>
    <x:row r="60" ht="68" customHeight="1">
      <x:c r="A60" s="13" t="str">
        <x:v>LAW-055</x:v>
      </x:c>
      <x:c r="B60" s="13" t="n">
        <x:v>56</x:v>
      </x:c>
      <x:c r="C60" s="13" t="str">
        <x:v>行政法规</x:v>
      </x:c>
      <x:c r="D60" s="13" t="str">
        <x:v>《征信业管理条例》</x:v>
      </x:c>
      <x:c r="E60" s="13" t="str">
        <x:v>第3、13—16条</x:v>
      </x:c>
      <x:c r="F60" s="13" t="str">
        <x:v>从事征信业务及相关活动，应当遵守法律法规，诚实守信，不得危害国家秘密，不得侵犯商业秘密和个人隐私。征信机构采集个人信息应当经信息主体本人同意，未经本人同意不得采集。但是，依照法律、行政法规规定公开的信息除外。</x:v>
      </x:c>
      <x:c r="G60" s="13" t="str">
        <x:v>劳动争议诉讼材料如附有个人信用报告、不良信用信息等，应先区分‘征信机构的征信业务’与一般诉讼中的信用材料使用；不得因材料已经取得就默认可以向任意外部AI提供。</x:v>
      </x:c>
      <x:c r="H60" s="13" t="str">
        <x:v>征信机构及其相关活动参与主体；国家机关履职采集公布的信息另有适用规则。</x:v>
      </x:c>
      <x:c r="I60" s="13" t="str">
        <x:v>材料属于征信业务形成的个人信用信息或信用报告，且拟向外部AI提供。</x:v>
      </x:c>
      <x:c r="J60" s="13" t="str">
        <x:v>违反征信业务规则可能承担行政、民事等责任；涉及违法采集、提供或侵害隐私的，依相关法律法规处理。</x:v>
      </x:c>
      <x:c r="K60" s="13" t="str">
        <x:v>是；信息是否属于征信业务形成、当前使用目的和向外部AI提供的授权/合法性不明确时。</x:v>
      </x:c>
      <x:c r="L60" s="13" t="str">
        <x:v>行政法规</x:v>
      </x:c>
      <x:c r="M60" s="13" t="str">
        <x:v>国务院令第631号；2013-01-21公布；2013-03-15施行</x:v>
      </x:c>
      <x:c r="N60" s="13" t="str">
        <x:v>2013-03-15</x:v>
      </x:c>
      <x:c r="O60" s="13" t="str"/>
      <x:c r="P60" s="15" t="str">
        <x:v>需核验法源版本、具体条款及本次处理行为；原文保留不表示已审核</x:v>
      </x:c>
      <x:c r="Q60" s="16" t="str">
        <x:v>待核验</x:v>
      </x:c>
      <x:c r="R60" s="15" t="str"/>
      <x:c r="S60" s="15" t="str"/>
    </x:row>
    <x:row r="61" ht="53" customHeight="1">
      <x:c r="A61" s="13" t="str">
        <x:v>LAW-056</x:v>
      </x:c>
      <x:c r="B61" s="13" t="n">
        <x:v>57</x:v>
      </x:c>
      <x:c r="C61" s="13" t="str">
        <x:v>部门规章</x:v>
      </x:c>
      <x:c r="D61" s="13" t="str">
        <x:v>《征信业务管理办法》</x:v>
      </x:c>
      <x:c r="E61" s="13" t="str">
        <x:v>第6—15、20、22—24、39—40条</x:v>
      </x:c>
      <x:c r="F61" s="13" t="str">
        <x:v>采集个人信用信息，应当采取合法、正当的方式，遵循最小、必要的原则，不得过度采集。信息使用者应当按照约定用途使用个人信用信息。</x:v>
      </x:c>
      <x:c r="G61" s="13" t="str">
        <x:v>针对实际征信报告、信用评分、个人不良信息等高敏感证据，要求把最小必要、用途限制、主体同意、内部权限和跨境规则纳入审查；完整征信报告通常不应作为劳动争议事实摘要的默认外发载荷。</x:v>
      </x:c>
      <x:c r="H61" s="13" t="str">
        <x:v>征信机构、信息提供者、信息使用者及相关主体。</x:v>
      </x:c>
      <x:c r="I61" s="13" t="str">
        <x:v>劳动争议材料包含个人信用报告、不良信用信息或企业信用信息，且拟由外部AI处理。</x:v>
      </x:c>
      <x:c r="J61" s="13" t="str">
        <x:v>超出约定用途、违法提供、过度采集或不符合境外提供规则时，应停止相关处理并采取整改措施。</x:v>
      </x:c>
      <x:c r="K61" s="13" t="str">
        <x:v>是；当前主体是否属于信息使用者、约定用途、同意/法定基础及是否跨境不明确时。</x:v>
      </x:c>
      <x:c r="L61" s="13" t="str">
        <x:v>部门规章</x:v>
      </x:c>
      <x:c r="M61" s="13" t="str">
        <x:v>中国人民银行令〔2021〕第4号；2021-09-30公布；2022-01-01施行</x:v>
      </x:c>
      <x:c r="N61" s="13" t="str">
        <x:v>2022-01-01</x:v>
      </x:c>
      <x:c r="O61" s="13" t="str"/>
      <x:c r="P61" s="15" t="str">
        <x:v>需核验法源版本、具体条款及本次处理行为；原文保留不表示已审核</x:v>
      </x:c>
      <x:c r="Q61" s="16" t="str">
        <x:v>待核验</x:v>
      </x:c>
      <x:c r="R61" s="15" t="str"/>
      <x:c r="S61" s="15" t="str"/>
    </x:row>
    <x:row r="62" ht="68" customHeight="1">
      <x:c r="A62" s="13" t="str">
        <x:v>LAW-057</x:v>
      </x:c>
      <x:c r="B62" s="13" t="n">
        <x:v>58</x:v>
      </x:c>
      <x:c r="C62" s="13" t="str">
        <x:v>部门规范性文件</x:v>
      </x:c>
      <x:c r="D62" s="13" t="str">
        <x:v>《医疗机构病历管理规定（2013年版）》</x:v>
      </x:c>
      <x:c r="E62" s="13" t="str">
        <x:v>第6、15、16、20条</x:v>
      </x:c>
      <x:c r="F62" s="13" t="str">
        <x:v>医疗机构及其医务人员应当严格保护患者隐私，禁止以非医疗、教学、研究目的泄露患者的病历资料。</x:v>
      </x:c>
      <x:c r="G62" s="13" t="str">
        <x:v>劳动争议材料中的病历、检验、影像、诊断、治疗记录属于高敏感医疗材料。应优先抽取与工伤、职业病、病假、生育等争点直接相关的事实结论；原始完整病历不应默认整体交给外部AI。尤其要核对材料来源、查阅/复制权限、第三方提供权限和用途限制。</x:v>
      </x:c>
      <x:c r="H62" s="13" t="str">
        <x:v>各级各类医疗机构的病历管理；第20条还涉及公安、司法、人力资源社会保障、保险等依法办理案件时的调取需求。</x:v>
      </x:c>
      <x:c r="I62" s="13" t="str">
        <x:v>材料来自医疗机构病历，拟向外部AI提供完整或大段原始病历，或者材料中存在医疗机构特定用途限制。</x:v>
      </x:c>
      <x:c r="J62" s="13" t="str">
        <x:v>医疗机构及医务人员违反病历隐私和管理规则的，依法承担相应责任；对外AI提供是否允许应结合具体身份、权限及适用法律判断。</x:v>
      </x:c>
      <x:c r="K62" s="13" t="str">
        <x:v>是；病历来源、调取依据、授权、用途及是否属于医疗机构职责场景不清时。</x:v>
      </x:c>
      <x:c r="L62" s="13" t="str">
        <x:v>部门规范性文件</x:v>
      </x:c>
      <x:c r="M62" s="13" t="str">
        <x:v>国卫医发〔2013〕31号；2013-11-20发布；2014-01-01施行</x:v>
      </x:c>
      <x:c r="N62" s="13" t="str">
        <x:v>2014-01-01</x:v>
      </x:c>
      <x:c r="O62" s="13" t="str"/>
      <x:c r="P62" s="15" t="str">
        <x:v>需核验法源版本、具体条款及本次处理行为；原文保留不表示已审核</x:v>
      </x:c>
      <x:c r="Q62" s="16" t="str">
        <x:v>待核验</x:v>
      </x:c>
      <x:c r="R62" s="15" t="str"/>
      <x:c r="S62" s="15" t="str"/>
    </x:row>
    <x:row r="63" ht="68" customHeight="1">
      <x:c r="A63" s="13" t="str">
        <x:v>LAW-058</x:v>
      </x:c>
      <x:c r="B63" s="13" t="n">
        <x:v>59</x:v>
      </x:c>
      <x:c r="C63" s="13" t="str">
        <x:v>地方性法规</x:v>
      </x:c>
      <x:c r="D63" s="13" t="str">
        <x:v>《北京市数字经济促进条例》</x:v>
      </x:c>
      <x:c r="E63" s="13" t="str">
        <x:v>第45—48条</x:v>
      </x:c>
      <x:c r="F63" s="13" t="str">
        <x:v>本市依法保护与数据有关的权益。任何单位和个人从事数据处理活动，应当遵守法律法规、公序良俗和科技伦理，不得危害国家安全、公共利益以及他人的合法权益。
任何单位和个人不得非法处理他人个人信息。</x:v>
      </x:c>
      <x:c r="G63" s="13" t="str">
        <x:v>对在北京开展的数据处理活动提供地方性法规补充：要求数据处理合法合规、保护个人信息权益，并对数据安全风险评估、分类分级、匿名化/去标识化安全评估和必要技术措施提出要求。</x:v>
      </x:c>
      <x:c r="H63" s="13" t="str">
        <x:v>北京市行政区域内从事数据处理活动的单位和个人。</x:v>
      </x:c>
      <x:c r="I63" s="13" t="str">
        <x:v>案隐盾项目在北京开展，或劳动争议材料的数据处理活动在北京发生。</x:v>
      </x:c>
      <x:c r="J63" s="13" t="str">
        <x:v>非法处理个人信息或未履行数据安全保护义务可能承担相应法律责任；具体责任仍以国家法律及相关规范为基础。</x:v>
      </x:c>
      <x:c r="K63" s="13" t="str">
        <x:v>否；地方规则明确时自动叠加；只有本地适用性、主体或数据来源不明时复核。</x:v>
      </x:c>
      <x:c r="L63" s="13" t="str">
        <x:v>法律规范</x:v>
      </x:c>
      <x:c r="M63" s="13" t="str">
        <x:v>北京市第十五届人民代表大会常务委员会第四十五次会议通过；2022-11-25通过</x:v>
      </x:c>
      <x:c r="N63" s="13" t="str">
        <x:v>2023-01-01</x:v>
      </x:c>
      <x:c r="O63" s="13" t="str"/>
      <x:c r="P63" s="15" t="str">
        <x:v>需核验法源版本、具体条款及本次处理行为；原文保留不表示已审核</x:v>
      </x:c>
      <x:c r="Q63" s="16" t="str">
        <x:v>待核验</x:v>
      </x:c>
      <x:c r="R63" s="15" t="str"/>
      <x:c r="S63" s="15" t="str"/>
    </x:row>
    <x:row r="64" ht="68" customHeight="1">
      <x:c r="A64" s="13" t="str">
        <x:v>LAW-059</x:v>
      </x:c>
      <x:c r="B64" s="13" t="n">
        <x:v>60</x:v>
      </x:c>
      <x:c r="C64" s="13" t="str">
        <x:v>地方性法规</x:v>
      </x:c>
      <x:c r="D64" s="13" t="str">
        <x:v>《北京市知识产权保护条例》</x:v>
      </x:c>
      <x:c r="E64" s="13" t="str">
        <x:v>第17、19条</x:v>
      </x:c>
      <x:c r="F64" s="13" t="str">
        <x:v>行政机关、司法机关以及仲裁、调解等服务机构及其工作人员对履行职责、提供服务过程中知悉的商业秘密，负有保密义务，不得泄露或者非法向他人提供。</x:v>
      </x:c>
      <x:c r="G64" s="13" t="str">
        <x:v>对北京地区劳动仲裁、诉讼材料中的商业秘密提供地方性保密规则补充。若材料来自司法、仲裁、调解等机构并含商业秘密，系统应重点核对是否存在法院/仲裁机构保密措施、向第三方提供权限及是否超出履职/服务范围。</x:v>
      </x:c>
      <x:c r="H64" s="13" t="str">
        <x:v>北京市行政机关、司法机关、仲裁、调解等服务机构及工作人员，以及涉及知识产权保护的数据处理场景。</x:v>
      </x:c>
      <x:c r="I64" s="13" t="str">
        <x:v>劳动争议材料来源于北京行政机关、司法机关、仲裁/调解服务机构，或材料包含依法受保护的商业秘密。</x:v>
      </x:c>
      <x:c r="J64" s="13" t="str">
        <x:v>未经授权泄露或非法提供商业秘密的，可能承担相应民事、行政乃至刑事责任。</x:v>
      </x:c>
      <x:c r="K64" s="13" t="str">
        <x:v>是；材料来源、涉密属性、保密措施和向外部第三方提供权限不明确时。</x:v>
      </x:c>
      <x:c r="L64" s="13" t="str">
        <x:v>法律规范</x:v>
      </x:c>
      <x:c r="M64" s="13" t="str">
        <x:v>2022-05-25修订通过；2022-07-01施行</x:v>
      </x:c>
      <x:c r="N64" s="13" t="str">
        <x:v>2022-07-01</x:v>
      </x:c>
      <x:c r="O64" s="13" t="str"/>
      <x:c r="P64" s="15" t="str">
        <x:v>需核验法源版本、具体条款及本次处理行为；原文保留不表示已审核</x:v>
      </x:c>
      <x:c r="Q64" s="16" t="str">
        <x:v>待核验</x:v>
      </x:c>
      <x:c r="R64" s="15" t="str"/>
      <x:c r="S64" s="15" t="str"/>
    </x:row>
    <x:row r="65" ht="68" customHeight="1">
      <x:c r="A65" s="13" t="str">
        <x:v>LAW-060</x:v>
      </x:c>
      <x:c r="B65" s="13" t="n">
        <x:v>61</x:v>
      </x:c>
      <x:c r="C65" s="13" t="str">
        <x:v>地方政府部门规范性文件</x:v>
      </x:c>
      <x:c r="D65" s="13" t="str">
        <x:v>《北京市公共数据资源授权运营管理办法》</x:v>
      </x:c>
      <x:c r="E65" s="13" t="str">
        <x:v>第4、16、25、29—30条</x:v>
      </x:c>
      <x:c r="F65" s="13" t="str">
        <x:v>对于涉及个人信息的公共数据，应经过匿名化处理，或经相关数据所指向的数据来源者依法授权同意后获取。</x:v>
      </x:c>
      <x:c r="G65" s="13" t="str">
        <x:v>仅在劳动争议材料属于北京市公共数据资源授权运营体系、或从该体系取得数据时适用；强调个人信息和商业秘密保护、公共数据流通前的匿名化/授权、风险评估、脱敏、隐私保护和溯源审计。不得把该办法扩张解释为一般民事诉讼材料的一般性规则。</x:v>
      </x:c>
      <x:c r="H65" s="13" t="str">
        <x:v>北京市公共数据资源授权运营及相关管理活动参与主体。</x:v>
      </x:c>
      <x:c r="I65" s="13" t="str">
        <x:v>材料源自北京市公共数据资源授权运营渠道，或者项目拟调用该类公共数据。</x:v>
      </x:c>
      <x:c r="J65" s="13" t="str">
        <x:v>未经授权程序、超范围使用或违规提供公共数据的，应停止相应授权使用并依有关规定承担责任。</x:v>
      </x:c>
      <x:c r="K65" s="13" t="str">
        <x:v>是；是否属于公共数据资源授权运营范围、数据来源及授权链条不明确时。</x:v>
      </x:c>
      <x:c r="L65" s="13" t="str">
        <x:v>业务规则</x:v>
      </x:c>
      <x:c r="M65" s="13" t="str">
        <x:v>京政数发〔2026〕6号；2026-07-02成文并实施；2026-07-09发布</x:v>
      </x:c>
      <x:c r="N65" s="13" t="str">
        <x:v>2026-07-02</x:v>
      </x:c>
      <x:c r="O65" s="13" t="str"/>
      <x:c r="P65" s="15" t="str">
        <x:v>需核验法源版本、具体条款及本次处理行为；原文保留不表示已审核</x:v>
      </x:c>
      <x:c r="Q65" s="16" t="str">
        <x:v>待核验</x:v>
      </x:c>
      <x:c r="R65" s="15" t="str"/>
      <x:c r="S65" s="15" t="str"/>
    </x:row>
  </x:sheetData>
  <x:mergeCells>
    <x:mergeCell ref="A1:H1"/>
    <x:mergeCell ref="A2:L2"/>
    <x:mergeCell ref="A3:L3"/>
  </x:mergeCells>
  <x:dataValidations count="1">
    <x:dataValidation type="list" sqref="Q6:Q65">
      <x:formula1>'标注选项'!$B$24:$B$28</x:formula1>
    </x:dataValidation>
  </x:dataValidations>
  <x:pageMargins left="0.7" right="0.7" top="0.75" bottom="0.75" header="0.3" footer="0.3"/>
  <x:legacyDrawing xmlns:r="http://schemas.openxmlformats.org/officeDocument/2006/relationships" r:id="Rbbcc7fe2ee2342fb"/>
  <x:tableParts count="1">
    <x:tablePart xmlns:r="http://schemas.openxmlformats.org/officeDocument/2006/relationships" r:id="R5bbf77b2a88d471e"/>
  </x:tableParts>
</x:worksheet>
</file>

<file path=xl/worksheets/sheet13.xml><?xml version="1.0" encoding="utf-8"?>
<x:worksheet xmlns:x="http://schemas.openxmlformats.org/spreadsheetml/2006/main">
  <x:sheetPr>
    <x:tabColor rgb="FF89919E"/>
  </x:sheetPr>
  <x:sheetViews>
    <x:sheetView showGridLines="0" workbookViewId="0">
      <x:pane xSplit="2" ySplit="5" topLeftCell="C6" activePane="bottomRight" state="frozen"/>
    </x:sheetView>
  </x:sheetViews>
  <x:sheetFormatPr defaultRowHeight="15"/>
  <x:cols>
    <x:col min="1" max="1" width="24" hidden="0" customWidth="1"/>
    <x:col min="2" max="2" width="22" hidden="0" customWidth="1"/>
    <x:col min="3" max="3" width="38" hidden="0" customWidth="1"/>
    <x:col min="4" max="4" width="38" hidden="0" customWidth="1"/>
    <x:col min="5" max="5" width="38" hidden="0" customWidth="1"/>
    <x:col min="6" max="6" width="22" hidden="0" customWidth="1"/>
    <x:col min="7" max="7" width="58" hidden="0" customWidth="1"/>
    <x:col min="8" max="8" width="38" hidden="0" customWidth="1"/>
    <x:col min="9" max="9" width="38" hidden="0" customWidth="1"/>
    <x:col min="10" max="10" width="58" hidden="0" customWidth="1"/>
    <x:col min="11" max="11" width="22" hidden="0" customWidth="1"/>
    <x:col min="12" max="12" width="22" hidden="0" customWidth="1"/>
  </x:cols>
  <x:sheetData>
    <x:row r="1" ht="38" customHeight="1">
      <x:c r="A1" s="5" t="str">
        <x:v>原始分类清单</x:v>
      </x:c>
      <x:c r="B1" s="5"/>
      <x:c r="C1" s="5"/>
      <x:c r="D1" s="5"/>
      <x:c r="E1" s="5"/>
      <x:c r="F1" s="5"/>
      <x:c r="G1" s="5"/>
      <x:c r="H1" s="5"/>
      <x:c r="I1" s="3"/>
      <x:c r="J1" s="3"/>
      <x:c r="K1" s="3"/>
      <x:c r="L1" s="3"/>
    </x:row>
    <x:row r="2" ht="36" customHeight="1">
      <x:c r="A2" s="6" t="str">
        <x:v>380行=劳动136+医疗244；去除LA-005包内重复LA-002。原文保存，不计为金标准。</x:v>
      </x:c>
      <x:c r="B2" s="6"/>
      <x:c r="C2" s="6"/>
      <x:c r="D2" s="6"/>
      <x:c r="E2" s="6"/>
      <x:c r="F2" s="6"/>
      <x:c r="G2" s="6"/>
      <x:c r="H2" s="6"/>
      <x:c r="I2" s="6"/>
      <x:c r="J2" s="6"/>
      <x:c r="K2" s="6"/>
      <x:c r="L2" s="6"/>
    </x:row>
    <x:row r="3" ht="26" customHeight="1">
      <x:c r="A3" s="7" t="str">
        <x:v>v0.1 · 2026-09-12｜第5行为表头，第6行起填写；表头批注含字段说明。蓝字为录入，参考页灰底保存原文；长原文可查看公式栏或展开行高。</x:v>
      </x:c>
      <x:c r="B3" s="7"/>
      <x:c r="C3" s="7"/>
      <x:c r="D3" s="7"/>
      <x:c r="E3" s="7"/>
      <x:c r="F3" s="7"/>
      <x:c r="G3" s="7"/>
      <x:c r="H3" s="7"/>
      <x:c r="I3" s="7"/>
      <x:c r="J3" s="7"/>
      <x:c r="K3" s="7"/>
      <x:c r="L3" s="7"/>
    </x:row>
    <x:row r="4" ht="44" customHeight="1">
      <x:c r="A4" s="3"/>
      <x:c r="B4" s="3"/>
      <x:c r="C4" s="3"/>
      <x:c r="D4" s="3"/>
      <x:c r="E4" s="3"/>
      <x:c r="F4" s="3"/>
      <x:c r="G4" s="3"/>
      <x:c r="H4" s="3"/>
      <x:c r="I4" s="3"/>
      <x:c r="J4" s="3"/>
      <x:c r="K4" s="3"/>
      <x:c r="L4" s="3"/>
    </x:row>
    <x:row r="5" ht="48" customHeight="1">
      <x:c r="A5" s="10" t="str">
        <x:v>原始行ID</x:v>
      </x:c>
      <x:c r="B5" s="10" t="str">
        <x:v>案件ID</x:v>
      </x:c>
      <x:c r="C5" s="10" t="str">
        <x:v>来源文件</x:v>
      </x:c>
      <x:c r="D5" s="10" t="str">
        <x:v>工作表</x:v>
      </x:c>
      <x:c r="E5" s="10" t="str">
        <x:v>源行号</x:v>
      </x:c>
      <x:c r="F5" s="10" t="str">
        <x:v>信息类型（原）</x:v>
      </x:c>
      <x:c r="G5" s="10" t="str">
        <x:v>具体内容（原）</x:v>
      </x:c>
      <x:c r="H5" s="10" t="str">
        <x:v>脱敏类别（原）</x:v>
      </x:c>
      <x:c r="I5" s="10" t="str">
        <x:v>出现位置（原）</x:v>
      </x:c>
      <x:c r="J5" s="10" t="str">
        <x:v>处理结果（原）</x:v>
      </x:c>
      <x:c r="K5" s="10" t="str">
        <x:v>迁移核验状态</x:v>
      </x:c>
      <x:c r="L5" s="10" t="str">
        <x:v>迁移记录ID或说明</x:v>
      </x:c>
    </x:row>
    <x:row r="6" ht="44" customHeight="1">
      <x:c r="A6" s="13" t="str">
        <x:v>OLD-LA-001-002</x:v>
      </x:c>
      <x:c r="B6" s="13" t="str">
        <x:v>LA-001</x:v>
      </x:c>
      <x:c r="C6" s="13" t="str">
        <x:v>LA-001脱敏信息分类清单.xlsx</x:v>
      </x:c>
      <x:c r="D6" s="13" t="str">
        <x:v>Sheet1</x:v>
      </x:c>
      <x:c r="E6" s="13" t="n">
        <x:v>2</x:v>
      </x:c>
      <x:c r="F6" s="13" t="str">
        <x:v>上诉人（原审原告）真实姓名</x:v>
      </x:c>
      <x:c r="G6" s="13" t="str">
        <x:v>吾某</x:v>
      </x:c>
      <x:c r="H6" s="13" t="str">
        <x:v>默认删除</x:v>
      </x:c>
      <x:c r="I6" s="13" t="str">
        <x:v>全文多处</x:v>
      </x:c>
      <x:c r="J6" s="13" t="str">
        <x:v>不向外部模型发送真实姓名，改为劳动者_A</x:v>
      </x:c>
      <x:c r="K6" s="9" t="str">
        <x:v>待核验</x:v>
      </x:c>
      <x:c r="L6" s="11" t="str">
        <x:v>原分类不直接作为金标准；保持原值</x:v>
      </x:c>
    </x:row>
    <x:row r="7" ht="44" customHeight="1">
      <x:c r="A7" s="13" t="str">
        <x:v>OLD-LA-001-003</x:v>
      </x:c>
      <x:c r="B7" s="13" t="str">
        <x:v>LA-001</x:v>
      </x:c>
      <x:c r="C7" s="13" t="str">
        <x:v>LA-001脱敏信息分类清单.xlsx</x:v>
      </x:c>
      <x:c r="D7" s="13" t="str">
        <x:v>Sheet1</x:v>
      </x:c>
      <x:c r="E7" s="13" t="n">
        <x:v>3</x:v>
      </x:c>
      <x:c r="F7" s="13" t="str">
        <x:v>被上诉人（原审被告）公司名称</x:v>
      </x:c>
      <x:c r="G7" s="13" t="str">
        <x:v>和田某某技术服务有限公司</x:v>
      </x:c>
      <x:c r="H7" s="13" t="str">
        <x:v>假名化保留</x:v>
      </x:c>
      <x:c r="I7" s="13" t="str">
        <x:v>全文多处</x:v>
      </x:c>
      <x:c r="J7" s="13" t="str">
        <x:v>改为公司B</x:v>
      </x:c>
      <x:c r="K7" s="9" t="str">
        <x:v>待核验</x:v>
      </x:c>
      <x:c r="L7" s="11" t="str">
        <x:v>原分类不直接作为金标准；保持原值</x:v>
      </x:c>
    </x:row>
    <x:row r="8" ht="44" customHeight="1">
      <x:c r="A8" s="13" t="str">
        <x:v>OLD-LA-001-004</x:v>
      </x:c>
      <x:c r="B8" s="13" t="str">
        <x:v>LA-001</x:v>
      </x:c>
      <x:c r="C8" s="13" t="str">
        <x:v>LA-001脱敏信息分类清单.xlsx</x:v>
      </x:c>
      <x:c r="D8" s="13" t="str">
        <x:v>Sheet1</x:v>
      </x:c>
      <x:c r="E8" s="13" t="n">
        <x:v>4</x:v>
      </x:c>
      <x:c r="F8" s="13" t="str">
        <x:v>原审第三人公司名称</x:v>
      </x:c>
      <x:c r="G8" s="13" t="str">
        <x:v>中国某某公司第一营业厅</x:v>
      </x:c>
      <x:c r="H8" s="13" t="str">
        <x:v>假名化保留</x:v>
      </x:c>
      <x:c r="I8" s="13" t="str">
        <x:v>全文多处</x:v>
      </x:c>
      <x:c r="J8" s="13" t="str">
        <x:v>改为营业厅C</x:v>
      </x:c>
      <x:c r="K8" s="9" t="str">
        <x:v>待核验</x:v>
      </x:c>
      <x:c r="L8" s="11" t="str">
        <x:v>原分类不直接作为金标准；保持原值</x:v>
      </x:c>
    </x:row>
    <x:row r="9" ht="44" customHeight="1">
      <x:c r="A9" s="13" t="str">
        <x:v>OLD-LA-001-005</x:v>
      </x:c>
      <x:c r="B9" s="13" t="str">
        <x:v>LA-001</x:v>
      </x:c>
      <x:c r="C9" s="13" t="str">
        <x:v>LA-001脱敏信息分类清单.xlsx</x:v>
      </x:c>
      <x:c r="D9" s="13" t="str">
        <x:v>Sheet1</x:v>
      </x:c>
      <x:c r="E9" s="13" t="n">
        <x:v>5</x:v>
      </x:c>
      <x:c r="F9" s="13" t="str">
        <x:v>被上诉人法定代表人姓名</x:v>
      </x:c>
      <x:c r="G9" s="13" t="str">
        <x:v>李某</x:v>
      </x:c>
      <x:c r="H9" s="13" t="str">
        <x:v>默认删除</x:v>
      </x:c>
      <x:c r="I9" s="13" t="str">
        <x:v>当事人信息</x:v>
      </x:c>
      <x:c r="J9" s="13" t="str">
        <x:v>改为法定代理人D</x:v>
      </x:c>
      <x:c r="K9" s="9" t="str">
        <x:v>待核验</x:v>
      </x:c>
      <x:c r="L9" s="11" t="str">
        <x:v>原分类不直接作为金标准；保持原值</x:v>
      </x:c>
    </x:row>
    <x:row r="10" ht="44" customHeight="1">
      <x:c r="A10" s="13" t="str">
        <x:v>OLD-LA-001-006</x:v>
      </x:c>
      <x:c r="B10" s="13" t="str">
        <x:v>LA-001</x:v>
      </x:c>
      <x:c r="C10" s="13" t="str">
        <x:v>LA-001脱敏信息分类清单.xlsx</x:v>
      </x:c>
      <x:c r="D10" s="13" t="str">
        <x:v>Sheet1</x:v>
      </x:c>
      <x:c r="E10" s="13" t="n">
        <x:v>6</x:v>
      </x:c>
      <x:c r="F10" s="13" t="str">
        <x:v>第三人法定代表人姓名</x:v>
      </x:c>
      <x:c r="G10" s="13" t="str">
        <x:v>阿某</x:v>
      </x:c>
      <x:c r="H10" s="13" t="str">
        <x:v>默认删除</x:v>
      </x:c>
      <x:c r="I10" s="13" t="str">
        <x:v>当事人信息</x:v>
      </x:c>
      <x:c r="J10" s="13" t="str">
        <x:v>改为总经理E</x:v>
      </x:c>
      <x:c r="K10" s="9" t="str">
        <x:v>待核验</x:v>
      </x:c>
      <x:c r="L10" s="11" t="str">
        <x:v>原分类不直接作为金标准；保持原值</x:v>
      </x:c>
    </x:row>
    <x:row r="11" ht="44" customHeight="1">
      <x:c r="A11" s="13" t="str">
        <x:v>OLD-LA-001-007</x:v>
      </x:c>
      <x:c r="B11" s="13" t="str">
        <x:v>LA-001</x:v>
      </x:c>
      <x:c r="C11" s="13" t="str">
        <x:v>LA-001脱敏信息分类清单.xlsx</x:v>
      </x:c>
      <x:c r="D11" s="13" t="str">
        <x:v>Sheet1</x:v>
      </x:c>
      <x:c r="E11" s="13" t="n">
        <x:v>7</x:v>
      </x:c>
      <x:c r="F11" s="13" t="str">
        <x:v>上诉人委托诉讼代理人姓名</x:v>
      </x:c>
      <x:c r="G11" s="13" t="str">
        <x:v>阿拉帕提·阿卜杜热西提、米日班·麦提图尔荪</x:v>
      </x:c>
      <x:c r="H11" s="13" t="str">
        <x:v>默认删除</x:v>
      </x:c>
      <x:c r="I11" s="13" t="str"/>
      <x:c r="J11" s="13" t="str">
        <x:v>删除，仅保留“上诉人委托诉讼代理人到庭”</x:v>
      </x:c>
      <x:c r="K11" s="9" t="str">
        <x:v>待核验</x:v>
      </x:c>
      <x:c r="L11" s="11" t="str">
        <x:v>原分类不直接作为金标准；保持原值</x:v>
      </x:c>
    </x:row>
    <x:row r="12" ht="44" customHeight="1">
      <x:c r="A12" s="13" t="str">
        <x:v>OLD-LA-001-008</x:v>
      </x:c>
      <x:c r="B12" s="13" t="str">
        <x:v>LA-001</x:v>
      </x:c>
      <x:c r="C12" s="13" t="str">
        <x:v>LA-001脱敏信息分类清单.xlsx</x:v>
      </x:c>
      <x:c r="D12" s="13" t="str">
        <x:v>Sheet1</x:v>
      </x:c>
      <x:c r="E12" s="13" t="n">
        <x:v>8</x:v>
      </x:c>
      <x:c r="F12" s="13" t="str">
        <x:v>第三人委托诉讼代理人姓名</x:v>
      </x:c>
      <x:c r="G12" s="13" t="str">
        <x:v>王静超</x:v>
      </x:c>
      <x:c r="H12" s="13" t="str">
        <x:v>默认删除</x:v>
      </x:c>
      <x:c r="I12" s="13" t="str">
        <x:v>首部、出庭信息</x:v>
      </x:c>
      <x:c r="J12" s="13" t="str">
        <x:v>删除，仅保留“第三人委托诉讼代理人到庭”</x:v>
      </x:c>
      <x:c r="K12" s="9" t="str">
        <x:v>待核验</x:v>
      </x:c>
      <x:c r="L12" s="11" t="str">
        <x:v>原分类不直接作为金标准；保持原值</x:v>
      </x:c>
    </x:row>
    <x:row r="13" ht="44" customHeight="1">
      <x:c r="A13" s="13" t="str">
        <x:v>OLD-LA-001-009</x:v>
      </x:c>
      <x:c r="B13" s="13" t="str">
        <x:v>LA-001</x:v>
      </x:c>
      <x:c r="C13" s="13" t="str">
        <x:v>LA-001脱敏信息分类清单.xlsx</x:v>
      </x:c>
      <x:c r="D13" s="13" t="str">
        <x:v>Sheet1</x:v>
      </x:c>
      <x:c r="E13" s="13" t="n">
        <x:v>9</x:v>
      </x:c>
      <x:c r="F13" s="13" t="str">
        <x:v>审判长、审判员姓名</x:v>
      </x:c>
      <x:c r="G13" s="13" t="str">
        <x:v>努尔曼古丽·艾尔肯 杨坤 阿米娜·买吐送</x:v>
      </x:c>
      <x:c r="H13" s="13" t="str">
        <x:v>默认删除</x:v>
      </x:c>
      <x:c r="I13" s="13" t="str">
        <x:v>文书末尾</x:v>
      </x:c>
      <x:c r="J13" s="13" t="str">
        <x:v>删除</x:v>
      </x:c>
      <x:c r="K13" s="9" t="str">
        <x:v>待核验</x:v>
      </x:c>
      <x:c r="L13" s="11" t="str">
        <x:v>原分类不直接作为金标准；保持原值</x:v>
      </x:c>
    </x:row>
    <x:row r="14" ht="44" customHeight="1">
      <x:c r="A14" s="13" t="str">
        <x:v>OLD-LA-001-010</x:v>
      </x:c>
      <x:c r="B14" s="13" t="str">
        <x:v>LA-001</x:v>
      </x:c>
      <x:c r="C14" s="13" t="str">
        <x:v>LA-001脱敏信息分类清单.xlsx</x:v>
      </x:c>
      <x:c r="D14" s="13" t="str">
        <x:v>Sheet1</x:v>
      </x:c>
      <x:c r="E14" s="13" t="n">
        <x:v>10</x:v>
      </x:c>
      <x:c r="F14" s="13" t="str">
        <x:v>书记员信息</x:v>
      </x:c>
      <x:c r="G14" s="13" t="str">
        <x:v>热孜万古丽·麦麦提明</x:v>
      </x:c>
      <x:c r="H14" s="13" t="str">
        <x:v>禁止外发</x:v>
      </x:c>
      <x:c r="I14" s="13" t="str">
        <x:v>文书末尾</x:v>
      </x:c>
      <x:c r="J14" s="13" t="str">
        <x:v>删除</x:v>
      </x:c>
      <x:c r="K14" s="9" t="str">
        <x:v>待核验</x:v>
      </x:c>
      <x:c r="L14" s="11" t="str">
        <x:v>原分类不直接作为金标准；保持原值</x:v>
      </x:c>
    </x:row>
    <x:row r="15" ht="44" customHeight="1">
      <x:c r="A15" s="13" t="str">
        <x:v>OLD-LA-001-011</x:v>
      </x:c>
      <x:c r="B15" s="13" t="str">
        <x:v>LA-001</x:v>
      </x:c>
      <x:c r="C15" s="13" t="str">
        <x:v>LA-001脱敏信息分类清单.xlsx</x:v>
      </x:c>
      <x:c r="D15" s="13" t="str">
        <x:v>Sheet1</x:v>
      </x:c>
      <x:c r="E15" s="13" t="n">
        <x:v>11</x:v>
      </x:c>
      <x:c r="F15" s="13" t="str">
        <x:v>二审法院名称</x:v>
      </x:c>
      <x:c r="G15" s="13" t="str">
        <x:v>新疆维吾尔自治区和田地区中级人民法院</x:v>
      </x:c>
      <x:c r="H15" s="13" t="str">
        <x:v>条件保留</x:v>
      </x:c>
      <x:c r="I15" s="13" t="str">
        <x:v>全文多处</x:v>
      </x:c>
      <x:c r="J15" s="13" t="str">
        <x:v>改为“二审法院”</x:v>
      </x:c>
      <x:c r="K15" s="9" t="str">
        <x:v>待核验</x:v>
      </x:c>
      <x:c r="L15" s="11" t="str">
        <x:v>原分类不直接作为金标准；保持原值</x:v>
      </x:c>
    </x:row>
    <x:row r="16" ht="44" customHeight="1">
      <x:c r="A16" s="13" t="str">
        <x:v>OLD-LA-001-012</x:v>
      </x:c>
      <x:c r="B16" s="13" t="str">
        <x:v>LA-001</x:v>
      </x:c>
      <x:c r="C16" s="13" t="str">
        <x:v>LA-001脱敏信息分类清单.xlsx</x:v>
      </x:c>
      <x:c r="D16" s="13" t="str">
        <x:v>Sheet1</x:v>
      </x:c>
      <x:c r="E16" s="13" t="n">
        <x:v>12</x:v>
      </x:c>
      <x:c r="F16" s="13" t="str">
        <x:v>一审法院名称</x:v>
      </x:c>
      <x:c r="G16" s="13" t="str">
        <x:v>新疆维吾尔自治区和田市人民法院</x:v>
      </x:c>
      <x:c r="H16" s="13" t="str">
        <x:v>条件保留</x:v>
      </x:c>
      <x:c r="I16" s="13" t="str">
        <x:v>全文多处</x:v>
      </x:c>
      <x:c r="J16" s="13" t="str">
        <x:v>改为“一审法院”</x:v>
      </x:c>
      <x:c r="K16" s="9" t="str">
        <x:v>待核验</x:v>
      </x:c>
      <x:c r="L16" s="11" t="str">
        <x:v>原分类不直接作为金标准；保持原值</x:v>
      </x:c>
    </x:row>
    <x:row r="17" ht="44" customHeight="1">
      <x:c r="A17" s="13" t="str">
        <x:v>OLD-LA-001-013</x:v>
      </x:c>
      <x:c r="B17" s="13" t="str">
        <x:v>LA-001</x:v>
      </x:c>
      <x:c r="C17" s="13" t="str">
        <x:v>LA-001脱敏信息分类清单.xlsx</x:v>
      </x:c>
      <x:c r="D17" s="13" t="str">
        <x:v>Sheet1</x:v>
      </x:c>
      <x:c r="E17" s="13" t="n">
        <x:v>13</x:v>
      </x:c>
      <x:c r="F17" s="13" t="str">
        <x:v>仲裁机构名称</x:v>
      </x:c>
      <x:c r="G17" s="13" t="str">
        <x:v>和田市劳动人事争议仲裁委员会</x:v>
      </x:c>
      <x:c r="H17" s="13" t="str">
        <x:v>条件保留</x:v>
      </x:c>
      <x:c r="I17" s="13" t="str">
        <x:v>仲裁事实部分</x:v>
      </x:c>
      <x:c r="J17" s="13" t="str">
        <x:v>改为“某地区仲裁机构”</x:v>
      </x:c>
      <x:c r="K17" s="9" t="str">
        <x:v>待核验</x:v>
      </x:c>
      <x:c r="L17" s="11" t="str">
        <x:v>原分类不直接作为金标准；保持原值</x:v>
      </x:c>
    </x:row>
    <x:row r="18" ht="44" customHeight="1">
      <x:c r="A18" s="13" t="str">
        <x:v>OLD-LA-001-014</x:v>
      </x:c>
      <x:c r="B18" s="13" t="str">
        <x:v>LA-001</x:v>
      </x:c>
      <x:c r="C18" s="13" t="str">
        <x:v>LA-001脱敏信息分类清单.xlsx</x:v>
      </x:c>
      <x:c r="D18" s="13" t="str">
        <x:v>Sheet1</x:v>
      </x:c>
      <x:c r="E18" s="13" t="n">
        <x:v>14</x:v>
      </x:c>
      <x:c r="F18" s="13" t="str">
        <x:v>二审案号</x:v>
      </x:c>
      <x:c r="G18" s="13" t="str">
        <x:v>（2026）新32民终879号</x:v>
      </x:c>
      <x:c r="H18" s="13" t="str">
        <x:v>默认删除</x:v>
      </x:c>
      <x:c r="I18" s="13" t="str">
        <x:v>首部、判决主文</x:v>
      </x:c>
      <x:c r="J18" s="13" t="str">
        <x:v>改为“本案”，案号本地保存</x:v>
      </x:c>
      <x:c r="K18" s="9" t="str">
        <x:v>待核验</x:v>
      </x:c>
      <x:c r="L18" s="11" t="str">
        <x:v>原分类不直接作为金标准；保持原值</x:v>
      </x:c>
    </x:row>
    <x:row r="19" ht="44" customHeight="1">
      <x:c r="A19" s="13" t="str">
        <x:v>OLD-LA-001-015</x:v>
      </x:c>
      <x:c r="B19" s="13" t="str">
        <x:v>LA-001</x:v>
      </x:c>
      <x:c r="C19" s="13" t="str">
        <x:v>LA-001脱敏信息分类清单.xlsx</x:v>
      </x:c>
      <x:c r="D19" s="13" t="str">
        <x:v>Sheet1</x:v>
      </x:c>
      <x:c r="E19" s="13" t="n">
        <x:v>15</x:v>
      </x:c>
      <x:c r="F19" s="13" t="str">
        <x:v>一审案号</x:v>
      </x:c>
      <x:c r="G19" s="13" t="str">
        <x:v>（2025）新3201民初6826号</x:v>
      </x:c>
      <x:c r="H19" s="13" t="str">
        <x:v>默认删除</x:v>
      </x:c>
      <x:c r="I19" s="13" t="str">
        <x:v>首部、事实查明</x:v>
      </x:c>
      <x:c r="J19" s="13" t="str">
        <x:v>改为“一审判决”，案号本地保存</x:v>
      </x:c>
      <x:c r="K19" s="9" t="str">
        <x:v>待核验</x:v>
      </x:c>
      <x:c r="L19" s="11" t="str">
        <x:v>原分类不直接作为金标准；保持原值</x:v>
      </x:c>
    </x:row>
    <x:row r="20" ht="44" customHeight="1">
      <x:c r="A20" s="13" t="str">
        <x:v>OLD-LA-001-016</x:v>
      </x:c>
      <x:c r="B20" s="13" t="str">
        <x:v>LA-001</x:v>
      </x:c>
      <x:c r="C20" s="13" t="str">
        <x:v>LA-001脱敏信息分类清单.xlsx</x:v>
      </x:c>
      <x:c r="D20" s="13" t="str">
        <x:v>Sheet1</x:v>
      </x:c>
      <x:c r="E20" s="13" t="n">
        <x:v>16</x:v>
      </x:c>
      <x:c r="F20" s="13" t="str">
        <x:v>仲裁案号</x:v>
      </x:c>
      <x:c r="G20" s="13" t="str">
        <x:v>和市劳人仲字（2025）315号</x:v>
      </x:c>
      <x:c r="H20" s="13" t="str">
        <x:v>默认删除</x:v>
      </x:c>
      <x:c r="I20" s="13" t="str">
        <x:v>仲裁事实部分</x:v>
      </x:c>
      <x:c r="J20" s="13" t="str">
        <x:v>改为“仲裁裁决书”，案号本地保存</x:v>
      </x:c>
      <x:c r="K20" s="9" t="str">
        <x:v>待核验</x:v>
      </x:c>
      <x:c r="L20" s="11" t="str">
        <x:v>原分类不直接作为金标准；保持原值</x:v>
      </x:c>
    </x:row>
    <x:row r="21" ht="44" customHeight="1">
      <x:c r="A21" s="13" t="str">
        <x:v>OLD-LA-001-017</x:v>
      </x:c>
      <x:c r="B21" s="13" t="str">
        <x:v>LA-001</x:v>
      </x:c>
      <x:c r="C21" s="13" t="str">
        <x:v>LA-001脱敏信息分类清单.xlsx</x:v>
      </x:c>
      <x:c r="D21" s="13" t="str">
        <x:v>Sheet1</x:v>
      </x:c>
      <x:c r="E21" s="13" t="n">
        <x:v>17</x:v>
      </x:c>
      <x:c r="F21" s="13" t="str">
        <x:v>审级信息</x:v>
      </x:c>
      <x:c r="G21" s="13" t="str">
        <x:v>二审、终审</x:v>
      </x:c>
      <x:c r="H21" s="13" t="str">
        <x:v>必须保留</x:v>
      </x:c>
      <x:c r="I21" s="13" t="str">
        <x:v>首部、判决主文</x:v>
      </x:c>
      <x:c r="J21" s="13" t="str">
        <x:v>保留“二审、终审”</x:v>
      </x:c>
      <x:c r="K21" s="9" t="str">
        <x:v>待核验</x:v>
      </x:c>
      <x:c r="L21" s="11" t="str">
        <x:v>原分类不直接作为金标准；保持原值</x:v>
      </x:c>
    </x:row>
    <x:row r="22" ht="44" customHeight="1">
      <x:c r="A22" s="13" t="str">
        <x:v>OLD-LA-001-018</x:v>
      </x:c>
      <x:c r="B22" s="13" t="str">
        <x:v>LA-001</x:v>
      </x:c>
      <x:c r="C22" s="13" t="str">
        <x:v>LA-001脱敏信息分类清单.xlsx</x:v>
      </x:c>
      <x:c r="D22" s="13" t="str">
        <x:v>Sheet1</x:v>
      </x:c>
      <x:c r="E22" s="13" t="n">
        <x:v>18</x:v>
      </x:c>
      <x:c r="F22" s="13" t="str">
        <x:v>月平均工资</x:v>
      </x:c>
      <x:c r="G22" s="13" t="str">
        <x:v>13500元</x:v>
      </x:c>
      <x:c r="H22" s="13" t="str">
        <x:v>必须保留</x:v>
      </x:c>
      <x:c r="I22" s="13" t="str">
        <x:v>诉讼请求、一审查明事实</x:v>
      </x:c>
      <x:c r="J22" s="13" t="str">
        <x:v>保留精确金额并标记为“吾某主张”</x:v>
      </x:c>
      <x:c r="K22" s="9" t="str">
        <x:v>待核验</x:v>
      </x:c>
      <x:c r="L22" s="11" t="str">
        <x:v>原分类不直接作为金标准；保持原值</x:v>
      </x:c>
    </x:row>
    <x:row r="23" ht="44" customHeight="1">
      <x:c r="A23" s="13" t="str">
        <x:v>OLD-LA-001-019</x:v>
      </x:c>
      <x:c r="B23" s="13" t="str">
        <x:v>LA-001</x:v>
      </x:c>
      <x:c r="C23" s="13" t="str">
        <x:v>LA-001脱敏信息分类清单.xlsx</x:v>
      </x:c>
      <x:c r="D23" s="13" t="str">
        <x:v>Sheet1</x:v>
      </x:c>
      <x:c r="E23" s="13" t="n">
        <x:v>19</x:v>
      </x:c>
      <x:c r="F23" s="13" t="str">
        <x:v>经济补偿金请求金额</x:v>
      </x:c>
      <x:c r="G23" s="13" t="str">
        <x:v>162000元</x:v>
      </x:c>
      <x:c r="H23" s="13" t="str">
        <x:v>必须保留</x:v>
      </x:c>
      <x:c r="I23" s="13" t="str">
        <x:v>上诉请求、一审诉讼请求、仲裁请求</x:v>
      </x:c>
      <x:c r="J23" s="13" t="str">
        <x:v>保留精确金额，标记计算方式为“13,500元×12年”</x:v>
      </x:c>
      <x:c r="K23" s="9" t="str">
        <x:v>待核验</x:v>
      </x:c>
      <x:c r="L23" s="11" t="str">
        <x:v>原分类不直接作为金标准；保持原值</x:v>
      </x:c>
    </x:row>
    <x:row r="24" ht="44" customHeight="1">
      <x:c r="A24" s="13" t="str">
        <x:v>OLD-LA-001-020</x:v>
      </x:c>
      <x:c r="B24" s="13" t="str">
        <x:v>LA-001</x:v>
      </x:c>
      <x:c r="C24" s="13" t="str">
        <x:v>LA-001脱敏信息分类清单.xlsx</x:v>
      </x:c>
      <x:c r="D24" s="13" t="str">
        <x:v>Sheet1</x:v>
      </x:c>
      <x:c r="E24" s="13" t="n">
        <x:v>20</x:v>
      </x:c>
      <x:c r="F24" s="13" t="str">
        <x:v>法定节假日加班工资请求金额</x:v>
      </x:c>
      <x:c r="G24" s="13" t="str">
        <x:v>55862元</x:v>
      </x:c>
      <x:c r="H24" s="13" t="str">
        <x:v>必须保留</x:v>
      </x:c>
      <x:c r="I24" s="13" t="str">
        <x:v>上诉请求、一审诉讼请求、仲裁请求</x:v>
      </x:c>
      <x:c r="J24" s="13" t="str">
        <x:v>保留精确金额</x:v>
      </x:c>
      <x:c r="K24" s="9" t="str">
        <x:v>待核验</x:v>
      </x:c>
      <x:c r="L24" s="11" t="str">
        <x:v>原分类不直接作为金标准；保持原值</x:v>
      </x:c>
    </x:row>
    <x:row r="25" ht="44" customHeight="1">
      <x:c r="A25" s="13" t="str">
        <x:v>OLD-LA-001-021</x:v>
      </x:c>
      <x:c r="B25" s="13" t="str">
        <x:v>LA-001</x:v>
      </x:c>
      <x:c r="C25" s="13" t="str">
        <x:v>LA-001脱敏信息分类清单.xlsx</x:v>
      </x:c>
      <x:c r="D25" s="13" t="str">
        <x:v>Sheet1</x:v>
      </x:c>
      <x:c r="E25" s="13" t="n">
        <x:v>21</x:v>
      </x:c>
      <x:c r="F25" s="13" t="str">
        <x:v>一、二审案件受理费</x:v>
      </x:c>
      <x:c r="G25" s="13" t="str"/>
      <x:c r="H25" s="13" t="str">
        <x:v>必须保留</x:v>
      </x:c>
      <x:c r="I25" s="13" t="str">
        <x:v>一审、二审判决主文</x:v>
      </x:c>
      <x:c r="J25" s="13" t="str">
        <x:v>保留</x:v>
      </x:c>
      <x:c r="K25" s="9" t="str">
        <x:v>待核验</x:v>
      </x:c>
      <x:c r="L25" s="11" t="str">
        <x:v>原分类不直接作为金标准；保持原值</x:v>
      </x:c>
    </x:row>
    <x:row r="26" ht="44" customHeight="1">
      <x:c r="A26" s="13" t="str">
        <x:v>OLD-LA-001-022</x:v>
      </x:c>
      <x:c r="B26" s="13" t="str">
        <x:v>LA-001</x:v>
      </x:c>
      <x:c r="C26" s="13" t="str">
        <x:v>LA-001脱敏信息分类清单.xlsx</x:v>
      </x:c>
      <x:c r="D26" s="13" t="str">
        <x:v>Sheet1</x:v>
      </x:c>
      <x:c r="E26" s="13" t="n">
        <x:v>22</x:v>
      </x:c>
      <x:c r="F26" s="13" t="str">
        <x:v>劳动关系起算点（吾某主张）</x:v>
      </x:c>
      <x:c r="G26" s="13" t="n">
        <x:v>41156</x:v>
      </x:c>
      <x:c r="H26" s="13" t="str">
        <x:v>必须保留</x:v>
      </x:c>
      <x:c r="I26" s="13" t="str">
        <x:v>诉讼请求、一审查明事实、二审争议焦点</x:v>
      </x:c>
      <x:c r="J26" s="13" t="str">
        <x:v>保留完整日期</x:v>
      </x:c>
      <x:c r="K26" s="9" t="str">
        <x:v>待核验</x:v>
      </x:c>
      <x:c r="L26" s="11" t="str">
        <x:v>原分类不直接作为金标准；保持原值</x:v>
      </x:c>
    </x:row>
    <x:row r="27" ht="44" customHeight="1">
      <x:c r="A27" s="13" t="str">
        <x:v>OLD-LA-001-023</x:v>
      </x:c>
      <x:c r="B27" s="13" t="str">
        <x:v>LA-001</x:v>
      </x:c>
      <x:c r="C27" s="13" t="str">
        <x:v>LA-001脱敏信息分类清单.xlsx</x:v>
      </x:c>
      <x:c r="D27" s="13" t="str">
        <x:v>Sheet1</x:v>
      </x:c>
      <x:c r="E27" s="13" t="n">
        <x:v>23</x:v>
      </x:c>
      <x:c r="F27" s="13" t="str">
        <x:v>鑫瑞通公司注册设立时间</x:v>
      </x:c>
      <x:c r="G27" s="13" t="n">
        <x:v>44355</x:v>
      </x:c>
      <x:c r="H27" s="13" t="str">
        <x:v>必须保留</x:v>
      </x:c>
      <x:c r="I27" s="13" t="str">
        <x:v>一审查明事实、二审争议焦点</x:v>
      </x:c>
      <x:c r="J27" s="13" t="str">
        <x:v>保留完整日期</x:v>
      </x:c>
      <x:c r="K27" s="9" t="str">
        <x:v>待核验</x:v>
      </x:c>
      <x:c r="L27" s="11" t="str">
        <x:v>原分类不直接作为金标准；保持原值</x:v>
      </x:c>
    </x:row>
    <x:row r="28" ht="44" customHeight="1">
      <x:c r="A28" s="13" t="str">
        <x:v>OLD-LA-001-024</x:v>
      </x:c>
      <x:c r="B28" s="13" t="str">
        <x:v>LA-001</x:v>
      </x:c>
      <x:c r="C28" s="13" t="str">
        <x:v>LA-001脱敏信息分类清单.xlsx</x:v>
      </x:c>
      <x:c r="D28" s="13" t="str">
        <x:v>Sheet1</x:v>
      </x:c>
      <x:c r="E28" s="13" t="n">
        <x:v>24</x:v>
      </x:c>
      <x:c r="F28" s="13" t="str">
        <x:v>鑫瑞通公司入驻某厅时间</x:v>
      </x:c>
      <x:c r="G28" s="13" t="str">
        <x:v>2022年6月/2022年9月</x:v>
      </x:c>
      <x:c r="H28" s="13" t="str">
        <x:v>条件保留</x:v>
      </x:c>
      <x:c r="I28" s="13" t="str">
        <x:v>一审查明事实、被上诉人答辩</x:v>
      </x:c>
      <x:c r="J28" s="13" t="str">
        <x:v>保留2022年6月</x:v>
      </x:c>
      <x:c r="K28" s="9" t="str">
        <x:v>待核验</x:v>
      </x:c>
      <x:c r="L28" s="11" t="str">
        <x:v>原分类不直接作为金标准；保持原值</x:v>
      </x:c>
    </x:row>
    <x:row r="29" ht="44" customHeight="1">
      <x:c r="A29" s="13" t="str">
        <x:v>OLD-LA-001-025</x:v>
      </x:c>
      <x:c r="B29" s="13" t="str">
        <x:v>LA-001</x:v>
      </x:c>
      <x:c r="C29" s="13" t="str">
        <x:v>LA-001脱敏信息分类清单.xlsx</x:v>
      </x:c>
      <x:c r="D29" s="13" t="str">
        <x:v>Sheet1</x:v>
      </x:c>
      <x:c r="E29" s="13" t="n">
        <x:v>25</x:v>
      </x:c>
      <x:c r="F29" s="13" t="str">
        <x:v>劳动关系终止日（吾某主张）</x:v>
      </x:c>
      <x:c r="G29" s="13" t="n">
        <x:v>45524</x:v>
      </x:c>
      <x:c r="H29" s="13" t="str">
        <x:v>必须保留</x:v>
      </x:c>
      <x:c r="I29" s="13" t="str">
        <x:v>诉讼请求、一审查明事实</x:v>
      </x:c>
      <x:c r="J29" s="13" t="str">
        <x:v>保留完整日期</x:v>
      </x:c>
      <x:c r="K29" s="9" t="str">
        <x:v>待核验</x:v>
      </x:c>
      <x:c r="L29" s="11" t="str">
        <x:v>原分类不直接作为金标准；保持原值</x:v>
      </x:c>
    </x:row>
    <x:row r="30" ht="44" customHeight="1">
      <x:c r="A30" s="13" t="str">
        <x:v>OLD-LA-001-026</x:v>
      </x:c>
      <x:c r="B30" s="13" t="str">
        <x:v>LA-001</x:v>
      </x:c>
      <x:c r="C30" s="13" t="str">
        <x:v>LA-001脱敏信息分类清单.xlsx</x:v>
      </x:c>
      <x:c r="D30" s="13" t="str">
        <x:v>Sheet1</x:v>
      </x:c>
      <x:c r="E30" s="13" t="n">
        <x:v>26</x:v>
      </x:c>
      <x:c r="F30" s="13" t="str">
        <x:v>吾某向上某转账期间</x:v>
      </x:c>
      <x:c r="G30" s="13" t="str">
        <x:v>2020年9月5日至2021年10月22日</x:v>
      </x:c>
      <x:c r="H30" s="13" t="str">
        <x:v>必须保留</x:v>
      </x:c>
      <x:c r="I30" s="13" t="str">
        <x:v>二审“本院认为”部分</x:v>
      </x:c>
      <x:c r="J30" s="13" t="str">
        <x:v>保留期间</x:v>
      </x:c>
      <x:c r="K30" s="9" t="str">
        <x:v>待核验</x:v>
      </x:c>
      <x:c r="L30" s="11" t="str">
        <x:v>原分类不直接作为金标准；保持原值</x:v>
      </x:c>
    </x:row>
    <x:row r="31" ht="44" customHeight="1">
      <x:c r="A31" s="13" t="str">
        <x:v>OLD-LA-001-027</x:v>
      </x:c>
      <x:c r="B31" s="13" t="str">
        <x:v>LA-001</x:v>
      </x:c>
      <x:c r="C31" s="13" t="str">
        <x:v>LA-001脱敏信息分类清单.xlsx</x:v>
      </x:c>
      <x:c r="D31" s="13" t="str">
        <x:v>Sheet1</x:v>
      </x:c>
      <x:c r="E31" s="13" t="n">
        <x:v>27</x:v>
      </x:c>
      <x:c r="F31" s="13" t="str">
        <x:v>仲裁裁决日期</x:v>
      </x:c>
      <x:c r="G31" s="13" t="n">
        <x:v>45925</x:v>
      </x:c>
      <x:c r="H31" s="13" t="str">
        <x:v>必须保留</x:v>
      </x:c>
      <x:c r="I31" s="13" t="str">
        <x:v>一审查明事实</x:v>
      </x:c>
      <x:c r="J31" s="13" t="str">
        <x:v>保留完整日期</x:v>
      </x:c>
      <x:c r="K31" s="9" t="str">
        <x:v>待核验</x:v>
      </x:c>
      <x:c r="L31" s="11" t="str">
        <x:v>原分类不直接作为金标准；保持原值</x:v>
      </x:c>
    </x:row>
    <x:row r="32" ht="44" customHeight="1">
      <x:c r="A32" s="13" t="str">
        <x:v>OLD-LA-001-028</x:v>
      </x:c>
      <x:c r="B32" s="13" t="str">
        <x:v>LA-001</x:v>
      </x:c>
      <x:c r="C32" s="13" t="str">
        <x:v>LA-001脱敏信息分类清单.xlsx</x:v>
      </x:c>
      <x:c r="D32" s="13" t="str">
        <x:v>Sheet1</x:v>
      </x:c>
      <x:c r="E32" s="13" t="n">
        <x:v>28</x:v>
      </x:c>
      <x:c r="F32" s="13" t="str">
        <x:v>仲裁裁决收到日期</x:v>
      </x:c>
      <x:c r="G32" s="13" t="n">
        <x:v>45941</x:v>
      </x:c>
      <x:c r="H32" s="13" t="str">
        <x:v>条件保留</x:v>
      </x:c>
      <x:c r="I32" s="13" t="str">
        <x:v>一审查明事实</x:v>
      </x:c>
      <x:c r="J32" s="13" t="str">
        <x:v>概括为“吾某收到仲裁裁决后于法定期限内起诉”</x:v>
      </x:c>
      <x:c r="K32" s="9" t="str">
        <x:v>待核验</x:v>
      </x:c>
      <x:c r="L32" s="11" t="str">
        <x:v>原分类不直接作为金标准；保持原值</x:v>
      </x:c>
    </x:row>
    <x:row r="33" ht="44" customHeight="1">
      <x:c r="A33" s="13" t="str">
        <x:v>OLD-LA-001-029</x:v>
      </x:c>
      <x:c r="B33" s="13" t="str">
        <x:v>LA-001</x:v>
      </x:c>
      <x:c r="C33" s="13" t="str">
        <x:v>LA-001脱敏信息分类清单.xlsx</x:v>
      </x:c>
      <x:c r="D33" s="13" t="str">
        <x:v>Sheet1</x:v>
      </x:c>
      <x:c r="E33" s="13" t="n">
        <x:v>29</x:v>
      </x:c>
      <x:c r="F33" s="13" t="str">
        <x:v>一审起诉日期</x:v>
      </x:c>
      <x:c r="G33" s="13" t="n">
        <x:v>45949</x:v>
      </x:c>
      <x:c r="H33" s="13" t="str">
        <x:v>条件保留</x:v>
      </x:c>
      <x:c r="I33" s="13" t="str">
        <x:v>一审查明事实</x:v>
      </x:c>
      <x:c r="J33" s="13" t="str">
        <x:v>概括为“法定期限内诉至法院”</x:v>
      </x:c>
      <x:c r="K33" s="9" t="str">
        <x:v>待核验</x:v>
      </x:c>
      <x:c r="L33" s="11" t="str">
        <x:v>原分类不直接作为金标准；保持原值</x:v>
      </x:c>
    </x:row>
    <x:row r="34" ht="44" customHeight="1">
      <x:c r="A34" s="13" t="str">
        <x:v>OLD-LA-001-030</x:v>
      </x:c>
      <x:c r="B34" s="13" t="str">
        <x:v>LA-001</x:v>
      </x:c>
      <x:c r="C34" s="13" t="str">
        <x:v>LA-001脱敏信息分类清单.xlsx</x:v>
      </x:c>
      <x:c r="D34" s="13" t="str">
        <x:v>Sheet1</x:v>
      </x:c>
      <x:c r="E34" s="13" t="n">
        <x:v>30</x:v>
      </x:c>
      <x:c r="F34" s="13" t="str">
        <x:v>二审立案日期</x:v>
      </x:c>
      <x:c r="G34" s="13" t="n">
        <x:v>46184</x:v>
      </x:c>
      <x:c r="H34" s="13" t="str">
        <x:v>条件保留</x:v>
      </x:c>
      <x:c r="I34" s="13" t="str">
        <x:v>首部</x:v>
      </x:c>
      <x:c r="J34" s="13" t="str">
        <x:v>需要程序时间线时保留</x:v>
      </x:c>
      <x:c r="K34" s="9" t="str">
        <x:v>待核验</x:v>
      </x:c>
      <x:c r="L34" s="11" t="str">
        <x:v>原分类不直接作为金标准；保持原值</x:v>
      </x:c>
    </x:row>
    <x:row r="35" ht="44" customHeight="1">
      <x:c r="A35" s="13" t="str">
        <x:v>OLD-LA-001-031</x:v>
      </x:c>
      <x:c r="B35" s="13" t="str">
        <x:v>LA-001</x:v>
      </x:c>
      <x:c r="C35" s="13" t="str">
        <x:v>LA-001脱敏信息分类清单.xlsx</x:v>
      </x:c>
      <x:c r="D35" s="13" t="str">
        <x:v>Sheet1</x:v>
      </x:c>
      <x:c r="E35" s="13" t="n">
        <x:v>31</x:v>
      </x:c>
      <x:c r="F35" s="13" t="str">
        <x:v>二审开庭日期</x:v>
      </x:c>
      <x:c r="G35" s="13" t="n">
        <x:v>46206</x:v>
      </x:c>
      <x:c r="H35" s="13" t="str">
        <x:v>条件保留</x:v>
      </x:c>
      <x:c r="I35" s="13" t="str">
        <x:v>首部</x:v>
      </x:c>
      <x:c r="J35" s="13" t="str">
        <x:v>需要程序时间线时保留</x:v>
      </x:c>
      <x:c r="K35" s="9" t="str">
        <x:v>待核验</x:v>
      </x:c>
      <x:c r="L35" s="11" t="str">
        <x:v>原分类不直接作为金标准；保持原值</x:v>
      </x:c>
    </x:row>
    <x:row r="36" ht="44" customHeight="1">
      <x:c r="A36" s="13" t="str">
        <x:v>OLD-LA-001-032</x:v>
      </x:c>
      <x:c r="B36" s="13" t="str">
        <x:v>LA-001</x:v>
      </x:c>
      <x:c r="C36" s="13" t="str">
        <x:v>LA-001脱敏信息分类清单.xlsx</x:v>
      </x:c>
      <x:c r="D36" s="13" t="str">
        <x:v>Sheet1</x:v>
      </x:c>
      <x:c r="E36" s="13" t="n">
        <x:v>32</x:v>
      </x:c>
      <x:c r="F36" s="13" t="str">
        <x:v>二审判决日期</x:v>
      </x:c>
      <x:c r="G36" s="13" t="n">
        <x:v>46267</x:v>
      </x:c>
      <x:c r="H36" s="13" t="str">
        <x:v>必须保留</x:v>
      </x:c>
      <x:c r="I36" s="13" t="str">
        <x:v>文书末尾</x:v>
      </x:c>
      <x:c r="J36" s="13" t="str">
        <x:v>保留完整日期</x:v>
      </x:c>
      <x:c r="K36" s="9" t="str">
        <x:v>待核验</x:v>
      </x:c>
      <x:c r="L36" s="11" t="str">
        <x:v>原分类不直接作为金标准；保持原值</x:v>
      </x:c>
    </x:row>
    <x:row r="37" ht="44" customHeight="1">
      <x:c r="A37" s="13" t="str">
        <x:v>OLD-LA-001-033</x:v>
      </x:c>
      <x:c r="B37" s="13" t="str">
        <x:v>LA-001</x:v>
      </x:c>
      <x:c r="C37" s="13" t="str">
        <x:v>LA-001脱敏信息分类清单.xlsx</x:v>
      </x:c>
      <x:c r="D37" s="13" t="str">
        <x:v>Sheet1</x:v>
      </x:c>
      <x:c r="E37" s="13" t="n">
        <x:v>33</x:v>
      </x:c>
      <x:c r="F37" s="13" t="str">
        <x:v>微信转账记录</x:v>
      </x:c>
      <x:c r="G37" s="13" t="str">
        <x:v>报酬发放记录</x:v>
      </x:c>
      <x:c r="H37" s="13" t="str">
        <x:v>转人工</x:v>
      </x:c>
      <x:c r="I37" s="13" t="str">
        <x:v>一审查明事实、法院说理</x:v>
      </x:c>
      <x:c r="J37" s="13" t="str">
        <x:v>外部模型只接收金额性质、发放频率和用途摘要、原始流水转人工核验</x:v>
      </x:c>
      <x:c r="K37" s="9" t="str">
        <x:v>待核验</x:v>
      </x:c>
      <x:c r="L37" s="11" t="str">
        <x:v>原分类不直接作为金标准；保持原值</x:v>
      </x:c>
    </x:row>
    <x:row r="38" ht="44" customHeight="1">
      <x:c r="A38" s="13" t="str">
        <x:v>OLD-LA-001-034</x:v>
      </x:c>
      <x:c r="B38" s="13" t="str">
        <x:v>LA-001</x:v>
      </x:c>
      <x:c r="C38" s="13" t="str">
        <x:v>LA-001脱敏信息分类清单.xlsx</x:v>
      </x:c>
      <x:c r="D38" s="13" t="str">
        <x:v>Sheet1</x:v>
      </x:c>
      <x:c r="E38" s="13" t="n">
        <x:v>34</x:v>
      </x:c>
      <x:c r="F38" s="13" t="str">
        <x:v>营业厅工作安排群聊天记录</x:v>
      </x:c>
      <x:c r="G38" s="13" t="str">
        <x:v>工作安排、加班安排</x:v>
      </x:c>
      <x:c r="H38" s="13" t="str">
        <x:v>转人工</x:v>
      </x:c>
      <x:c r="I38" s="13" t="str">
        <x:v>双方诉辩、法院说理</x:v>
      </x:c>
      <x:c r="J38" s="13" t="str">
        <x:v>只发送摘录：“上某在群内发布通知”“某厅公布营业时间”，不发送聊天记录全文</x:v>
      </x:c>
      <x:c r="K38" s="9" t="str">
        <x:v>待核验</x:v>
      </x:c>
      <x:c r="L38" s="11" t="str">
        <x:v>原分类不直接作为金标准；保持原值</x:v>
      </x:c>
    </x:row>
    <x:row r="39" ht="44" customHeight="1">
      <x:c r="A39" s="13" t="str">
        <x:v>OLD-LA-001-035</x:v>
      </x:c>
      <x:c r="B39" s="13" t="str">
        <x:v>LA-001</x:v>
      </x:c>
      <x:c r="C39" s="13" t="str">
        <x:v>LA-001脱敏信息分类清单.xlsx</x:v>
      </x:c>
      <x:c r="D39" s="13" t="str">
        <x:v>Sheet1</x:v>
      </x:c>
      <x:c r="E39" s="13" t="n">
        <x:v>35</x:v>
      </x:c>
      <x:c r="F39" s="13" t="str">
        <x:v>吾某向上某微信转账截图</x:v>
      </x:c>
      <x:c r="G39" s="13" t="str">
        <x:v>柜台分摊费</x:v>
      </x:c>
      <x:c r="H39" s="13" t="str">
        <x:v>转人工</x:v>
      </x:c>
      <x:c r="I39" s="13" t="str">
        <x:v>二审本院认为部分</x:v>
      </x:c>
      <x:c r="J39" s="13" t="str">
        <x:v>只发送期间、次数和双方对款项性质的分歧主张；原始截图转人工核验</x:v>
      </x:c>
      <x:c r="K39" s="9" t="str">
        <x:v>待核验</x:v>
      </x:c>
      <x:c r="L39" s="11" t="str">
        <x:v>原分类不直接作为金标准；保持原值</x:v>
      </x:c>
    </x:row>
    <x:row r="40" ht="44" customHeight="1">
      <x:c r="A40" s="13" t="str">
        <x:v>OLD-LA-001-036</x:v>
      </x:c>
      <x:c r="B40" s="13" t="str">
        <x:v>LA-001</x:v>
      </x:c>
      <x:c r="C40" s="13" t="str">
        <x:v>LA-001脱敏信息分类清单.xlsx</x:v>
      </x:c>
      <x:c r="D40" s="13" t="str">
        <x:v>Sheet1</x:v>
      </x:c>
      <x:c r="E40" s="13" t="n">
        <x:v>36</x:v>
      </x:c>
      <x:c r="F40" s="13" t="str">
        <x:v>工作牌</x:v>
      </x:c>
      <x:c r="G40" s="13" t="str">
        <x:v>从业地点和工作内容</x:v>
      </x:c>
      <x:c r="H40" s="13" t="str">
        <x:v>条件保留</x:v>
      </x:c>
      <x:c r="I40" s="13" t="str">
        <x:v>一审法院认定</x:v>
      </x:c>
      <x:c r="J40" s="13" t="str">
        <x:v>保留存在事实，不发送实物图片</x:v>
      </x:c>
      <x:c r="K40" s="9" t="str">
        <x:v>待核验</x:v>
      </x:c>
      <x:c r="L40" s="11" t="str">
        <x:v>原分类不直接作为金标准；保持原值</x:v>
      </x:c>
    </x:row>
    <x:row r="41" ht="44" customHeight="1">
      <x:c r="A41" s="13" t="str">
        <x:v>OLD-LA-001-037</x:v>
      </x:c>
      <x:c r="B41" s="13" t="str">
        <x:v>LA-001</x:v>
      </x:c>
      <x:c r="C41" s="13" t="str">
        <x:v>LA-001脱敏信息分类清单.xlsx</x:v>
      </x:c>
      <x:c r="D41" s="13" t="str">
        <x:v>Sheet1</x:v>
      </x:c>
      <x:c r="E41" s="13" t="n">
        <x:v>37</x:v>
      </x:c>
      <x:c r="F41" s="13" t="str">
        <x:v>工作照片</x:v>
      </x:c>
      <x:c r="G41" s="13" t="str">
        <x:v>从业地点和工作内容</x:v>
      </x:c>
      <x:c r="H41" s="13" t="str">
        <x:v>条件保留</x:v>
      </x:c>
      <x:c r="I41" s="13" t="str">
        <x:v>一审法院认定</x:v>
      </x:c>
      <x:c r="J41" s="13" t="str">
        <x:v>保留存在事实，不发送实物图片</x:v>
      </x:c>
      <x:c r="K41" s="9" t="str">
        <x:v>待核验</x:v>
      </x:c>
      <x:c r="L41" s="11" t="str">
        <x:v>原分类不直接作为金标准；保持原值</x:v>
      </x:c>
    </x:row>
    <x:row r="42" ht="44" customHeight="1">
      <x:c r="A42" s="13" t="str">
        <x:v>OLD-LA-001-038</x:v>
      </x:c>
      <x:c r="B42" s="13" t="str">
        <x:v>LA-001</x:v>
      </x:c>
      <x:c r="C42" s="13" t="str">
        <x:v>LA-001脱敏信息分类清单.xlsx</x:v>
      </x:c>
      <x:c r="D42" s="13" t="str">
        <x:v>Sheet1</x:v>
      </x:c>
      <x:c r="E42" s="13" t="n">
        <x:v>38</x:v>
      </x:c>
      <x:c r="F42" s="13" t="str">
        <x:v>吾某工作内容</x:v>
      </x:c>
      <x:c r="G42" s="13" t="str">
        <x:v>终端、配件销售、号卡、宽带揽装</x:v>
      </x:c>
      <x:c r="H42" s="13" t="str">
        <x:v>必须保留</x:v>
      </x:c>
      <x:c r="I42" s="13" t="str">
        <x:v>诉讼请求、一审查明事实</x:v>
      </x:c>
      <x:c r="J42" s="13" t="str">
        <x:v>保留</x:v>
      </x:c>
      <x:c r="K42" s="9" t="str">
        <x:v>待核验</x:v>
      </x:c>
      <x:c r="L42" s="11" t="str">
        <x:v>原分类不直接作为金标准；保持原值</x:v>
      </x:c>
    </x:row>
    <x:row r="43" ht="44" customHeight="1">
      <x:c r="A43" s="13" t="str">
        <x:v>OLD-LA-001-039</x:v>
      </x:c>
      <x:c r="B43" s="13" t="str">
        <x:v>LA-001</x:v>
      </x:c>
      <x:c r="C43" s="13" t="str">
        <x:v>LA-001脱敏信息分类清单.xlsx</x:v>
      </x:c>
      <x:c r="D43" s="13" t="str">
        <x:v>Sheet1</x:v>
      </x:c>
      <x:c r="E43" s="13" t="n">
        <x:v>39</x:v>
      </x:c>
      <x:c r="F43" s="13" t="str">
        <x:v>吾某自述报酬构成</x:v>
      </x:c>
      <x:c r="G43" s="13" t="str">
        <x:v>均为终端业务提成、没有底薪工资</x:v>
      </x:c>
      <x:c r="H43" s="13" t="str">
        <x:v>必须保留</x:v>
      </x:c>
      <x:c r="I43" s="13" t="str">
        <x:v>二审“本院认为”部分（吾某庭审陈述）</x:v>
      </x:c>
      <x:c r="J43" s="13" t="str">
        <x:v>保留</x:v>
      </x:c>
      <x:c r="K43" s="9" t="str">
        <x:v>待核验</x:v>
      </x:c>
      <x:c r="L43" s="11" t="str">
        <x:v>原分类不直接作为金标准；保持原值</x:v>
      </x:c>
    </x:row>
    <x:row r="44" ht="44" customHeight="1">
      <x:c r="A44" s="13" t="str">
        <x:v>OLD-LA-001-040</x:v>
      </x:c>
      <x:c r="B44" s="13" t="str">
        <x:v>LA-001</x:v>
      </x:c>
      <x:c r="C44" s="13" t="str">
        <x:v>LA-001脱敏信息分类清单.xlsx</x:v>
      </x:c>
      <x:c r="D44" s="13" t="str">
        <x:v>Sheet1</x:v>
      </x:c>
      <x:c r="E44" s="13" t="n">
        <x:v>40</x:v>
      </x:c>
      <x:c r="F44" s="13" t="str">
        <x:v>吾某自述考勤管理主体</x:v>
      </x:c>
      <x:c r="G44" s="13" t="str">
        <x:v>考勤由某厅负责人迪某管理、请销假从电信公司请</x:v>
      </x:c>
      <x:c r="H44" s="13" t="str">
        <x:v>必须保留</x:v>
      </x:c>
      <x:c r="I44" s="13" t="str">
        <x:v>二审“本院认为”部分</x:v>
      </x:c>
      <x:c r="J44" s="13" t="str">
        <x:v>保留</x:v>
      </x:c>
      <x:c r="K44" s="9" t="str">
        <x:v>待核验</x:v>
      </x:c>
      <x:c r="L44" s="11" t="str">
        <x:v>原分类不直接作为金标准；保持原值</x:v>
      </x:c>
    </x:row>
    <x:row r="45" ht="44" customHeight="1">
      <x:c r="A45" s="13" t="str">
        <x:v>OLD-LA-001-041</x:v>
      </x:c>
      <x:c r="B45" s="13" t="str">
        <x:v>LA-001</x:v>
      </x:c>
      <x:c r="C45" s="13" t="str">
        <x:v>LA-001脱敏信息分类清单.xlsx</x:v>
      </x:c>
      <x:c r="D45" s="13" t="str">
        <x:v>Sheet1</x:v>
      </x:c>
      <x:c r="E45" s="13" t="n">
        <x:v>41</x:v>
      </x:c>
      <x:c r="F45" s="13" t="str">
        <x:v>吾某自述工作安排主体</x:v>
      </x:c>
      <x:c r="G45" s="13" t="str">
        <x:v>办理宽带等业务由某厅安排，卖手机由上某安排</x:v>
      </x:c>
      <x:c r="H45" s="13" t="str">
        <x:v>必须保留</x:v>
      </x:c>
      <x:c r="I45" s="13" t="str">
        <x:v>二审“本院认为”部分</x:v>
      </x:c>
      <x:c r="J45" s="13" t="str">
        <x:v>保留</x:v>
      </x:c>
      <x:c r="K45" s="9" t="str">
        <x:v>待核验</x:v>
      </x:c>
      <x:c r="L45" s="11" t="str">
        <x:v>原分类不直接作为金标准；保持原值</x:v>
      </x:c>
    </x:row>
    <x:row r="46" ht="44" customHeight="1">
      <x:c r="A46" s="13" t="str">
        <x:v>OLD-LA-001-042</x:v>
      </x:c>
      <x:c r="B46" s="13" t="str">
        <x:v>LA-001</x:v>
      </x:c>
      <x:c r="C46" s="13" t="str">
        <x:v>LA-001脱敏信息分类清单.xlsx</x:v>
      </x:c>
      <x:c r="D46" s="13" t="str">
        <x:v>Sheet1</x:v>
      </x:c>
      <x:c r="E46" s="13" t="n">
        <x:v>42</x:v>
      </x:c>
      <x:c r="F46" s="13" t="str">
        <x:v>吾某自认更换雇主事实</x:v>
      </x:c>
      <x:c r="G46" s="13" t="str">
        <x:v>在自己不知情的情况下换了五家公司</x:v>
      </x:c>
      <x:c r="H46" s="13" t="str">
        <x:v>必须保留</x:v>
      </x:c>
      <x:c r="I46" s="13" t="str">
        <x:v>二审“本院认为”部分</x:v>
      </x:c>
      <x:c r="J46" s="13" t="str">
        <x:v>保留</x:v>
      </x:c>
      <x:c r="K46" s="9" t="str">
        <x:v>待核验</x:v>
      </x:c>
      <x:c r="L46" s="11" t="str">
        <x:v>原分类不直接作为金标准；保持原值</x:v>
      </x:c>
    </x:row>
    <x:row r="47" ht="44" customHeight="1">
      <x:c r="A47" s="13" t="str">
        <x:v>OLD-LA-001-043</x:v>
      </x:c>
      <x:c r="B47" s="13" t="str">
        <x:v>LA-001</x:v>
      </x:c>
      <x:c r="C47" s="13" t="str">
        <x:v>LA-001脱敏信息分类清单.xlsx</x:v>
      </x:c>
      <x:c r="D47" s="13" t="str">
        <x:v>Sheet1</x:v>
      </x:c>
      <x:c r="E47" s="13" t="n">
        <x:v>43</x:v>
      </x:c>
      <x:c r="F47" s="13" t="str">
        <x:v>吾某离职主张</x:v>
      </x:c>
      <x:c r="G47" s="13" t="str">
        <x:v>2024年8月20日当众侮辱并逼迫离职</x:v>
      </x:c>
      <x:c r="H47" s="13" t="str">
        <x:v>条件保留</x:v>
      </x:c>
      <x:c r="I47" s="13" t="str">
        <x:v>仲裁请求、一审查明事实</x:v>
      </x:c>
      <x:c r="J47" s="13" t="str">
        <x:v>保留作为请求依据</x:v>
      </x:c>
      <x:c r="K47" s="9" t="str">
        <x:v>待核验</x:v>
      </x:c>
      <x:c r="L47" s="11" t="str">
        <x:v>原分类不直接作为金标准；保持原值</x:v>
      </x:c>
    </x:row>
    <x:row r="48" ht="44" customHeight="1">
      <x:c r="A48" s="13" t="str">
        <x:v>OLD-LA-002-002</x:v>
      </x:c>
      <x:c r="B48" s="13" t="str">
        <x:v>LA-002</x:v>
      </x:c>
      <x:c r="C48" s="13" t="str">
        <x:v>LA-002脱敏信息分类清单.xlsx</x:v>
      </x:c>
      <x:c r="D48" s="13" t="str">
        <x:v>Sheet1</x:v>
      </x:c>
      <x:c r="E48" s="13" t="n">
        <x:v>2</x:v>
      </x:c>
      <x:c r="F48" s="13" t="str">
        <x:v>上诉人公司名称</x:v>
      </x:c>
      <x:c r="G48" s="13" t="str">
        <x:v>北京嘉普琪服装服饰有限公司</x:v>
      </x:c>
      <x:c r="H48" s="13" t="str">
        <x:v>假名化保留</x:v>
      </x:c>
      <x:c r="I48" s="13" t="str">
        <x:v>标题、正文多处</x:v>
      </x:c>
      <x:c r="J48" s="13" t="str">
        <x:v>正文已以“某公司”代称，保留某公司；标题全名本地保存，不向外部模型发送</x:v>
      </x:c>
      <x:c r="K48" s="9" t="str">
        <x:v>待核验</x:v>
      </x:c>
      <x:c r="L48" s="11" t="str">
        <x:v>原分类不直接作为金标准；保持原值</x:v>
      </x:c>
    </x:row>
    <x:row r="49" ht="44" customHeight="1">
      <x:c r="A49" s="13" t="str">
        <x:v>OLD-LA-002-003</x:v>
      </x:c>
      <x:c r="B49" s="13" t="str">
        <x:v>LA-002</x:v>
      </x:c>
      <x:c r="C49" s="13" t="str">
        <x:v>LA-002脱敏信息分类清单.xlsx</x:v>
      </x:c>
      <x:c r="D49" s="13" t="str">
        <x:v>Sheet1</x:v>
      </x:c>
      <x:c r="E49" s="13" t="n">
        <x:v>3</x:v>
      </x:c>
      <x:c r="F49" s="13" t="str">
        <x:v>被上诉人真实姓名</x:v>
      </x:c>
      <x:c r="G49" s="13" t="str">
        <x:v>刘新美</x:v>
      </x:c>
      <x:c r="H49" s="13" t="str">
        <x:v>默认删除</x:v>
      </x:c>
      <x:c r="I49" s="13" t="str">
        <x:v>标题</x:v>
      </x:c>
      <x:c r="J49" s="13" t="str">
        <x:v>正文已以“刘某”代称，保留刘某；标题全名本地保存，不向外部模型发送</x:v>
      </x:c>
      <x:c r="K49" s="9" t="str">
        <x:v>待核验</x:v>
      </x:c>
      <x:c r="L49" s="11" t="str">
        <x:v>原分类不直接作为金标准；保持原值</x:v>
      </x:c>
    </x:row>
    <x:row r="50" ht="44" customHeight="1">
      <x:c r="A50" s="13" t="str">
        <x:v>OLD-LA-002-004</x:v>
      </x:c>
      <x:c r="B50" s="13" t="str">
        <x:v>LA-002</x:v>
      </x:c>
      <x:c r="C50" s="13" t="str">
        <x:v>LA-002脱敏信息分类清单.xlsx</x:v>
      </x:c>
      <x:c r="D50" s="13" t="str">
        <x:v>Sheet1</x:v>
      </x:c>
      <x:c r="E50" s="13" t="n">
        <x:v>4</x:v>
      </x:c>
      <x:c r="F50" s="13" t="str">
        <x:v>法定代表人姓名</x:v>
      </x:c>
      <x:c r="G50" s="13" t="str">
        <x:v>全某1</x:v>
      </x:c>
      <x:c r="H50" s="13" t="str">
        <x:v>假名化保留</x:v>
      </x:c>
      <x:c r="I50" s="13" t="str">
        <x:v>一审查明事实</x:v>
      </x:c>
      <x:c r="J50" s="13" t="str">
        <x:v>保留原文已有脱敏写法</x:v>
      </x:c>
      <x:c r="K50" s="9" t="str">
        <x:v>待核验</x:v>
      </x:c>
      <x:c r="L50" s="11" t="str">
        <x:v>原分类不直接作为金标准；保持原值</x:v>
      </x:c>
    </x:row>
    <x:row r="51" ht="44" customHeight="1">
      <x:c r="A51" s="13" t="str">
        <x:v>OLD-LA-002-005</x:v>
      </x:c>
      <x:c r="B51" s="13" t="str">
        <x:v>LA-002</x:v>
      </x:c>
      <x:c r="C51" s="13" t="str">
        <x:v>LA-002脱敏信息分类清单.xlsx</x:v>
      </x:c>
      <x:c r="D51" s="13" t="str">
        <x:v>Sheet1</x:v>
      </x:c>
      <x:c r="E51" s="13" t="n">
        <x:v>5</x:v>
      </x:c>
      <x:c r="F51" s="13" t="str">
        <x:v>付款人姓名</x:v>
      </x:c>
      <x:c r="G51" s="13" t="str">
        <x:v>全某（全某1之父）</x:v>
      </x:c>
      <x:c r="H51" s="13" t="str">
        <x:v>假名化保留</x:v>
      </x:c>
      <x:c r="I51" s="13" t="str">
        <x:v>一审查明事实、银行转账记录</x:v>
      </x:c>
      <x:c r="J51" s="13" t="str">
        <x:v>保留原文已有脱敏写法</x:v>
      </x:c>
      <x:c r="K51" s="9" t="str">
        <x:v>待核验</x:v>
      </x:c>
      <x:c r="L51" s="11" t="str">
        <x:v>原分类不直接作为金标准；保持原值</x:v>
      </x:c>
    </x:row>
    <x:row r="52" ht="44" customHeight="1">
      <x:c r="A52" s="13" t="str">
        <x:v>OLD-LA-002-006</x:v>
      </x:c>
      <x:c r="B52" s="13" t="str">
        <x:v>LA-002</x:v>
      </x:c>
      <x:c r="C52" s="13" t="str">
        <x:v>LA-002脱敏信息分类清单.xlsx</x:v>
      </x:c>
      <x:c r="D52" s="13" t="str">
        <x:v>Sheet1</x:v>
      </x:c>
      <x:c r="E52" s="13" t="n">
        <x:v>6</x:v>
      </x:c>
      <x:c r="F52" s="13" t="str">
        <x:v>其他员工姓名</x:v>
      </x:c>
      <x:c r="G52" s="13" t="str">
        <x:v>葛某、李某</x:v>
      </x:c>
      <x:c r="H52" s="13" t="str">
        <x:v>假名化保留</x:v>
      </x:c>
      <x:c r="I52" s="13" t="str">
        <x:v>刘某提交证据</x:v>
      </x:c>
      <x:c r="J52" s="13" t="str">
        <x:v>保留原文已有脱敏写法</x:v>
      </x:c>
      <x:c r="K52" s="9" t="str">
        <x:v>待核验</x:v>
      </x:c>
      <x:c r="L52" s="11" t="str">
        <x:v>原分类不直接作为金标准；保持原值</x:v>
      </x:c>
    </x:row>
    <x:row r="53" ht="44" customHeight="1">
      <x:c r="A53" s="13" t="str">
        <x:v>OLD-LA-002-007</x:v>
      </x:c>
      <x:c r="B53" s="13" t="str">
        <x:v>LA-002</x:v>
      </x:c>
      <x:c r="C53" s="13" t="str">
        <x:v>LA-002脱敏信息分类清单.xlsx</x:v>
      </x:c>
      <x:c r="D53" s="13" t="str">
        <x:v>Sheet1</x:v>
      </x:c>
      <x:c r="E53" s="13" t="n">
        <x:v>7</x:v>
      </x:c>
      <x:c r="F53" s="13" t="str">
        <x:v>审判长姓名</x:v>
      </x:c>
      <x:c r="G53" s="13" t="str">
        <x:v>方晓晨</x:v>
      </x:c>
      <x:c r="H53" s="13" t="str">
        <x:v>默认删除</x:v>
      </x:c>
      <x:c r="I53" s="13" t="str">
        <x:v>文书末尾</x:v>
      </x:c>
      <x:c r="J53" s="13" t="str">
        <x:v>删除</x:v>
      </x:c>
      <x:c r="K53" s="9" t="str">
        <x:v>待核验</x:v>
      </x:c>
      <x:c r="L53" s="11" t="str">
        <x:v>原分类不直接作为金标准；保持原值</x:v>
      </x:c>
    </x:row>
    <x:row r="54" ht="44" customHeight="1">
      <x:c r="A54" s="13" t="str">
        <x:v>OLD-LA-002-008</x:v>
      </x:c>
      <x:c r="B54" s="13" t="str">
        <x:v>LA-002</x:v>
      </x:c>
      <x:c r="C54" s="13" t="str">
        <x:v>LA-002脱敏信息分类清单.xlsx</x:v>
      </x:c>
      <x:c r="D54" s="13" t="str">
        <x:v>Sheet1</x:v>
      </x:c>
      <x:c r="E54" s="13" t="n">
        <x:v>8</x:v>
      </x:c>
      <x:c r="F54" s="13" t="str">
        <x:v>审判员姓名</x:v>
      </x:c>
      <x:c r="G54" s="13" t="str">
        <x:v>周晓莉、孙德一</x:v>
      </x:c>
      <x:c r="H54" s="13" t="str">
        <x:v>默认删除</x:v>
      </x:c>
      <x:c r="I54" s="13" t="str">
        <x:v>文书末尾</x:v>
      </x:c>
      <x:c r="J54" s="13" t="str">
        <x:v>删除</x:v>
      </x:c>
      <x:c r="K54" s="9" t="str">
        <x:v>待核验</x:v>
      </x:c>
      <x:c r="L54" s="11" t="str">
        <x:v>原分类不直接作为金标准；保持原值</x:v>
      </x:c>
    </x:row>
    <x:row r="55" ht="44" customHeight="1">
      <x:c r="A55" s="13" t="str">
        <x:v>OLD-LA-002-009</x:v>
      </x:c>
      <x:c r="B55" s="13" t="str">
        <x:v>LA-002</x:v>
      </x:c>
      <x:c r="C55" s="13" t="str">
        <x:v>LA-002脱敏信息分类清单.xlsx</x:v>
      </x:c>
      <x:c r="D55" s="13" t="str">
        <x:v>Sheet1</x:v>
      </x:c>
      <x:c r="E55" s="13" t="n">
        <x:v>9</x:v>
      </x:c>
      <x:c r="F55" s="13" t="str">
        <x:v>法官助理姓名</x:v>
      </x:c>
      <x:c r="G55" s="13" t="str">
        <x:v>董红</x:v>
      </x:c>
      <x:c r="H55" s="13" t="str">
        <x:v>禁止外发</x:v>
      </x:c>
      <x:c r="I55" s="13" t="str">
        <x:v>文书末尾</x:v>
      </x:c>
      <x:c r="J55" s="13" t="str">
        <x:v>删除</x:v>
      </x:c>
      <x:c r="K55" s="9" t="str">
        <x:v>待核验</x:v>
      </x:c>
      <x:c r="L55" s="11" t="str">
        <x:v>原分类不直接作为金标准；保持原值</x:v>
      </x:c>
    </x:row>
    <x:row r="56" ht="44" customHeight="1">
      <x:c r="A56" s="13" t="str">
        <x:v>OLD-LA-002-010</x:v>
      </x:c>
      <x:c r="B56" s="13" t="str">
        <x:v>LA-002</x:v>
      </x:c>
      <x:c r="C56" s="13" t="str">
        <x:v>LA-002脱敏信息分类清单.xlsx</x:v>
      </x:c>
      <x:c r="D56" s="13" t="str">
        <x:v>Sheet1</x:v>
      </x:c>
      <x:c r="E56" s="13" t="n">
        <x:v>10</x:v>
      </x:c>
      <x:c r="F56" s="13" t="str">
        <x:v>书记员姓名</x:v>
      </x:c>
      <x:c r="G56" s="13" t="str">
        <x:v>曹静、朱迪</x:v>
      </x:c>
      <x:c r="H56" s="13" t="str">
        <x:v>禁止外发</x:v>
      </x:c>
      <x:c r="I56" s="13" t="str">
        <x:v>文书末尾</x:v>
      </x:c>
      <x:c r="J56" s="13" t="str">
        <x:v>删除</x:v>
      </x:c>
      <x:c r="K56" s="9" t="str">
        <x:v>待核验</x:v>
      </x:c>
      <x:c r="L56" s="11" t="str">
        <x:v>原分类不直接作为金标准；保持原值</x:v>
      </x:c>
    </x:row>
    <x:row r="57" ht="44" customHeight="1">
      <x:c r="A57" s="13" t="str">
        <x:v>OLD-LA-002-011</x:v>
      </x:c>
      <x:c r="B57" s="13" t="str">
        <x:v>LA-002</x:v>
      </x:c>
      <x:c r="C57" s="13" t="str">
        <x:v>LA-002脱敏信息分类清单.xlsx</x:v>
      </x:c>
      <x:c r="D57" s="13" t="str">
        <x:v>Sheet1</x:v>
      </x:c>
      <x:c r="E57" s="13" t="n">
        <x:v>11</x:v>
      </x:c>
      <x:c r="F57" s="13" t="str">
        <x:v>二审法院名称</x:v>
      </x:c>
      <x:c r="G57" s="13" t="str">
        <x:v>北京市第二中级人民法院</x:v>
      </x:c>
      <x:c r="H57" s="13" t="str">
        <x:v>条件保留</x:v>
      </x:c>
      <x:c r="I57" s="13" t="str">
        <x:v>全文多处</x:v>
      </x:c>
      <x:c r="J57" s="13" t="str">
        <x:v>改为“二审法院”</x:v>
      </x:c>
      <x:c r="K57" s="9" t="str">
        <x:v>待核验</x:v>
      </x:c>
      <x:c r="L57" s="11" t="str">
        <x:v>原分类不直接作为金标准；保持原值</x:v>
      </x:c>
    </x:row>
    <x:row r="58" ht="44" customHeight="1">
      <x:c r="A58" s="13" t="str">
        <x:v>OLD-LA-002-012</x:v>
      </x:c>
      <x:c r="B58" s="13" t="str">
        <x:v>LA-002</x:v>
      </x:c>
      <x:c r="C58" s="13" t="str">
        <x:v>LA-002脱敏信息分类清单.xlsx</x:v>
      </x:c>
      <x:c r="D58" s="13" t="str">
        <x:v>Sheet1</x:v>
      </x:c>
      <x:c r="E58" s="13" t="n">
        <x:v>12</x:v>
      </x:c>
      <x:c r="F58" s="13" t="str">
        <x:v>一审法院名称</x:v>
      </x:c>
      <x:c r="G58" s="13" t="str">
        <x:v>北京市大兴区人民法院</x:v>
      </x:c>
      <x:c r="H58" s="13" t="str">
        <x:v>条件保留</x:v>
      </x:c>
      <x:c r="I58" s="13" t="str">
        <x:v>全文多处</x:v>
      </x:c>
      <x:c r="J58" s="13" t="str">
        <x:v>改为“一审法院”</x:v>
      </x:c>
      <x:c r="K58" s="9" t="str">
        <x:v>待核验</x:v>
      </x:c>
      <x:c r="L58" s="11" t="str">
        <x:v>原分类不直接作为金标准；保持原值</x:v>
      </x:c>
    </x:row>
    <x:row r="59" ht="44" customHeight="1">
      <x:c r="A59" s="13" t="str">
        <x:v>OLD-LA-002-013</x:v>
      </x:c>
      <x:c r="B59" s="13" t="str">
        <x:v>LA-002</x:v>
      </x:c>
      <x:c r="C59" s="13" t="str">
        <x:v>LA-002脱敏信息分类清单.xlsx</x:v>
      </x:c>
      <x:c r="D59" s="13" t="str">
        <x:v>Sheet1</x:v>
      </x:c>
      <x:c r="E59" s="13" t="n">
        <x:v>13</x:v>
      </x:c>
      <x:c r="F59" s="13" t="str">
        <x:v>仲裁机构名称</x:v>
      </x:c>
      <x:c r="G59" s="13" t="str">
        <x:v>北京市大兴区劳动人事争议仲裁委员会</x:v>
      </x:c>
      <x:c r="H59" s="13" t="str">
        <x:v>条件保留</x:v>
      </x:c>
      <x:c r="I59" s="13" t="str">
        <x:v>仲裁事实部分</x:v>
      </x:c>
      <x:c r="J59" s="13" t="str">
        <x:v>改为“某地区仲裁机构”</x:v>
      </x:c>
      <x:c r="K59" s="9" t="str">
        <x:v>待核验</x:v>
      </x:c>
      <x:c r="L59" s="11" t="str">
        <x:v>原分类不直接作为金标准；保持原值</x:v>
      </x:c>
    </x:row>
    <x:row r="60" ht="44" customHeight="1">
      <x:c r="A60" s="13" t="str">
        <x:v>OLD-LA-002-014</x:v>
      </x:c>
      <x:c r="B60" s="13" t="str">
        <x:v>LA-002</x:v>
      </x:c>
      <x:c r="C60" s="13" t="str">
        <x:v>LA-002脱敏信息分类清单.xlsx</x:v>
      </x:c>
      <x:c r="D60" s="13" t="str">
        <x:v>Sheet1</x:v>
      </x:c>
      <x:c r="E60" s="13" t="n">
        <x:v>14</x:v>
      </x:c>
      <x:c r="F60" s="13" t="str">
        <x:v>二审案号</x:v>
      </x:c>
      <x:c r="G60" s="13" t="str">
        <x:v>（2026）京02民终12896号</x:v>
      </x:c>
      <x:c r="H60" s="13" t="str">
        <x:v>默认删除</x:v>
      </x:c>
      <x:c r="I60" s="13" t="str">
        <x:v>首部、判决主文</x:v>
      </x:c>
      <x:c r="J60" s="13" t="str">
        <x:v>改为“本案”、案号本地保存</x:v>
      </x:c>
      <x:c r="K60" s="9" t="str">
        <x:v>待核验</x:v>
      </x:c>
      <x:c r="L60" s="11" t="str">
        <x:v>原分类不直接作为金标准；保持原值</x:v>
      </x:c>
    </x:row>
    <x:row r="61" ht="44" customHeight="1">
      <x:c r="A61" s="13" t="str">
        <x:v>OLD-LA-002-015</x:v>
      </x:c>
      <x:c r="B61" s="13" t="str">
        <x:v>LA-002</x:v>
      </x:c>
      <x:c r="C61" s="13" t="str">
        <x:v>LA-002脱敏信息分类清单.xlsx</x:v>
      </x:c>
      <x:c r="D61" s="13" t="str">
        <x:v>Sheet1</x:v>
      </x:c>
      <x:c r="E61" s="13" t="n">
        <x:v>15</x:v>
      </x:c>
      <x:c r="F61" s="13" t="str">
        <x:v>一审案号</x:v>
      </x:c>
      <x:c r="G61" s="13" t="str">
        <x:v>（2025）京0115民初38030号</x:v>
      </x:c>
      <x:c r="H61" s="13" t="str">
        <x:v>默认删除</x:v>
      </x:c>
      <x:c r="I61" s="13" t="str">
        <x:v>首部、事实查明</x:v>
      </x:c>
      <x:c r="J61" s="13" t="str">
        <x:v>改为“一审判决”、案号本地保存</x:v>
      </x:c>
      <x:c r="K61" s="9" t="str">
        <x:v>待核验</x:v>
      </x:c>
      <x:c r="L61" s="11" t="str">
        <x:v>原分类不直接作为金标准；保持原值</x:v>
      </x:c>
    </x:row>
    <x:row r="62" ht="44" customHeight="1">
      <x:c r="A62" s="13" t="str">
        <x:v>OLD-LA-002-016</x:v>
      </x:c>
      <x:c r="B62" s="13" t="str">
        <x:v>LA-002</x:v>
      </x:c>
      <x:c r="C62" s="13" t="str">
        <x:v>LA-002脱敏信息分类清单.xlsx</x:v>
      </x:c>
      <x:c r="D62" s="13" t="str">
        <x:v>Sheet1</x:v>
      </x:c>
      <x:c r="E62" s="13" t="n">
        <x:v>16</x:v>
      </x:c>
      <x:c r="F62" s="13" t="str">
        <x:v>仲裁案号</x:v>
      </x:c>
      <x:c r="G62" s="13" t="str">
        <x:v>京兴劳人仲字〔2025〕第XXX号</x:v>
      </x:c>
      <x:c r="H62" s="13" t="str">
        <x:v>默认删除</x:v>
      </x:c>
      <x:c r="I62" s="13" t="str">
        <x:v>仲裁事实部分</x:v>
      </x:c>
      <x:c r="J62" s="13" t="str">
        <x:v>不额外处理</x:v>
      </x:c>
      <x:c r="K62" s="9" t="str">
        <x:v>待核验</x:v>
      </x:c>
      <x:c r="L62" s="11" t="str">
        <x:v>原分类不直接作为金标准；保持原值</x:v>
      </x:c>
    </x:row>
    <x:row r="63" ht="44" customHeight="1">
      <x:c r="A63" s="13" t="str">
        <x:v>OLD-LA-002-017</x:v>
      </x:c>
      <x:c r="B63" s="13" t="str">
        <x:v>LA-002</x:v>
      </x:c>
      <x:c r="C63" s="13" t="str">
        <x:v>LA-002脱敏信息分类清单.xlsx</x:v>
      </x:c>
      <x:c r="D63" s="13" t="str">
        <x:v>Sheet1</x:v>
      </x:c>
      <x:c r="E63" s="13" t="n">
        <x:v>17</x:v>
      </x:c>
      <x:c r="F63" s="13" t="str">
        <x:v>审级信息</x:v>
      </x:c>
      <x:c r="G63" s="13" t="str">
        <x:v>二审、终审</x:v>
      </x:c>
      <x:c r="H63" s="13" t="str">
        <x:v>必须保留</x:v>
      </x:c>
      <x:c r="I63" s="13" t="str">
        <x:v>首部、判决主文</x:v>
      </x:c>
      <x:c r="J63" s="13" t="str">
        <x:v>保留“二审”“终审”</x:v>
      </x:c>
      <x:c r="K63" s="9" t="str">
        <x:v>待核验</x:v>
      </x:c>
      <x:c r="L63" s="11" t="str">
        <x:v>原分类不直接作为金标准；保持原值</x:v>
      </x:c>
    </x:row>
    <x:row r="64" ht="44" customHeight="1">
      <x:c r="A64" s="13" t="str">
        <x:v>OLD-LA-002-018</x:v>
      </x:c>
      <x:c r="B64" s="13" t="str">
        <x:v>LA-002</x:v>
      </x:c>
      <x:c r="C64" s="13" t="str">
        <x:v>LA-002脱敏信息分类清单.xlsx</x:v>
      </x:c>
      <x:c r="D64" s="13" t="str">
        <x:v>Sheet1</x:v>
      </x:c>
      <x:c r="E64" s="13" t="n">
        <x:v>18</x:v>
      </x:c>
      <x:c r="F64" s="13" t="str">
        <x:v>劳动关系起算点</x:v>
      </x:c>
      <x:c r="G64" s="13" t="n">
        <x:v>41892</x:v>
      </x:c>
      <x:c r="H64" s="13" t="str">
        <x:v>条件保留</x:v>
      </x:c>
      <x:c r="I64" s="13" t="str">
        <x:v>仲裁请求</x:v>
      </x:c>
      <x:c r="J64" s="13" t="str">
        <x:v>保留，标记为“刘某主张”</x:v>
      </x:c>
      <x:c r="K64" s="9" t="str">
        <x:v>待核验</x:v>
      </x:c>
      <x:c r="L64" s="11" t="str">
        <x:v>原分类不直接作为金标准；保持原值</x:v>
      </x:c>
    </x:row>
    <x:row r="65" ht="44" customHeight="1">
      <x:c r="A65" s="13" t="str">
        <x:v>OLD-LA-002-019</x:v>
      </x:c>
      <x:c r="B65" s="13" t="str">
        <x:v>LA-002</x:v>
      </x:c>
      <x:c r="C65" s="13" t="str">
        <x:v>LA-002脱敏信息分类清单.xlsx</x:v>
      </x:c>
      <x:c r="D65" s="13" t="str">
        <x:v>Sheet1</x:v>
      </x:c>
      <x:c r="E65" s="13" t="n">
        <x:v>19</x:v>
      </x:c>
      <x:c r="F65" s="13" t="str">
        <x:v>入职时间</x:v>
      </x:c>
      <x:c r="G65" s="13" t="n">
        <x:v>42248</x:v>
      </x:c>
      <x:c r="H65" s="13" t="str">
        <x:v>必须保留</x:v>
      </x:c>
      <x:c r="I65" s="13" t="str">
        <x:v>一审查明事实、仲裁裁决</x:v>
      </x:c>
      <x:c r="J65" s="13" t="str">
        <x:v>保留完整日期</x:v>
      </x:c>
      <x:c r="K65" s="9" t="str">
        <x:v>待核验</x:v>
      </x:c>
      <x:c r="L65" s="11" t="str">
        <x:v>原分类不直接作为金标准；保持原值</x:v>
      </x:c>
    </x:row>
    <x:row r="66" ht="44" customHeight="1">
      <x:c r="A66" s="13" t="str">
        <x:v>OLD-LA-002-020</x:v>
      </x:c>
      <x:c r="B66" s="13" t="str">
        <x:v>LA-002</x:v>
      </x:c>
      <x:c r="C66" s="13" t="str">
        <x:v>LA-002脱敏信息分类清单.xlsx</x:v>
      </x:c>
      <x:c r="D66" s="13" t="str">
        <x:v>Sheet1</x:v>
      </x:c>
      <x:c r="E66" s="13" t="n">
        <x:v>20</x:v>
      </x:c>
      <x:c r="F66" s="13" t="str">
        <x:v>首次工资发放时间</x:v>
      </x:c>
      <x:c r="G66" s="13" t="n">
        <x:v>42272</x:v>
      </x:c>
      <x:c r="H66" s="13" t="str">
        <x:v>必须保留</x:v>
      </x:c>
      <x:c r="I66" s="13" t="str">
        <x:v>一审查明事实、二审认定</x:v>
      </x:c>
      <x:c r="J66" s="13" t="str">
        <x:v>保留完整日期</x:v>
      </x:c>
      <x:c r="K66" s="9" t="str">
        <x:v>待核验</x:v>
      </x:c>
      <x:c r="L66" s="11" t="str">
        <x:v>原分类不直接作为金标准；保持原值</x:v>
      </x:c>
    </x:row>
    <x:row r="67" ht="44" customHeight="1">
      <x:c r="A67" s="13" t="str">
        <x:v>OLD-LA-002-021</x:v>
      </x:c>
      <x:c r="B67" s="13" t="str">
        <x:v>LA-002</x:v>
      </x:c>
      <x:c r="C67" s="13" t="str">
        <x:v>LA-002脱敏信息分类清单.xlsx</x:v>
      </x:c>
      <x:c r="D67" s="13" t="str">
        <x:v>Sheet1</x:v>
      </x:c>
      <x:c r="E67" s="13" t="n">
        <x:v>21</x:v>
      </x:c>
      <x:c r="F67" s="13" t="str">
        <x:v>劳动关系终止时间</x:v>
      </x:c>
      <x:c r="G67" s="13" t="n">
        <x:v>44012</x:v>
      </x:c>
      <x:c r="H67" s="13" t="str">
        <x:v>必须保留</x:v>
      </x:c>
      <x:c r="I67" s="13" t="str">
        <x:v>一审查明事实、二审认定</x:v>
      </x:c>
      <x:c r="J67" s="13" t="str">
        <x:v>保留完整日期</x:v>
      </x:c>
      <x:c r="K67" s="9" t="str">
        <x:v>待核验</x:v>
      </x:c>
      <x:c r="L67" s="11" t="str">
        <x:v>原分类不直接作为金标准；保持原值</x:v>
      </x:c>
    </x:row>
    <x:row r="68" ht="44" customHeight="1">
      <x:c r="A68" s="13" t="str">
        <x:v>OLD-LA-002-022</x:v>
      </x:c>
      <x:c r="B68" s="13" t="str">
        <x:v>LA-002</x:v>
      </x:c>
      <x:c r="C68" s="13" t="str">
        <x:v>LA-002脱敏信息分类清单.xlsx</x:v>
      </x:c>
      <x:c r="D68" s="13" t="str">
        <x:v>Sheet1</x:v>
      </x:c>
      <x:c r="E68" s="13" t="n">
        <x:v>22</x:v>
      </x:c>
      <x:c r="F68" s="13" t="str">
        <x:v>仲裁申请日期</x:v>
      </x:c>
      <x:c r="G68" s="13" t="n">
        <x:v>45827</x:v>
      </x:c>
      <x:c r="H68" s="13" t="str">
        <x:v>必须保留</x:v>
      </x:c>
      <x:c r="I68" s="13" t="str">
        <x:v>一审查明事实、时效争议</x:v>
      </x:c>
      <x:c r="J68" s="13" t="str">
        <x:v>保留完整日期</x:v>
      </x:c>
      <x:c r="K68" s="9" t="str">
        <x:v>待核验</x:v>
      </x:c>
      <x:c r="L68" s="11" t="str">
        <x:v>原分类不直接作为金标准；保持原值</x:v>
      </x:c>
    </x:row>
    <x:row r="69" ht="44" customHeight="1">
      <x:c r="A69" s="13" t="str">
        <x:v>OLD-LA-002-023</x:v>
      </x:c>
      <x:c r="B69" s="13" t="str">
        <x:v>LA-002</x:v>
      </x:c>
      <x:c r="C69" s="13" t="str">
        <x:v>LA-002脱敏信息分类清单.xlsx</x:v>
      </x:c>
      <x:c r="D69" s="13" t="str">
        <x:v>Sheet1</x:v>
      </x:c>
      <x:c r="E69" s="13" t="n">
        <x:v>23</x:v>
      </x:c>
      <x:c r="F69" s="13" t="str">
        <x:v>仲裁裁决日期</x:v>
      </x:c>
      <x:c r="G69" s="13" t="n">
        <x:v>45897</x:v>
      </x:c>
      <x:c r="H69" s="13" t="str">
        <x:v>条件保留</x:v>
      </x:c>
      <x:c r="I69" s="13" t="str">
        <x:v>一审查明事实</x:v>
      </x:c>
      <x:c r="J69" s="13" t="str">
        <x:v>保留完整日期</x:v>
      </x:c>
      <x:c r="K69" s="9" t="str">
        <x:v>待核验</x:v>
      </x:c>
      <x:c r="L69" s="11" t="str">
        <x:v>原分类不直接作为金标准；保持原值</x:v>
      </x:c>
    </x:row>
    <x:row r="70" ht="44" customHeight="1">
      <x:c r="A70" s="13" t="str">
        <x:v>OLD-LA-002-024</x:v>
      </x:c>
      <x:c r="B70" s="13" t="str">
        <x:v>LA-002</x:v>
      </x:c>
      <x:c r="C70" s="13" t="str">
        <x:v>LA-002脱敏信息分类清单.xlsx</x:v>
      </x:c>
      <x:c r="D70" s="13" t="str">
        <x:v>Sheet1</x:v>
      </x:c>
      <x:c r="E70" s="13" t="n">
        <x:v>24</x:v>
      </x:c>
      <x:c r="F70" s="13" t="str">
        <x:v>二审裁决日期</x:v>
      </x:c>
      <x:c r="G70" s="13" t="n">
        <x:v>46261</x:v>
      </x:c>
      <x:c r="H70" s="13" t="str">
        <x:v>必须保留</x:v>
      </x:c>
      <x:c r="I70" s="13" t="str">
        <x:v>文书末尾</x:v>
      </x:c>
      <x:c r="J70" s="13" t="str">
        <x:v>保留完整日期</x:v>
      </x:c>
      <x:c r="K70" s="9" t="str">
        <x:v>待核验</x:v>
      </x:c>
      <x:c r="L70" s="11" t="str">
        <x:v>原分类不直接作为金标准；保持原值</x:v>
      </x:c>
    </x:row>
    <x:row r="71" ht="44" customHeight="1">
      <x:c r="A71" s="13" t="str">
        <x:v>OLD-LA-002-025</x:v>
      </x:c>
      <x:c r="B71" s="13" t="str">
        <x:v>LA-002</x:v>
      </x:c>
      <x:c r="C71" s="13" t="str">
        <x:v>LA-002脱敏信息分类清单.xlsx</x:v>
      </x:c>
      <x:c r="D71" s="13" t="str">
        <x:v>Sheet1</x:v>
      </x:c>
      <x:c r="E71" s="13" t="n">
        <x:v>25</x:v>
      </x:c>
      <x:c r="F71" s="13" t="str">
        <x:v>社保补贴发放时间</x:v>
      </x:c>
      <x:c r="G71" s="13" t="str">
        <x:v>2015年9月至2020年6月</x:v>
      </x:c>
      <x:c r="H71" s="13" t="str">
        <x:v>条件保留</x:v>
      </x:c>
      <x:c r="I71" s="13" t="str">
        <x:v>某公司主张</x:v>
      </x:c>
      <x:c r="J71" s="13" t="str">
        <x:v>保留期间</x:v>
      </x:c>
      <x:c r="K71" s="9" t="str">
        <x:v>待核验</x:v>
      </x:c>
      <x:c r="L71" s="11" t="str">
        <x:v>原分类不直接作为金标准；保持原值</x:v>
      </x:c>
    </x:row>
    <x:row r="72" ht="44" customHeight="1">
      <x:c r="A72" s="13" t="str">
        <x:v>OLD-LA-002-026</x:v>
      </x:c>
      <x:c r="B72" s="13" t="str">
        <x:v>LA-002</x:v>
      </x:c>
      <x:c r="C72" s="13" t="str">
        <x:v>LA-002脱敏信息分类清单.xlsx</x:v>
      </x:c>
      <x:c r="D72" s="13" t="str">
        <x:v>Sheet1</x:v>
      </x:c>
      <x:c r="E72" s="13" t="n">
        <x:v>26</x:v>
      </x:c>
      <x:c r="F72" s="13" t="str">
        <x:v>外地社保缴纳起算点</x:v>
      </x:c>
      <x:c r="G72" s="13" t="n">
        <x:v>42948</x:v>
      </x:c>
      <x:c r="H72" s="13" t="str">
        <x:v>条件保留</x:v>
      </x:c>
      <x:c r="I72" s="13" t="str">
        <x:v>某公司主张</x:v>
      </x:c>
      <x:c r="J72" s="13" t="str">
        <x:v>保留</x:v>
      </x:c>
      <x:c r="K72" s="9" t="str">
        <x:v>待核验</x:v>
      </x:c>
      <x:c r="L72" s="11" t="str">
        <x:v>原分类不直接作为金标准；保持原值</x:v>
      </x:c>
    </x:row>
    <x:row r="73" ht="44" customHeight="1">
      <x:c r="A73" s="13" t="str">
        <x:v>OLD-LA-002-027</x:v>
      </x:c>
      <x:c r="B73" s="13" t="str">
        <x:v>LA-002</x:v>
      </x:c>
      <x:c r="C73" s="13" t="str">
        <x:v>LA-002脱敏信息分类清单.xlsx</x:v>
      </x:c>
      <x:c r="D73" s="13" t="str">
        <x:v>Sheet1</x:v>
      </x:c>
      <x:c r="E73" s="13" t="n">
        <x:v>27</x:v>
      </x:c>
      <x:c r="F73" s="13" t="str">
        <x:v>社会保险补贴</x:v>
      </x:c>
      <x:c r="G73" s="13" t="str">
        <x:v>1500元/月</x:v>
      </x:c>
      <x:c r="H73" s="13" t="str">
        <x:v>条件保留</x:v>
      </x:c>
      <x:c r="I73" s="13" t="str">
        <x:v>某公司主张</x:v>
      </x:c>
      <x:c r="J73" s="13" t="str">
        <x:v>保留（系某公司抗辩兼职身份的关键事实）</x:v>
      </x:c>
      <x:c r="K73" s="9" t="str">
        <x:v>待核验</x:v>
      </x:c>
      <x:c r="L73" s="11" t="str">
        <x:v>原分类不直接作为金标准；保持原值</x:v>
      </x:c>
    </x:row>
    <x:row r="74" ht="44" customHeight="1">
      <x:c r="A74" s="13" t="str">
        <x:v>OLD-LA-002-028</x:v>
      </x:c>
      <x:c r="B74" s="13" t="str">
        <x:v>LA-002</x:v>
      </x:c>
      <x:c r="C74" s="13" t="str">
        <x:v>LA-002脱敏信息分类清单.xlsx</x:v>
      </x:c>
      <x:c r="D74" s="13" t="str">
        <x:v>Sheet1</x:v>
      </x:c>
      <x:c r="E74" s="13" t="n">
        <x:v>28</x:v>
      </x:c>
      <x:c r="F74" s="13" t="str">
        <x:v>社保补贴合计</x:v>
      </x:c>
      <x:c r="G74" s="13" t="str">
        <x:v>87000元</x:v>
      </x:c>
      <x:c r="H74" s="13" t="str">
        <x:v>条件保留</x:v>
      </x:c>
      <x:c r="I74" s="13" t="str">
        <x:v>某公司上诉理由</x:v>
      </x:c>
      <x:c r="J74" s="13" t="str">
        <x:v>保留（系某公司主张双方不存在劳动关系的核心事实）</x:v>
      </x:c>
      <x:c r="K74" s="9" t="str">
        <x:v>待核验</x:v>
      </x:c>
      <x:c r="L74" s="11" t="str">
        <x:v>原分类不直接作为金标准；保持原值</x:v>
      </x:c>
    </x:row>
    <x:row r="75" ht="44" customHeight="1">
      <x:c r="A75" s="13" t="str">
        <x:v>OLD-LA-002-029</x:v>
      </x:c>
      <x:c r="B75" s="13" t="str">
        <x:v>LA-002</x:v>
      </x:c>
      <x:c r="C75" s="13" t="str">
        <x:v>LA-002脱敏信息分类清单.xlsx</x:v>
      </x:c>
      <x:c r="D75" s="13" t="str">
        <x:v>Sheet1</x:v>
      </x:c>
      <x:c r="E75" s="13" t="n">
        <x:v>29</x:v>
      </x:c>
      <x:c r="F75" s="13" t="str">
        <x:v>二审案件受理费</x:v>
      </x:c>
      <x:c r="G75" s="13" t="str">
        <x:v>10元</x:v>
      </x:c>
      <x:c r="H75" s="13" t="str">
        <x:v>必须保留</x:v>
      </x:c>
      <x:c r="I75" s="13" t="str">
        <x:v>二审判决主文</x:v>
      </x:c>
      <x:c r="J75" s="13" t="str">
        <x:v>保留</x:v>
      </x:c>
      <x:c r="K75" s="9" t="str">
        <x:v>待核验</x:v>
      </x:c>
      <x:c r="L75" s="11" t="str">
        <x:v>原分类不直接作为金标准；保持原值</x:v>
      </x:c>
    </x:row>
    <x:row r="76" ht="44" customHeight="1">
      <x:c r="A76" s="13" t="str">
        <x:v>OLD-LA-002-030</x:v>
      </x:c>
      <x:c r="B76" s="13" t="str">
        <x:v>LA-002</x:v>
      </x:c>
      <x:c r="C76" s="13" t="str">
        <x:v>LA-002脱敏信息分类清单.xlsx</x:v>
      </x:c>
      <x:c r="D76" s="13" t="str">
        <x:v>Sheet1</x:v>
      </x:c>
      <x:c r="E76" s="13" t="n">
        <x:v>30</x:v>
      </x:c>
      <x:c r="F76" s="13" t="str">
        <x:v>银行转账记录</x:v>
      </x:c>
      <x:c r="G76" s="13" t="str">
        <x:v>全某向刘某转账的银行流水</x:v>
      </x:c>
      <x:c r="H76" s="13" t="str">
        <x:v>转人工</x:v>
      </x:c>
      <x:c r="I76" s="13" t="str">
        <x:v>一审二审证据</x:v>
      </x:c>
      <x:c r="J76" s="13" t="str">
        <x:v>外部模型只接收金额、发放频率和用途摘要，原始流水转人工核验</x:v>
      </x:c>
      <x:c r="K76" s="9" t="str">
        <x:v>待核验</x:v>
      </x:c>
      <x:c r="L76" s="11" t="str">
        <x:v>原分类不直接作为金标准；保持原值</x:v>
      </x:c>
    </x:row>
    <x:row r="77" ht="44" customHeight="1">
      <x:c r="A77" s="13" t="str">
        <x:v>OLD-LA-002-031</x:v>
      </x:c>
      <x:c r="B77" s="13" t="str">
        <x:v>LA-002</x:v>
      </x:c>
      <x:c r="C77" s="13" t="str">
        <x:v>LA-002脱敏信息分类清单.xlsx</x:v>
      </x:c>
      <x:c r="D77" s="13" t="str">
        <x:v>Sheet1</x:v>
      </x:c>
      <x:c r="E77" s="13" t="n">
        <x:v>31</x:v>
      </x:c>
      <x:c r="F77" s="13" t="str">
        <x:v>微信聊天记录</x:v>
      </x:c>
      <x:c r="G77" s="13" t="str">
        <x:v>葛某、李某的微信记录</x:v>
      </x:c>
      <x:c r="H77" s="13" t="str">
        <x:v>转人工</x:v>
      </x:c>
      <x:c r="I77" s="13" t="str">
        <x:v>刘某提交证据</x:v>
      </x:c>
      <x:c r="J77" s="13" t="str">
        <x:v>只发送必要摘录及时间、发送方、内容摘要；原文由人工核验</x:v>
      </x:c>
      <x:c r="K77" s="9" t="str">
        <x:v>待核验</x:v>
      </x:c>
      <x:c r="L77" s="11" t="str">
        <x:v>原分类不直接作为金标准；保持原值</x:v>
      </x:c>
    </x:row>
    <x:row r="78" ht="44" customHeight="1">
      <x:c r="A78" s="13" t="str">
        <x:v>OLD-LA-002-032</x:v>
      </x:c>
      <x:c r="B78" s="13" t="str">
        <x:v>LA-002</x:v>
      </x:c>
      <x:c r="C78" s="13" t="str">
        <x:v>LA-002脱敏信息分类清单.xlsx</x:v>
      </x:c>
      <x:c r="D78" s="13" t="str">
        <x:v>Sheet1</x:v>
      </x:c>
      <x:c r="E78" s="13" t="n">
        <x:v>32</x:v>
      </x:c>
      <x:c r="F78" s="13" t="str">
        <x:v>工资发放表</x:v>
      </x:c>
      <x:c r="G78" s="13" t="str">
        <x:v>显示“社会保险补贴1500元”</x:v>
      </x:c>
      <x:c r="H78" s="13" t="str">
        <x:v>条件保留</x:v>
      </x:c>
      <x:c r="I78" s="13" t="str">
        <x:v>某公司提交证据</x:v>
      </x:c>
      <x:c r="J78" s="13" t="str">
        <x:v>保留存在事实及证明目的，不发送原始表格</x:v>
      </x:c>
      <x:c r="K78" s="9" t="str">
        <x:v>待核验</x:v>
      </x:c>
      <x:c r="L78" s="11" t="str">
        <x:v>原分类不直接作为金标准；保持原值</x:v>
      </x:c>
    </x:row>
    <x:row r="79" ht="44" customHeight="1">
      <x:c r="A79" s="13" t="str">
        <x:v>OLD-LA-002-033</x:v>
      </x:c>
      <x:c r="B79" s="13" t="str">
        <x:v>LA-002</x:v>
      </x:c>
      <x:c r="C79" s="13" t="str">
        <x:v>LA-002脱敏信息分类清单.xlsx</x:v>
      </x:c>
      <x:c r="D79" s="13" t="str">
        <x:v>Sheet1</x:v>
      </x:c>
      <x:c r="E79" s="13" t="n">
        <x:v>33</x:v>
      </x:c>
      <x:c r="F79" s="13" t="str">
        <x:v>外地社保缴纳记录</x:v>
      </x:c>
      <x:c r="G79" s="13" t="str">
        <x:v>刘某在外省某县缴纳社保</x:v>
      </x:c>
      <x:c r="H79" s="13" t="str">
        <x:v>条件保留</x:v>
      </x:c>
      <x:c r="I79" s="13" t="str">
        <x:v>某公司提交证据</x:v>
      </x:c>
      <x:c r="J79" s="13" t="str">
        <x:v>保留“刘某在外地缴纳社保”的事实及证明目的，不发送原始记录及具体地名</x:v>
      </x:c>
      <x:c r="K79" s="9" t="str">
        <x:v>待核验</x:v>
      </x:c>
      <x:c r="L79" s="11" t="str">
        <x:v>原分类不直接作为金标准；保持原值</x:v>
      </x:c>
    </x:row>
    <x:row r="80" ht="44" customHeight="1">
      <x:c r="A80" s="13" t="str">
        <x:v>OLD-LA-002-034</x:v>
      </x:c>
      <x:c r="B80" s="13" t="str">
        <x:v>LA-002</x:v>
      </x:c>
      <x:c r="C80" s="13" t="str">
        <x:v>LA-002脱敏信息分类清单.xlsx</x:v>
      </x:c>
      <x:c r="D80" s="13" t="str">
        <x:v>Sheet1</x:v>
      </x:c>
      <x:c r="E80" s="13" t="n">
        <x:v>34</x:v>
      </x:c>
      <x:c r="F80" s="13" t="str">
        <x:v>社保转移记录</x:v>
      </x:c>
      <x:c r="G80" s="13" t="str">
        <x:v>2017年8月至2020年6月社保转移至某中心、某公司北京分公司账户</x:v>
      </x:c>
      <x:c r="H80" s="13" t="str">
        <x:v>条件保留</x:v>
      </x:c>
      <x:c r="I80" s="13" t="str">
        <x:v>某公司主张</x:v>
      </x:c>
      <x:c r="J80" s="13" t="str">
        <x:v>保留原文表述“某中心”“某公司北京分公司账户”，不发送原始记录</x:v>
      </x:c>
      <x:c r="K80" s="9" t="str">
        <x:v>待核验</x:v>
      </x:c>
      <x:c r="L80" s="11" t="str">
        <x:v>原分类不直接作为金标准；保持原值</x:v>
      </x:c>
    </x:row>
    <x:row r="81" ht="44" customHeight="1">
      <x:c r="A81" s="13" t="str">
        <x:v>OLD-LA-002-035</x:v>
      </x:c>
      <x:c r="B81" s="13" t="str">
        <x:v>LA-002</x:v>
      </x:c>
      <x:c r="C81" s="13" t="str">
        <x:v>LA-002脱敏信息分类清单.xlsx</x:v>
      </x:c>
      <x:c r="D81" s="13" t="str">
        <x:v>Sheet1</x:v>
      </x:c>
      <x:c r="E81" s="13" t="n">
        <x:v>35</x:v>
      </x:c>
      <x:c r="F81" s="13" t="str">
        <x:v>职务信息</x:v>
      </x:c>
      <x:c r="G81" s="13" t="str">
        <x:v>店长</x:v>
      </x:c>
      <x:c r="H81" s="13" t="str">
        <x:v>必须保留</x:v>
      </x:c>
      <x:c r="I81" s="13" t="str">
        <x:v>二审“本院认为”部分</x:v>
      </x:c>
      <x:c r="J81" s="13" t="str">
        <x:v>保留</x:v>
      </x:c>
      <x:c r="K81" s="9" t="str">
        <x:v>待核验</x:v>
      </x:c>
      <x:c r="L81" s="11" t="str">
        <x:v>原分类不直接作为金标准；保持原值</x:v>
      </x:c>
    </x:row>
    <x:row r="82" ht="44" customHeight="1">
      <x:c r="A82" s="13" t="str">
        <x:v>OLD-LA-002-036</x:v>
      </x:c>
      <x:c r="B82" s="13" t="str">
        <x:v>LA-002</x:v>
      </x:c>
      <x:c r="C82" s="13" t="str">
        <x:v>LA-002脱敏信息分类清单.xlsx</x:v>
      </x:c>
      <x:c r="D82" s="13" t="str">
        <x:v>Sheet1</x:v>
      </x:c>
      <x:c r="E82" s="13" t="n">
        <x:v>36</x:v>
      </x:c>
      <x:c r="F82" s="13" t="str">
        <x:v>工资支付方式</x:v>
      </x:c>
      <x:c r="G82" s="13" t="str">
        <x:v>通过法定代表人全某1之父全某个人账户转账支付</x:v>
      </x:c>
      <x:c r="H82" s="13" t="str">
        <x:v>必须保留</x:v>
      </x:c>
      <x:c r="I82" s="13" t="str">
        <x:v>一审查明事实、二审认定</x:v>
      </x:c>
      <x:c r="J82" s="13" t="str">
        <x:v>保留（系认定劳动关系的关键事实）</x:v>
      </x:c>
      <x:c r="K82" s="9" t="str">
        <x:v>待核验</x:v>
      </x:c>
      <x:c r="L82" s="11" t="str">
        <x:v>原分类不直接作为金标准；保持原值</x:v>
      </x:c>
    </x:row>
    <x:row r="83" ht="44" customHeight="1">
      <x:c r="A83" s="13" t="str">
        <x:v>OLD-LA-002-037</x:v>
      </x:c>
      <x:c r="B83" s="13" t="str">
        <x:v>LA-002</x:v>
      </x:c>
      <x:c r="C83" s="13" t="str">
        <x:v>LA-002脱敏信息分类清单.xlsx</x:v>
      </x:c>
      <x:c r="D83" s="13" t="str">
        <x:v>Sheet1</x:v>
      </x:c>
      <x:c r="E83" s="13" t="n">
        <x:v>37</x:v>
      </x:c>
      <x:c r="F83" s="13" t="str">
        <x:v>兼职身份抗辩</x:v>
      </x:c>
      <x:c r="G83" s="13" t="str">
        <x:v>刘某入职时自称在河南老家保留劳动关系，要求以兼职方式提供劳务</x:v>
      </x:c>
      <x:c r="H83" s="13" t="str">
        <x:v>条件保留</x:v>
      </x:c>
      <x:c r="I83" s="13" t="str">
        <x:v>某公司上诉理由</x:v>
      </x:c>
      <x:c r="J83" s="13" t="str">
        <x:v>保留（系某公司核心抗辩事由</x:v>
      </x:c>
      <x:c r="K83" s="9" t="str">
        <x:v>待核验</x:v>
      </x:c>
      <x:c r="L83" s="11" t="str">
        <x:v>原分类不直接作为金标准；保持原值</x:v>
      </x:c>
    </x:row>
    <x:row r="84" ht="44" customHeight="1">
      <x:c r="A84" s="13" t="str">
        <x:v>OLD-LA-003-002</x:v>
      </x:c>
      <x:c r="B84" s="13" t="str">
        <x:v>LA-003</x:v>
      </x:c>
      <x:c r="C84" s="13" t="str">
        <x:v>LA-003脱敏信息分类清单 2.xlsx</x:v>
      </x:c>
      <x:c r="D84" s="13" t="str">
        <x:v>Sheet1</x:v>
      </x:c>
      <x:c r="E84" s="13" t="n">
        <x:v>2</x:v>
      </x:c>
      <x:c r="F84" s="13" t="str">
        <x:v>银行流水</x:v>
      </x:c>
      <x:c r="G84" s="13" t="str">
        <x:v>某戊公司向袁某转账记录</x:v>
      </x:c>
      <x:c r="H84" s="13" t="str">
        <x:v>转人工</x:v>
      </x:c>
      <x:c r="I84" s="13" t="str">
        <x:v>袁某证据</x:v>
      </x:c>
      <x:c r="J84" s="13" t="str">
        <x:v>外部模型只接收付款主体、发放频率和用途摘要；原始流水转人工核验</x:v>
      </x:c>
      <x:c r="K84" s="9" t="str">
        <x:v>待核验</x:v>
      </x:c>
      <x:c r="L84" s="11" t="str">
        <x:v>原分类不直接作为金标准；保持原值</x:v>
      </x:c>
    </x:row>
    <x:row r="85" ht="44" customHeight="1">
      <x:c r="A85" s="13" t="str">
        <x:v>OLD-LA-003-003</x:v>
      </x:c>
      <x:c r="B85" s="13" t="str">
        <x:v>LA-003</x:v>
      </x:c>
      <x:c r="C85" s="13" t="str">
        <x:v>LA-003脱敏信息分类清单 2.xlsx</x:v>
      </x:c>
      <x:c r="D85" s="13" t="str">
        <x:v>Sheet1</x:v>
      </x:c>
      <x:c r="E85" s="13" t="n">
        <x:v>3</x:v>
      </x:c>
      <x:c r="F85" s="13" t="str">
        <x:v>饿了么app收入账单</x:v>
      </x:c>
      <x:c r="G85" s="13" t="str">
        <x:v>发薪站点、实发薪资、出勤奖规则</x:v>
      </x:c>
      <x:c r="H85" s="13" t="str">
        <x:v>条件保留</x:v>
      </x:c>
      <x:c r="I85" s="13" t="str">
        <x:v>袁某证据</x:v>
      </x:c>
      <x:c r="J85" s="13" t="str">
        <x:v>保留“发薪站点为义和庄站”及收入账单与银行流水对应的概括事实</x:v>
      </x:c>
      <x:c r="K85" s="9" t="str">
        <x:v>待核验</x:v>
      </x:c>
      <x:c r="L85" s="11" t="str">
        <x:v>原分类不直接作为金标准；保持原值</x:v>
      </x:c>
    </x:row>
    <x:row r="86" ht="44" customHeight="1">
      <x:c r="A86" s="13" t="str">
        <x:v>OLD-LA-003-004</x:v>
      </x:c>
      <x:c r="B86" s="13" t="str">
        <x:v>LA-003</x:v>
      </x:c>
      <x:c r="C86" s="13" t="str">
        <x:v>LA-003脱敏信息分类清单 2.xlsx</x:v>
      </x:c>
      <x:c r="D86" s="13" t="str">
        <x:v>Sheet1</x:v>
      </x:c>
      <x:c r="E86" s="13" t="n">
        <x:v>4</x:v>
      </x:c>
      <x:c r="F86" s="13" t="str">
        <x:v>微信聊天记录</x:v>
      </x:c>
      <x:c r="G86" s="13" t="str">
        <x:v>袁某与站长刘某聊天记录</x:v>
      </x:c>
      <x:c r="H86" s="13" t="str">
        <x:v>转人工</x:v>
      </x:c>
      <x:c r="I86" s="13" t="str">
        <x:v>袁某证据</x:v>
      </x:c>
      <x:c r="J86" s="13" t="str">
        <x:v>只发送摘录：请假需经站长批准、早会要求、考核规则、薪资方案；原文由人工核验</x:v>
      </x:c>
      <x:c r="K86" s="9" t="str">
        <x:v>待核验</x:v>
      </x:c>
      <x:c r="L86" s="11" t="str">
        <x:v>原分类不直接作为金标准；保持原值</x:v>
      </x:c>
    </x:row>
    <x:row r="87" ht="44" customHeight="1">
      <x:c r="A87" s="13" t="str">
        <x:v>OLD-LA-003-005</x:v>
      </x:c>
      <x:c r="B87" s="13" t="str">
        <x:v>LA-003</x:v>
      </x:c>
      <x:c r="C87" s="13" t="str">
        <x:v>LA-003脱敏信息分类清单 2.xlsx</x:v>
      </x:c>
      <x:c r="D87" s="13" t="str">
        <x:v>Sheet1</x:v>
      </x:c>
      <x:c r="E87" s="13" t="n">
        <x:v>5</x:v>
      </x:c>
      <x:c r="F87" s="13" t="str">
        <x:v>代理商站点交接协议</x:v>
      </x:c>
      <x:c r="G87" s="13" t="str">
        <x:v>某甲公司承接义和庄站点配送业务</x:v>
      </x:c>
      <x:c r="H87" s="13" t="str">
        <x:v>条件保留</x:v>
      </x:c>
      <x:c r="I87" s="13" t="str">
        <x:v>袁某证据</x:v>
      </x:c>
      <x:c r="J87" s="13" t="str">
        <x:v>保留“某甲公司系义和庄站点的代理商及配送业务承接主体”的事实</x:v>
      </x:c>
      <x:c r="K87" s="9" t="str">
        <x:v>待核验</x:v>
      </x:c>
      <x:c r="L87" s="11" t="str">
        <x:v>原分类不直接作为金标准；保持原值</x:v>
      </x:c>
    </x:row>
    <x:row r="88" ht="44" customHeight="1">
      <x:c r="A88" s="13" t="str">
        <x:v>OLD-LA-003-006</x:v>
      </x:c>
      <x:c r="B88" s="13" t="str">
        <x:v>LA-003</x:v>
      </x:c>
      <x:c r="C88" s="13" t="str">
        <x:v>LA-003脱敏信息分类清单 2.xlsx</x:v>
      </x:c>
      <x:c r="D88" s="13" t="str">
        <x:v>Sheet1</x:v>
      </x:c>
      <x:c r="E88" s="13" t="n">
        <x:v>6</x:v>
      </x:c>
      <x:c r="F88" s="13" t="str">
        <x:v>服务合作合同</x:v>
      </x:c>
      <x:c r="G88" s="13" t="str">
        <x:v>某甲公司与某乙公司合同</x:v>
      </x:c>
      <x:c r="H88" s="13" t="str">
        <x:v>条件保留</x:v>
      </x:c>
      <x:c r="I88" s="13" t="str">
        <x:v>某甲公司证据</x:v>
      </x:c>
      <x:c r="J88" s="13" t="str">
        <x:v>保留合同服务期（2023.10.12—2024.10.11）、某乙公司仅代发薪资的概括事实</x:v>
      </x:c>
      <x:c r="K88" s="9" t="str">
        <x:v>待核验</x:v>
      </x:c>
      <x:c r="L88" s="11" t="str">
        <x:v>原分类不直接作为金标准；保持原值</x:v>
      </x:c>
    </x:row>
    <x:row r="89" ht="44" customHeight="1">
      <x:c r="A89" s="13" t="str">
        <x:v>OLD-LA-003-007</x:v>
      </x:c>
      <x:c r="B89" s="13" t="str">
        <x:v>LA-003</x:v>
      </x:c>
      <x:c r="C89" s="13" t="str">
        <x:v>LA-003脱敏信息分类清单 2.xlsx</x:v>
      </x:c>
      <x:c r="D89" s="13" t="str">
        <x:v>Sheet1</x:v>
      </x:c>
      <x:c r="E89" s="13" t="n">
        <x:v>7</x:v>
      </x:c>
      <x:c r="F89" s="13" t="str">
        <x:v>自由职业者挂靠商业协议</x:v>
      </x:c>
      <x:c r="G89" s="13" t="str">
        <x:v>袁某与某乙公司协议</x:v>
      </x:c>
      <x:c r="H89" s="13" t="str">
        <x:v>条件保留</x:v>
      </x:c>
      <x:c r="I89" s="13" t="str">
        <x:v>某甲公司证据</x:v>
      </x:c>
      <x:c r="J89" s="13" t="str">
        <x:v>保留存在该协议及法院认定其不能替代劳动合同的结论</x:v>
      </x:c>
      <x:c r="K89" s="9" t="str">
        <x:v>待核验</x:v>
      </x:c>
      <x:c r="L89" s="11" t="str">
        <x:v>原分类不直接作为金标准；保持原值</x:v>
      </x:c>
    </x:row>
    <x:row r="90" ht="44" customHeight="1">
      <x:c r="A90" s="13" t="str">
        <x:v>OLD-LA-003-008</x:v>
      </x:c>
      <x:c r="B90" s="13" t="str">
        <x:v>LA-003</x:v>
      </x:c>
      <x:c r="C90" s="13" t="str">
        <x:v>LA-003脱敏信息分类清单 2.xlsx</x:v>
      </x:c>
      <x:c r="D90" s="13" t="str">
        <x:v>Sheet1</x:v>
      </x:c>
      <x:c r="E90" s="13" t="n">
        <x:v>8</x:v>
      </x:c>
      <x:c r="F90" s="13" t="str">
        <x:v>服务合作协议</x:v>
      </x:c>
      <x:c r="G90" s="13" t="str">
        <x:v>刘某与某丙公司协议</x:v>
      </x:c>
      <x:c r="H90" s="13" t="str">
        <x:v>条件保留</x:v>
      </x:c>
      <x:c r="I90" s="13" t="str">
        <x:v>某甲公司证据</x:v>
      </x:c>
      <x:c r="J90" s="13" t="str">
        <x:v>保留某甲公司主张刘某系第三方人员的概括事实</x:v>
      </x:c>
      <x:c r="K90" s="9" t="str">
        <x:v>待核验</x:v>
      </x:c>
      <x:c r="L90" s="11" t="str">
        <x:v>原分类不直接作为金标准；保持原值</x:v>
      </x:c>
    </x:row>
    <x:row r="91" ht="44" customHeight="1">
      <x:c r="A91" s="13" t="str">
        <x:v>OLD-LA-003-009</x:v>
      </x:c>
      <x:c r="B91" s="13" t="str">
        <x:v>LA-003</x:v>
      </x:c>
      <x:c r="C91" s="13" t="str">
        <x:v>LA-003脱敏信息分类清单 2.xlsx</x:v>
      </x:c>
      <x:c r="D91" s="13" t="str">
        <x:v>Sheet1</x:v>
      </x:c>
      <x:c r="E91" s="13" t="n">
        <x:v>9</x:v>
      </x:c>
      <x:c r="F91" s="13" t="str">
        <x:v>封号截图、移出群聊截图</x:v>
      </x:c>
      <x:c r="G91" s="13" t="str">
        <x:v>账号封停、被移出工作群</x:v>
      </x:c>
      <x:c r="H91" s="13" t="str">
        <x:v>条件保留</x:v>
      </x:c>
      <x:c r="I91" s="13" t="str">
        <x:v>袁某证据</x:v>
      </x:c>
      <x:c r="J91" s="13" t="str">
        <x:v>保留该证据存在及其证明目的</x:v>
      </x:c>
      <x:c r="K91" s="9" t="str">
        <x:v>待核验</x:v>
      </x:c>
      <x:c r="L91" s="11" t="str">
        <x:v>原分类不直接作为金标准；保持原值</x:v>
      </x:c>
    </x:row>
    <x:row r="92" ht="44" customHeight="1">
      <x:c r="A92" s="13" t="str">
        <x:v>OLD-LA-003-010</x:v>
      </x:c>
      <x:c r="B92" s="13" t="str">
        <x:v>LA-003</x:v>
      </x:c>
      <x:c r="C92" s="13" t="str">
        <x:v>LA-003脱敏信息分类清单 2.xlsx</x:v>
      </x:c>
      <x:c r="D92" s="13" t="str">
        <x:v>Sheet1</x:v>
      </x:c>
      <x:c r="E92" s="13" t="n">
        <x:v>10</x:v>
      </x:c>
      <x:c r="F92" s="13" t="str">
        <x:v>职务</x:v>
      </x:c>
      <x:c r="G92" s="13" t="str">
        <x:v>全职骑手</x:v>
      </x:c>
      <x:c r="H92" s="13" t="str">
        <x:v>必须保留</x:v>
      </x:c>
      <x:c r="I92" s="13" t="str">
        <x:v>袁某主张、法院认定</x:v>
      </x:c>
      <x:c r="J92" s="13" t="str">
        <x:v>保留</x:v>
      </x:c>
      <x:c r="K92" s="9" t="str">
        <x:v>待核验</x:v>
      </x:c>
      <x:c r="L92" s="11" t="str">
        <x:v>原分类不直接作为金标准；保持原值</x:v>
      </x:c>
    </x:row>
    <x:row r="93" ht="44" customHeight="1">
      <x:c r="A93" s="13" t="str">
        <x:v>OLD-LA-003-011</x:v>
      </x:c>
      <x:c r="B93" s="13" t="str">
        <x:v>LA-003</x:v>
      </x:c>
      <x:c r="C93" s="13" t="str">
        <x:v>LA-003脱敏信息分类清单 2.xlsx</x:v>
      </x:c>
      <x:c r="D93" s="13" t="str">
        <x:v>Sheet1</x:v>
      </x:c>
      <x:c r="E93" s="13" t="n">
        <x:v>11</x:v>
      </x:c>
      <x:c r="F93" s="13" t="str">
        <x:v>用工管理事实</x:v>
      </x:c>
      <x:c r="G93" s="13" t="str">
        <x:v>参加早会、排班接单、请假报告</x:v>
      </x:c>
      <x:c r="H93" s="13" t="str">
        <x:v>必须保留</x:v>
      </x:c>
      <x:c r="I93" s="13" t="str">
        <x:v>袁某陈述、聊天记录</x:v>
      </x:c>
      <x:c r="J93" s="13" t="str">
        <x:v>保留，是认定从属性核心事实</x:v>
      </x:c>
      <x:c r="K93" s="9" t="str">
        <x:v>待核验</x:v>
      </x:c>
      <x:c r="L93" s="11" t="str">
        <x:v>原分类不直接作为金标准；保持原值</x:v>
      </x:c>
    </x:row>
    <x:row r="94" ht="44" customHeight="1">
      <x:c r="A94" s="13" t="str">
        <x:v>OLD-LA-003-012</x:v>
      </x:c>
      <x:c r="B94" s="13" t="str">
        <x:v>LA-003</x:v>
      </x:c>
      <x:c r="C94" s="13" t="str">
        <x:v>LA-003脱敏信息分类清单 2.xlsx</x:v>
      </x:c>
      <x:c r="D94" s="13" t="str">
        <x:v>Sheet1</x:v>
      </x:c>
      <x:c r="E94" s="13" t="n">
        <x:v>12</x:v>
      </x:c>
      <x:c r="F94" s="13" t="str">
        <x:v>工资发放事实</x:v>
      </x:c>
      <x:c r="G94" s="13" t="str">
        <x:v>按月规律发放、发薪站点为义和庄站</x:v>
      </x:c>
      <x:c r="H94" s="13" t="str">
        <x:v>必须保留</x:v>
      </x:c>
      <x:c r="I94" s="13" t="str">
        <x:v>收入账单、银行流水</x:v>
      </x:c>
      <x:c r="J94" s="13" t="str">
        <x:v>保留，是认定经济从属性核心事实</x:v>
      </x:c>
      <x:c r="K94" s="9" t="str">
        <x:v>待核验</x:v>
      </x:c>
      <x:c r="L94" s="11" t="str">
        <x:v>原分类不直接作为金标准；保持原值</x:v>
      </x:c>
    </x:row>
    <x:row r="95" ht="44" customHeight="1">
      <x:c r="A95" s="13" t="str">
        <x:v>OLD-LA-003-013</x:v>
      </x:c>
      <x:c r="B95" s="13" t="str">
        <x:v>LA-003</x:v>
      </x:c>
      <x:c r="C95" s="13" t="str">
        <x:v>LA-003脱敏信息分类清单 2.xlsx</x:v>
      </x:c>
      <x:c r="D95" s="13" t="str">
        <x:v>Sheet1</x:v>
      </x:c>
      <x:c r="E95" s="13" t="n">
        <x:v>13</x:v>
      </x:c>
      <x:c r="F95" s="13" t="str">
        <x:v>解除事实</x:v>
      </x:c>
      <x:c r="G95" s="13" t="str">
        <x:v>账号封停、被移出工作群</x:v>
      </x:c>
      <x:c r="H95" s="13" t="str">
        <x:v>必须保留</x:v>
      </x:c>
      <x:c r="I95" s="13" t="str">
        <x:v>袁某主张、法院认定</x:v>
      </x:c>
      <x:c r="J95" s="13" t="str">
        <x:v>保留，是解除事实认定的核心事实</x:v>
      </x:c>
      <x:c r="K95" s="9" t="str">
        <x:v>待核验</x:v>
      </x:c>
      <x:c r="L95" s="11" t="str">
        <x:v>原分类不直接作为金标准；保持原值</x:v>
      </x:c>
    </x:row>
    <x:row r="96" ht="44" customHeight="1">
      <x:c r="A96" s="13" t="str">
        <x:v>OLD-LA-003-014</x:v>
      </x:c>
      <x:c r="B96" s="13" t="str">
        <x:v>LA-003</x:v>
      </x:c>
      <x:c r="C96" s="13" t="str">
        <x:v>LA-003脱敏信息分类清单 2.xlsx</x:v>
      </x:c>
      <x:c r="D96" s="13" t="str">
        <x:v>Sheet1</x:v>
      </x:c>
      <x:c r="E96" s="13" t="n">
        <x:v>14</x:v>
      </x:c>
      <x:c r="F96" s="13" t="str">
        <x:v>仲裁裁决双倍工资差额</x:v>
      </x:c>
      <x:c r="G96" s="13" t="str">
        <x:v>19387.81元</x:v>
      </x:c>
      <x:c r="H96" s="13" t="str">
        <x:v>必须保留</x:v>
      </x:c>
      <x:c r="I96" s="13" t="str">
        <x:v>仲裁裁决、一审判决</x:v>
      </x:c>
      <x:c r="J96" s="13" t="str">
        <x:v>保留</x:v>
      </x:c>
      <x:c r="K96" s="9" t="str">
        <x:v>待核验</x:v>
      </x:c>
      <x:c r="L96" s="11" t="str">
        <x:v>原分类不直接作为金标准；保持原值</x:v>
      </x:c>
    </x:row>
    <x:row r="97" ht="44" customHeight="1">
      <x:c r="A97" s="13" t="str">
        <x:v>OLD-LA-003-015</x:v>
      </x:c>
      <x:c r="B97" s="13" t="str">
        <x:v>LA-003</x:v>
      </x:c>
      <x:c r="C97" s="13" t="str">
        <x:v>LA-003脱敏信息分类清单 2.xlsx</x:v>
      </x:c>
      <x:c r="D97" s="13" t="str">
        <x:v>Sheet1</x:v>
      </x:c>
      <x:c r="E97" s="13" t="n">
        <x:v>15</x:v>
      </x:c>
      <x:c r="F97" s="13" t="str">
        <x:v>一审判决经济补偿金</x:v>
      </x:c>
      <x:c r="G97" s="13" t="str">
        <x:v>7355.7元</x:v>
      </x:c>
      <x:c r="H97" s="13" t="str">
        <x:v>必须保留</x:v>
      </x:c>
      <x:c r="I97" s="13" t="str">
        <x:v>一审判决</x:v>
      </x:c>
      <x:c r="J97" s="13" t="str">
        <x:v>保留</x:v>
      </x:c>
      <x:c r="K97" s="9" t="str">
        <x:v>待核验</x:v>
      </x:c>
      <x:c r="L97" s="11" t="str">
        <x:v>原分类不直接作为金标准；保持原值</x:v>
      </x:c>
    </x:row>
    <x:row r="98" ht="44" customHeight="1">
      <x:c r="A98" s="13" t="str">
        <x:v>OLD-LA-003-016</x:v>
      </x:c>
      <x:c r="B98" s="13" t="str">
        <x:v>LA-003</x:v>
      </x:c>
      <x:c r="C98" s="13" t="str">
        <x:v>LA-003脱敏信息分类清单 2.xlsx</x:v>
      </x:c>
      <x:c r="D98" s="13" t="str">
        <x:v>Sheet1</x:v>
      </x:c>
      <x:c r="E98" s="13" t="n">
        <x:v>16</x:v>
      </x:c>
      <x:c r="F98" s="13" t="str">
        <x:v>仲裁裁决工资差额</x:v>
      </x:c>
      <x:c r="G98" s="13" t="str">
        <x:v>7969.23元</x:v>
      </x:c>
      <x:c r="H98" s="13" t="str">
        <x:v>条件保留</x:v>
      </x:c>
      <x:c r="I98" s="13" t="str">
        <x:v>仲裁裁决</x:v>
      </x:c>
      <x:c r="J98" s="13" t="str">
        <x:v>保留</x:v>
      </x:c>
      <x:c r="K98" s="9" t="str">
        <x:v>待核验</x:v>
      </x:c>
      <x:c r="L98" s="11" t="str">
        <x:v>原分类不直接作为金标准；保持原值</x:v>
      </x:c>
    </x:row>
    <x:row r="99" ht="44" customHeight="1">
      <x:c r="A99" s="13" t="str">
        <x:v>OLD-LA-003-017</x:v>
      </x:c>
      <x:c r="B99" s="13" t="str">
        <x:v>LA-003</x:v>
      </x:c>
      <x:c r="C99" s="13" t="str">
        <x:v>LA-003脱敏信息分类清单 2.xlsx</x:v>
      </x:c>
      <x:c r="D99" s="13" t="str">
        <x:v>Sheet1</x:v>
      </x:c>
      <x:c r="E99" s="13" t="n">
        <x:v>17</x:v>
      </x:c>
      <x:c r="F99" s="13" t="str">
        <x:v>一审判决工资差额</x:v>
      </x:c>
      <x:c r="G99" s="13" t="str">
        <x:v>1596.38元</x:v>
      </x:c>
      <x:c r="H99" s="13" t="str">
        <x:v>必须保留</x:v>
      </x:c>
      <x:c r="I99" s="13" t="str">
        <x:v>一审判决</x:v>
      </x:c>
      <x:c r="J99" s="13" t="str">
        <x:v>保留</x:v>
      </x:c>
      <x:c r="K99" s="9" t="str">
        <x:v>待核验</x:v>
      </x:c>
      <x:c r="L99" s="11" t="str">
        <x:v>原分类不直接作为金标准；保持原值</x:v>
      </x:c>
    </x:row>
    <x:row r="100" ht="44" customHeight="1">
      <x:c r="A100" s="13" t="str">
        <x:v>OLD-LA-003-018</x:v>
      </x:c>
      <x:c r="B100" s="13" t="str">
        <x:v>LA-003</x:v>
      </x:c>
      <x:c r="C100" s="13" t="str">
        <x:v>LA-003脱敏信息分类清单 2.xlsx</x:v>
      </x:c>
      <x:c r="D100" s="13" t="str">
        <x:v>Sheet1</x:v>
      </x:c>
      <x:c r="E100" s="13" t="n">
        <x:v>18</x:v>
      </x:c>
      <x:c r="F100" s="13" t="str">
        <x:v>二审案件受理费</x:v>
      </x:c>
      <x:c r="G100" s="13" t="str">
        <x:v>10元</x:v>
      </x:c>
      <x:c r="H100" s="13" t="str">
        <x:v>默认删除</x:v>
      </x:c>
      <x:c r="I100" s="13" t="str">
        <x:v>二审判决</x:v>
      </x:c>
      <x:c r="J100" s="13" t="str">
        <x:v>删除</x:v>
      </x:c>
      <x:c r="K100" s="9" t="str">
        <x:v>待核验</x:v>
      </x:c>
      <x:c r="L100" s="11" t="str">
        <x:v>原分类不直接作为金标准；保持原值</x:v>
      </x:c>
    </x:row>
    <x:row r="101" ht="44" customHeight="1">
      <x:c r="A101" s="13" t="str">
        <x:v>OLD-LA-003-019</x:v>
      </x:c>
      <x:c r="B101" s="13" t="str">
        <x:v>LA-003</x:v>
      </x:c>
      <x:c r="C101" s="13" t="str">
        <x:v>LA-003脱敏信息分类清单 2.xlsx</x:v>
      </x:c>
      <x:c r="D101" s="13" t="str">
        <x:v>Sheet1</x:v>
      </x:c>
      <x:c r="E101" s="13" t="n">
        <x:v>19</x:v>
      </x:c>
      <x:c r="F101" s="13" t="str">
        <x:v>上诉人公司名称</x:v>
      </x:c>
      <x:c r="G101" s="13" t="str">
        <x:v>某甲公司</x:v>
      </x:c>
      <x:c r="H101" s="13" t="str">
        <x:v>假名化保留</x:v>
      </x:c>
      <x:c r="I101" s="13" t="str">
        <x:v>全文多处</x:v>
      </x:c>
      <x:c r="J101" s="13" t="str">
        <x:v>保留 某甲公司</x:v>
      </x:c>
      <x:c r="K101" s="9" t="str">
        <x:v>待核验</x:v>
      </x:c>
      <x:c r="L101" s="11" t="str">
        <x:v>原分类不直接作为金标准；保持原值</x:v>
      </x:c>
    </x:row>
    <x:row r="102" ht="44" customHeight="1">
      <x:c r="A102" s="13" t="str">
        <x:v>OLD-LA-003-020</x:v>
      </x:c>
      <x:c r="B102" s="13" t="str">
        <x:v>LA-003</x:v>
      </x:c>
      <x:c r="C102" s="13" t="str">
        <x:v>LA-003脱敏信息分类清单 2.xlsx</x:v>
      </x:c>
      <x:c r="D102" s="13" t="str">
        <x:v>Sheet1</x:v>
      </x:c>
      <x:c r="E102" s="13" t="n">
        <x:v>20</x:v>
      </x:c>
      <x:c r="F102" s="13" t="str">
        <x:v>被上诉人公司名称</x:v>
      </x:c>
      <x:c r="G102" s="13" t="str">
        <x:v>袁某</x:v>
      </x:c>
      <x:c r="H102" s="13" t="str">
        <x:v>默认删除</x:v>
      </x:c>
      <x:c r="I102" s="13" t="str">
        <x:v>全文多处</x:v>
      </x:c>
      <x:c r="J102" s="13" t="str">
        <x:v>保留袁某</x:v>
      </x:c>
      <x:c r="K102" s="9" t="str">
        <x:v>待核验</x:v>
      </x:c>
      <x:c r="L102" s="11" t="str">
        <x:v>原分类不直接作为金标准；保持原值</x:v>
      </x:c>
    </x:row>
    <x:row r="103" ht="44" customHeight="1">
      <x:c r="A103" s="13" t="str">
        <x:v>OLD-LA-003-021</x:v>
      </x:c>
      <x:c r="B103" s="13" t="str">
        <x:v>LA-003</x:v>
      </x:c>
      <x:c r="C103" s="13" t="str">
        <x:v>LA-003脱敏信息分类清单 2.xlsx</x:v>
      </x:c>
      <x:c r="D103" s="13" t="str">
        <x:v>Sheet1</x:v>
      </x:c>
      <x:c r="E103" s="13" t="n">
        <x:v>21</x:v>
      </x:c>
      <x:c r="F103" s="13" t="str">
        <x:v>关联公司名称</x:v>
      </x:c>
      <x:c r="G103" s="13" t="str">
        <x:v>某乙公司、某丙公司、某丁公司、某戊公司</x:v>
      </x:c>
      <x:c r="H103" s="13" t="str">
        <x:v>假名化保留</x:v>
      </x:c>
      <x:c r="I103" s="13" t="str">
        <x:v>证据部分、一审查明事实</x:v>
      </x:c>
      <x:c r="J103" s="13" t="str">
        <x:v>保留原文代称</x:v>
      </x:c>
      <x:c r="K103" s="9" t="str">
        <x:v>待核验</x:v>
      </x:c>
      <x:c r="L103" s="11" t="str">
        <x:v>原分类不直接作为金标准；保持原值</x:v>
      </x:c>
    </x:row>
    <x:row r="104" ht="44" customHeight="1">
      <x:c r="A104" s="13" t="str">
        <x:v>OLD-LA-003-022</x:v>
      </x:c>
      <x:c r="B104" s="13" t="str">
        <x:v>LA-003</x:v>
      </x:c>
      <x:c r="C104" s="13" t="str">
        <x:v>LA-003脱敏信息分类清单 2.xlsx</x:v>
      </x:c>
      <x:c r="D104" s="13" t="str">
        <x:v>Sheet1</x:v>
      </x:c>
      <x:c r="E104" s="13" t="n">
        <x:v>22</x:v>
      </x:c>
      <x:c r="F104" s="13" t="str">
        <x:v>审判长姓名</x:v>
      </x:c>
      <x:c r="G104" s="13" t="str">
        <x:v>徐宁</x:v>
      </x:c>
      <x:c r="H104" s="13" t="str">
        <x:v> 默认删除</x:v>
      </x:c>
      <x:c r="I104" s="13" t="str">
        <x:v>文书末尾</x:v>
      </x:c>
      <x:c r="J104" s="13" t="str">
        <x:v>删除</x:v>
      </x:c>
      <x:c r="K104" s="9" t="str">
        <x:v>待核验</x:v>
      </x:c>
      <x:c r="L104" s="11" t="str">
        <x:v>原分类不直接作为金标准；保持原值</x:v>
      </x:c>
    </x:row>
    <x:row r="105" ht="44" customHeight="1">
      <x:c r="A105" s="13" t="str">
        <x:v>OLD-LA-003-023</x:v>
      </x:c>
      <x:c r="B105" s="13" t="str">
        <x:v>LA-003</x:v>
      </x:c>
      <x:c r="C105" s="13" t="str">
        <x:v>LA-003脱敏信息分类清单 2.xlsx</x:v>
      </x:c>
      <x:c r="D105" s="13" t="str">
        <x:v>Sheet1</x:v>
      </x:c>
      <x:c r="E105" s="13" t="n">
        <x:v>23</x:v>
      </x:c>
      <x:c r="F105" s="13" t="str">
        <x:v>审判员姓名</x:v>
      </x:c>
      <x:c r="G105" s="13" t="str">
        <x:v>张玉贤、卜晓飞</x:v>
      </x:c>
      <x:c r="H105" s="13" t="str">
        <x:v>默认删除</x:v>
      </x:c>
      <x:c r="I105" s="13" t="str">
        <x:v>文书末尾</x:v>
      </x:c>
      <x:c r="J105" s="13" t="str">
        <x:v>删除</x:v>
      </x:c>
      <x:c r="K105" s="9" t="str">
        <x:v>待核验</x:v>
      </x:c>
      <x:c r="L105" s="11" t="str">
        <x:v>原分类不直接作为金标准；保持原值</x:v>
      </x:c>
    </x:row>
    <x:row r="106" ht="44" customHeight="1">
      <x:c r="A106" s="13" t="str">
        <x:v>OLD-LA-003-024</x:v>
      </x:c>
      <x:c r="B106" s="13" t="str">
        <x:v>LA-003</x:v>
      </x:c>
      <x:c r="C106" s="13" t="str">
        <x:v>LA-003脱敏信息分类清单 2.xlsx</x:v>
      </x:c>
      <x:c r="D106" s="13" t="str">
        <x:v>Sheet1</x:v>
      </x:c>
      <x:c r="E106" s="13" t="n">
        <x:v>24</x:v>
      </x:c>
      <x:c r="F106" s="13" t="str">
        <x:v>法官助理姓名</x:v>
      </x:c>
      <x:c r="G106" s="13" t="str">
        <x:v>文玉婷</x:v>
      </x:c>
      <x:c r="H106" s="13" t="str">
        <x:v>禁止外发</x:v>
      </x:c>
      <x:c r="I106" s="13" t="str">
        <x:v>文书末尾</x:v>
      </x:c>
      <x:c r="J106" s="13" t="str">
        <x:v>删除</x:v>
      </x:c>
      <x:c r="K106" s="9" t="str">
        <x:v>待核验</x:v>
      </x:c>
      <x:c r="L106" s="11" t="str">
        <x:v>原分类不直接作为金标准；保持原值</x:v>
      </x:c>
    </x:row>
    <x:row r="107" ht="44" customHeight="1">
      <x:c r="A107" s="13" t="str">
        <x:v>OLD-LA-003-025</x:v>
      </x:c>
      <x:c r="B107" s="13" t="str">
        <x:v>LA-003</x:v>
      </x:c>
      <x:c r="C107" s="13" t="str">
        <x:v>LA-003脱敏信息分类清单 2.xlsx</x:v>
      </x:c>
      <x:c r="D107" s="13" t="str">
        <x:v>Sheet1</x:v>
      </x:c>
      <x:c r="E107" s="13" t="n">
        <x:v>25</x:v>
      </x:c>
      <x:c r="F107" s="13" t="str">
        <x:v>书记员姓名</x:v>
      </x:c>
      <x:c r="G107" s="13" t="str">
        <x:v>蒋畅</x:v>
      </x:c>
      <x:c r="H107" s="13" t="str">
        <x:v>禁止外发</x:v>
      </x:c>
      <x:c r="I107" s="13" t="str">
        <x:v>文书末尾</x:v>
      </x:c>
      <x:c r="J107" s="13" t="str">
        <x:v>删除</x:v>
      </x:c>
      <x:c r="K107" s="9" t="str">
        <x:v>待核验</x:v>
      </x:c>
      <x:c r="L107" s="11" t="str">
        <x:v>原分类不直接作为金标准；保持原值</x:v>
      </x:c>
    </x:row>
    <x:row r="108" ht="44" customHeight="1">
      <x:c r="A108" s="13" t="str">
        <x:v>OLD-LA-004-002</x:v>
      </x:c>
      <x:c r="B108" s="13" t="str">
        <x:v>LA-004</x:v>
      </x:c>
      <x:c r="C108" s="13" t="str">
        <x:v>LA-004脱敏信息分类清单.xlsx</x:v>
      </x:c>
      <x:c r="D108" s="13" t="str">
        <x:v>Sheet1</x:v>
      </x:c>
      <x:c r="E108" s="13" t="n">
        <x:v>2</x:v>
      </x:c>
      <x:c r="F108" s="13" t="str">
        <x:v>银行工资流水</x:v>
      </x:c>
      <x:c r="G108" s="13" t="str">
        <x:v>某丙公司、某乙公司、某甲公司向陈某转账记录</x:v>
      </x:c>
      <x:c r="H108" s="13" t="str">
        <x:v>转人工</x:v>
      </x:c>
      <x:c r="I108" s="13" t="str">
        <x:v>一审证据</x:v>
      </x:c>
      <x:c r="J108" s="13" t="str">
        <x:v>外部模型只接收付款主体、期间和用途摘要，原始流水转人工核验</x:v>
      </x:c>
      <x:c r="K108" s="9" t="str">
        <x:v>待核验</x:v>
      </x:c>
      <x:c r="L108" s="11" t="str">
        <x:v>原分类不直接作为金标准；保持原值</x:v>
      </x:c>
    </x:row>
    <x:row r="109" ht="44" customHeight="1">
      <x:c r="A109" s="13" t="str">
        <x:v>OLD-LA-004-003</x:v>
      </x:c>
      <x:c r="B109" s="13" t="str">
        <x:v>LA-004</x:v>
      </x:c>
      <x:c r="C109" s="13" t="str">
        <x:v>LA-004脱敏信息分类清单.xlsx</x:v>
      </x:c>
      <x:c r="D109" s="13" t="str">
        <x:v>Sheet1</x:v>
      </x:c>
      <x:c r="E109" s="13" t="n">
        <x:v>3</x:v>
      </x:c>
      <x:c r="F109" s="13" t="str">
        <x:v>录音证据</x:v>
      </x:c>
      <x:c r="G109" s="13" t="str">
        <x:v>某小学门卫及王某甲的录音</x:v>
      </x:c>
      <x:c r="H109" s="13" t="str">
        <x:v>转人工</x:v>
      </x:c>
      <x:c r="I109" s="13" t="str">
        <x:v>陈某证据</x:v>
      </x:c>
      <x:c r="J109" s="13" t="str">
        <x:v>不向外部模型发送；摘要仅提及存在该证据及证明目的</x:v>
      </x:c>
      <x:c r="K109" s="9" t="str">
        <x:v>待核验</x:v>
      </x:c>
      <x:c r="L109" s="11" t="str">
        <x:v>原分类不直接作为金标准；保持原值</x:v>
      </x:c>
    </x:row>
    <x:row r="110" ht="44" customHeight="1">
      <x:c r="A110" s="13" t="str">
        <x:v>OLD-LA-004-004</x:v>
      </x:c>
      <x:c r="B110" s="13" t="str">
        <x:v>LA-004</x:v>
      </x:c>
      <x:c r="C110" s="13" t="str">
        <x:v>LA-004脱敏信息分类清单.xlsx</x:v>
      </x:c>
      <x:c r="D110" s="13" t="str">
        <x:v>Sheet1</x:v>
      </x:c>
      <x:c r="E110" s="13" t="n">
        <x:v>4</x:v>
      </x:c>
      <x:c r="F110" s="13" t="str">
        <x:v>证人证言</x:v>
      </x:c>
      <x:c r="G110" s="13" t="str">
        <x:v>某甲的证人证言</x:v>
      </x:c>
      <x:c r="H110" s="13" t="str">
        <x:v>条件保留</x:v>
      </x:c>
      <x:c r="I110" s="13" t="str">
        <x:v>二审证据</x:v>
      </x:c>
      <x:c r="J110" s="13" t="str">
        <x:v>保留存在事实及法院认证结论：某甲与陈某系夫妻，存在利害关系，无其他证据佐证，不予采信</x:v>
      </x:c>
      <x:c r="K110" s="9" t="str">
        <x:v>待核验</x:v>
      </x:c>
      <x:c r="L110" s="11" t="str">
        <x:v>原分类不直接作为金标准；保持原值</x:v>
      </x:c>
    </x:row>
    <x:row r="111" ht="44" customHeight="1">
      <x:c r="A111" s="13" t="str">
        <x:v>OLD-LA-004-005</x:v>
      </x:c>
      <x:c r="B111" s="13" t="str">
        <x:v>LA-004</x:v>
      </x:c>
      <x:c r="C111" s="13" t="str">
        <x:v>LA-004脱敏信息分类清单.xlsx</x:v>
      </x:c>
      <x:c r="D111" s="13" t="str">
        <x:v>Sheet1</x:v>
      </x:c>
      <x:c r="E111" s="13" t="n">
        <x:v>5</x:v>
      </x:c>
      <x:c r="F111" s="13" t="str">
        <x:v>调查令回函</x:v>
      </x:c>
      <x:c r="G111" s="13" t="str">
        <x:v>某小学书面回复“无供应商相关材料”</x:v>
      </x:c>
      <x:c r="H111" s="13" t="str">
        <x:v>条件保留</x:v>
      </x:c>
      <x:c r="I111" s="13" t="str">
        <x:v>一审查明事实</x:v>
      </x:c>
      <x:c r="J111" s="13" t="str">
        <x:v>保留回复内容及证明意义</x:v>
      </x:c>
      <x:c r="K111" s="9" t="str">
        <x:v>待核验</x:v>
      </x:c>
      <x:c r="L111" s="11" t="str">
        <x:v>原分类不直接作为金标准；保持原值</x:v>
      </x:c>
    </x:row>
    <x:row r="112" ht="44" customHeight="1">
      <x:c r="A112" s="13" t="str">
        <x:v>OLD-LA-004-006</x:v>
      </x:c>
      <x:c r="B112" s="13" t="str">
        <x:v>LA-004</x:v>
      </x:c>
      <x:c r="C112" s="13" t="str">
        <x:v>LA-004脱敏信息分类清单.xlsx</x:v>
      </x:c>
      <x:c r="D112" s="13" t="str">
        <x:v>Sheet1</x:v>
      </x:c>
      <x:c r="E112" s="13" t="n">
        <x:v>6</x:v>
      </x:c>
      <x:c r="F112" s="13" t="str">
        <x:v>某甲的系列材料</x:v>
      </x:c>
      <x:c r="G112" s="13" t="str">
        <x:v>劳动合同、社保记录、终止劳动合同协议书等</x:v>
      </x:c>
      <x:c r="H112" s="13" t="str">
        <x:v>默认删除</x:v>
      </x:c>
      <x:c r="I112" s="13" t="str">
        <x:v>二审证据</x:v>
      </x:c>
      <x:c r="J112" s="13" t="str">
        <x:v>删除</x:v>
      </x:c>
      <x:c r="K112" s="9" t="str">
        <x:v>待核验</x:v>
      </x:c>
      <x:c r="L112" s="11" t="str">
        <x:v>原分类不直接作为金标准；保持原值</x:v>
      </x:c>
    </x:row>
    <x:row r="113" ht="44" customHeight="1">
      <x:c r="A113" s="13" t="str">
        <x:v>OLD-LA-004-007</x:v>
      </x:c>
      <x:c r="B113" s="13" t="str">
        <x:v>LA-004</x:v>
      </x:c>
      <x:c r="C113" s="13" t="str">
        <x:v>LA-004脱敏信息分类清单.xlsx</x:v>
      </x:c>
      <x:c r="D113" s="13" t="str">
        <x:v>Sheet1</x:v>
      </x:c>
      <x:c r="E113" s="13" t="n">
        <x:v>7</x:v>
      </x:c>
      <x:c r="F113" s="13" t="str">
        <x:v>工作内容</x:v>
      </x:c>
      <x:c r="G113" s="13" t="str">
        <x:v>在某小学食堂工作</x:v>
      </x:c>
      <x:c r="H113" s="13" t="str">
        <x:v>条件保留</x:v>
      </x:c>
      <x:c r="I113" s="13" t="str">
        <x:v>陈某主张</x:v>
      </x:c>
      <x:c r="J113" s="13" t="str">
        <x:v>保留</x:v>
      </x:c>
      <x:c r="K113" s="9" t="str">
        <x:v>待核验</x:v>
      </x:c>
      <x:c r="L113" s="11" t="str">
        <x:v>原分类不直接作为金标准；保持原值</x:v>
      </x:c>
    </x:row>
    <x:row r="114" ht="44" customHeight="1">
      <x:c r="A114" s="13" t="str">
        <x:v>OLD-LA-004-008</x:v>
      </x:c>
      <x:c r="B114" s="13" t="str">
        <x:v>LA-004</x:v>
      </x:c>
      <x:c r="C114" s="13" t="str">
        <x:v>LA-004脱敏信息分类清单.xlsx</x:v>
      </x:c>
      <x:c r="D114" s="13" t="str">
        <x:v>Sheet1</x:v>
      </x:c>
      <x:c r="E114" s="13" t="n">
        <x:v>8</x:v>
      </x:c>
      <x:c r="F114" s="13" t="str">
        <x:v>工资发放主体变更事实</x:v>
      </x:c>
      <x:c r="G114" s="13" t="str">
        <x:v>在某丙公司、某乙公司、某甲公司</x:v>
      </x:c>
      <x:c r="H114" s="13" t="str">
        <x:v>必须保留</x:v>
      </x:c>
      <x:c r="I114" s="13" t="str">
        <x:v>一审查明事实</x:v>
      </x:c>
      <x:c r="J114" s="13" t="str">
        <x:v>保留</x:v>
      </x:c>
      <x:c r="K114" s="9" t="str">
        <x:v>待核验</x:v>
      </x:c>
      <x:c r="L114" s="11" t="str">
        <x:v>原分类不直接作为金标准；保持原值</x:v>
      </x:c>
    </x:row>
    <x:row r="115" ht="44" customHeight="1">
      <x:c r="A115" s="13" t="str">
        <x:v>OLD-LA-004-009</x:v>
      </x:c>
      <x:c r="B115" s="13" t="str">
        <x:v>LA-004</x:v>
      </x:c>
      <x:c r="C115" s="13" t="str">
        <x:v>LA-004脱敏信息分类清单.xlsx</x:v>
      </x:c>
      <x:c r="D115" s="13" t="str">
        <x:v>Sheet1</x:v>
      </x:c>
      <x:c r="E115" s="13" t="n">
        <x:v>9</x:v>
      </x:c>
      <x:c r="F115" s="13" t="str">
        <x:v>某甲公司与某乙公司关系</x:v>
      </x:c>
      <x:c r="G115" s="13" t="str">
        <x:v>某甲公司系某乙公司股东</x:v>
      </x:c>
      <x:c r="H115" s="13" t="str">
        <x:v>条件保留</x:v>
      </x:c>
      <x:c r="I115" s="13" t="str">
        <x:v>一审查明事实</x:v>
      </x:c>
      <x:c r="J115" s="13" t="str">
        <x:v>保留</x:v>
      </x:c>
      <x:c r="K115" s="9" t="str">
        <x:v>待核验</x:v>
      </x:c>
      <x:c r="L115" s="11" t="str">
        <x:v>原分类不直接作为金标准；保持原值</x:v>
      </x:c>
    </x:row>
    <x:row r="116" ht="44" customHeight="1">
      <x:c r="A116" s="13" t="str">
        <x:v>OLD-LA-004-010</x:v>
      </x:c>
      <x:c r="B116" s="13" t="str">
        <x:v>LA-004</x:v>
      </x:c>
      <x:c r="C116" s="13" t="str">
        <x:v>LA-004脱敏信息分类清单.xlsx</x:v>
      </x:c>
      <x:c r="D116" s="13" t="str">
        <x:v>Sheet1</x:v>
      </x:c>
      <x:c r="E116" s="13" t="n">
        <x:v>10</x:v>
      </x:c>
      <x:c r="F116" s="13" t="str">
        <x:v>用工管理主张</x:v>
      </x:c>
      <x:c r="G116" s="13" t="str">
        <x:v>受某甲公司人事科科长杨某调动管理</x:v>
      </x:c>
      <x:c r="H116" s="13" t="str">
        <x:v>条件保留</x:v>
      </x:c>
      <x:c r="I116" s="13" t="str">
        <x:v>陈某上诉理由</x:v>
      </x:c>
      <x:c r="J116" s="13" t="str">
        <x:v>保留</x:v>
      </x:c>
      <x:c r="K116" s="9" t="str">
        <x:v>待核验</x:v>
      </x:c>
      <x:c r="L116" s="11" t="str">
        <x:v>原分类不直接作为金标准；保持原值</x:v>
      </x:c>
    </x:row>
    <x:row r="117" ht="44" customHeight="1">
      <x:c r="A117" s="13" t="str">
        <x:v>OLD-LA-004-011</x:v>
      </x:c>
      <x:c r="B117" s="13" t="str">
        <x:v>LA-004</x:v>
      </x:c>
      <x:c r="C117" s="13" t="str">
        <x:v>LA-004脱敏信息分类清单.xlsx</x:v>
      </x:c>
      <x:c r="D117" s="13" t="str">
        <x:v>Sheet1</x:v>
      </x:c>
      <x:c r="E117" s="13" t="n">
        <x:v>11</x:v>
      </x:c>
      <x:c r="F117" s="13" t="str">
        <x:v>某甲公司自认事实</x:v>
      </x:c>
      <x:c r="G117" s="13" t="str">
        <x:v>确认2018年9月1日起与陈某存在劳动关系</x:v>
      </x:c>
      <x:c r="H117" s="13" t="str">
        <x:v>必须保留</x:v>
      </x:c>
      <x:c r="I117" s="13" t="str">
        <x:v>一审法院认定</x:v>
      </x:c>
      <x:c r="J117" s="13" t="str">
        <x:v>保留</x:v>
      </x:c>
      <x:c r="K117" s="9" t="str">
        <x:v>待核验</x:v>
      </x:c>
      <x:c r="L117" s="11" t="str">
        <x:v>原分类不直接作为金标准；保持原值</x:v>
      </x:c>
    </x:row>
    <x:row r="118" ht="44" customHeight="1">
      <x:c r="A118" s="13" t="str">
        <x:v>OLD-LA-004-012</x:v>
      </x:c>
      <x:c r="B118" s="13" t="str">
        <x:v>LA-004</x:v>
      </x:c>
      <x:c r="C118" s="13" t="str">
        <x:v>LA-004脱敏信息分类清单.xlsx</x:v>
      </x:c>
      <x:c r="D118" s="13" t="str">
        <x:v>Sheet1</x:v>
      </x:c>
      <x:c r="E118" s="13" t="n">
        <x:v>12</x:v>
      </x:c>
      <x:c r="F118" s="13" t="str">
        <x:v>某甲公司单方面变更协议</x:v>
      </x:c>
      <x:c r="G118" s="13" t="str">
        <x:v>2018年9月将劳动合同变更为劳务协议</x:v>
      </x:c>
      <x:c r="H118" s="13" t="str">
        <x:v>条件保留</x:v>
      </x:c>
      <x:c r="I118" s="13" t="str">
        <x:v>陈某上诉理由</x:v>
      </x:c>
      <x:c r="J118" s="13" t="str">
        <x:v>保留</x:v>
      </x:c>
      <x:c r="K118" s="9" t="str">
        <x:v>待核验</x:v>
      </x:c>
      <x:c r="L118" s="11" t="str">
        <x:v>原分类不直接作为金标准；保持原值</x:v>
      </x:c>
    </x:row>
    <x:row r="119" ht="44" customHeight="1">
      <x:c r="A119" s="13" t="str">
        <x:v>OLD-LA-004-013</x:v>
      </x:c>
      <x:c r="B119" s="13" t="str">
        <x:v>LA-004</x:v>
      </x:c>
      <x:c r="C119" s="13" t="str">
        <x:v>LA-004脱敏信息分类清单.xlsx</x:v>
      </x:c>
      <x:c r="D119" s="13" t="str">
        <x:v>Sheet1</x:v>
      </x:c>
      <x:c r="E119" s="13" t="n">
        <x:v>13</x:v>
      </x:c>
      <x:c r="F119" s="13" t="str">
        <x:v>仲裁请求范围</x:v>
      </x:c>
      <x:c r="G119" s="13" t="str">
        <x:v>仅请求确认2012年8月1日至2018年10月14日劳动关系</x:v>
      </x:c>
      <x:c r="H119" s="13" t="str">
        <x:v>必须保留</x:v>
      </x:c>
      <x:c r="I119" s="13" t="str">
        <x:v>一审查明事实</x:v>
      </x:c>
      <x:c r="J119" s="13" t="str">
        <x:v>保留</x:v>
      </x:c>
      <x:c r="K119" s="9" t="str">
        <x:v>待核验</x:v>
      </x:c>
      <x:c r="L119" s="11" t="str">
        <x:v>原分类不直接作为金标准；保持原值</x:v>
      </x:c>
    </x:row>
    <x:row r="120" ht="44" customHeight="1">
      <x:c r="A120" s="13" t="str">
        <x:v>OLD-LA-004-014</x:v>
      </x:c>
      <x:c r="B120" s="13" t="str">
        <x:v>LA-004</x:v>
      </x:c>
      <x:c r="C120" s="13" t="str">
        <x:v>LA-004脱敏信息分类清单.xlsx</x:v>
      </x:c>
      <x:c r="D120" s="13" t="str">
        <x:v>Sheet1</x:v>
      </x:c>
      <x:c r="E120" s="13" t="n">
        <x:v>14</x:v>
      </x:c>
      <x:c r="F120" s="13" t="str">
        <x:v>经济补偿金</x:v>
      </x:c>
      <x:c r="G120" s="13" t="str">
        <x:v>232427元</x:v>
      </x:c>
      <x:c r="H120" s="13" t="str">
        <x:v>必须保留</x:v>
      </x:c>
      <x:c r="I120" s="13" t="str">
        <x:v>上诉请求</x:v>
      </x:c>
      <x:c r="J120" s="13" t="str">
        <x:v>保留精确金额并标记为“陈某主张”</x:v>
      </x:c>
      <x:c r="K120" s="9" t="str">
        <x:v>待核验</x:v>
      </x:c>
      <x:c r="L120" s="11" t="str">
        <x:v>原分类不直接作为金标准；保持原值</x:v>
      </x:c>
    </x:row>
    <x:row r="121" ht="44" customHeight="1">
      <x:c r="A121" s="13" t="str">
        <x:v>OLD-LA-004-015</x:v>
      </x:c>
      <x:c r="B121" s="13" t="str">
        <x:v>LA-004</x:v>
      </x:c>
      <x:c r="C121" s="13" t="str">
        <x:v>LA-004脱敏信息分类清单.xlsx</x:v>
      </x:c>
      <x:c r="D121" s="13" t="str">
        <x:v>Sheet1</x:v>
      </x:c>
      <x:c r="E121" s="13" t="n">
        <x:v>15</x:v>
      </x:c>
      <x:c r="F121" s="13" t="str">
        <x:v>一审案件受理费</x:v>
      </x:c>
      <x:c r="G121" s="13" t="str">
        <x:v>10元</x:v>
      </x:c>
      <x:c r="H121" s="13" t="str">
        <x:v>默认删除</x:v>
      </x:c>
      <x:c r="I121" s="13" t="str">
        <x:v>一审判决</x:v>
      </x:c>
      <x:c r="J121" s="13" t="str">
        <x:v>删除</x:v>
      </x:c>
      <x:c r="K121" s="9" t="str">
        <x:v>待核验</x:v>
      </x:c>
      <x:c r="L121" s="11" t="str">
        <x:v>原分类不直接作为金标准；保持原值</x:v>
      </x:c>
    </x:row>
    <x:row r="122" ht="44" customHeight="1">
      <x:c r="A122" s="13" t="str">
        <x:v>OLD-LA-004-016</x:v>
      </x:c>
      <x:c r="B122" s="13" t="str">
        <x:v>LA-004</x:v>
      </x:c>
      <x:c r="C122" s="13" t="str">
        <x:v>LA-004脱敏信息分类清单.xlsx</x:v>
      </x:c>
      <x:c r="D122" s="13" t="str">
        <x:v>Sheet1</x:v>
      </x:c>
      <x:c r="E122" s="13" t="n">
        <x:v>16</x:v>
      </x:c>
      <x:c r="F122" s="13" t="str">
        <x:v>二审案件受理费</x:v>
      </x:c>
      <x:c r="G122" s="13" t="str">
        <x:v>10元</x:v>
      </x:c>
      <x:c r="H122" s="13" t="str">
        <x:v>默认删除</x:v>
      </x:c>
      <x:c r="I122" s="13" t="str">
        <x:v>二审判决</x:v>
      </x:c>
      <x:c r="J122" s="13" t="str">
        <x:v>删除</x:v>
      </x:c>
      <x:c r="K122" s="9" t="str">
        <x:v>待核验</x:v>
      </x:c>
      <x:c r="L122" s="11" t="str">
        <x:v>原分类不直接作为金标准；保持原值</x:v>
      </x:c>
    </x:row>
    <x:row r="123" ht="44" customHeight="1">
      <x:c r="A123" s="13" t="str">
        <x:v>OLD-LA-005-002</x:v>
      </x:c>
      <x:c r="B123" s="13" t="str">
        <x:v>LA-005</x:v>
      </x:c>
      <x:c r="C123" s="13" t="str">
        <x:v>LA-005脱敏信息分类清单.xlsx</x:v>
      </x:c>
      <x:c r="D123" s="13" t="str">
        <x:v>Sheet1</x:v>
      </x:c>
      <x:c r="E123" s="13" t="n">
        <x:v>2</x:v>
      </x:c>
      <x:c r="F123" s="13" t="str">
        <x:v>无固定期限劳动合同</x:v>
      </x:c>
      <x:c r="G123" s="13" t="str">
        <x:v>工龄约定、工资标准约定</x:v>
      </x:c>
      <x:c r="H123" s="13" t="str">
        <x:v>条件保留</x:v>
      </x:c>
      <x:c r="I123" s="13" t="str">
        <x:v>一审查明事实</x:v>
      </x:c>
      <x:c r="J123" s="13" t="str">
        <x:v>保留约定内容摘要：工龄视同2016年8月23日起算</x:v>
      </x:c>
      <x:c r="K123" s="9" t="str">
        <x:v>待核验</x:v>
      </x:c>
      <x:c r="L123" s="11" t="str">
        <x:v>原分类不直接作为金标准；保持原值</x:v>
      </x:c>
    </x:row>
    <x:row r="124" ht="44" customHeight="1">
      <x:c r="A124" s="13" t="str">
        <x:v>OLD-LA-005-003</x:v>
      </x:c>
      <x:c r="B124" s="13" t="str">
        <x:v>LA-005</x:v>
      </x:c>
      <x:c r="C124" s="13" t="str">
        <x:v>LA-005脱敏信息分类清单.xlsx</x:v>
      </x:c>
      <x:c r="D124" s="13" t="str">
        <x:v>Sheet1</x:v>
      </x:c>
      <x:c r="E124" s="13" t="n">
        <x:v>3</x:v>
      </x:c>
      <x:c r="F124" s="13" t="str">
        <x:v>岗位协议</x:v>
      </x:c>
      <x:c r="G124" s="13" t="str">
        <x:v>职务及工资构成</x:v>
      </x:c>
      <x:c r="H124" s="13" t="str">
        <x:v>条件保留</x:v>
      </x:c>
      <x:c r="I124" s="13" t="str">
        <x:v>一审查明事实</x:v>
      </x:c>
      <x:c r="J124" s="13" t="str">
        <x:v>保留职务及工资构成摘要</x:v>
      </x:c>
      <x:c r="K124" s="9" t="str">
        <x:v>待核验</x:v>
      </x:c>
      <x:c r="L124" s="11" t="str">
        <x:v>原分类不直接作为金标准；保持原值</x:v>
      </x:c>
    </x:row>
    <x:row r="125" ht="44" customHeight="1">
      <x:c r="A125" s="13" t="str">
        <x:v>OLD-LA-005-004</x:v>
      </x:c>
      <x:c r="B125" s="13" t="str">
        <x:v>LA-005</x:v>
      </x:c>
      <x:c r="C125" s="13" t="str">
        <x:v>LA-005脱敏信息分类清单.xlsx</x:v>
      </x:c>
      <x:c r="D125" s="13" t="str">
        <x:v>Sheet1</x:v>
      </x:c>
      <x:c r="E125" s="13" t="n">
        <x:v>4</x:v>
      </x:c>
      <x:c r="F125" s="13" t="str">
        <x:v>待岗通知书</x:v>
      </x:c>
      <x:c r="G125" s="13" t="str">
        <x:v>某公司安排待岗的事实</x:v>
      </x:c>
      <x:c r="H125" s="13" t="str">
        <x:v>条件保留</x:v>
      </x:c>
      <x:c r="I125" s="13" t="str">
        <x:v>一审查明事实</x:v>
      </x:c>
      <x:c r="J125" s="13" t="str">
        <x:v>保留送达和生效时间</x:v>
      </x:c>
      <x:c r="K125" s="9" t="str">
        <x:v>待核验</x:v>
      </x:c>
      <x:c r="L125" s="11" t="str">
        <x:v>原分类不直接作为金标准；保持原值</x:v>
      </x:c>
    </x:row>
    <x:row r="126" ht="44" customHeight="1">
      <x:c r="A126" s="13" t="str">
        <x:v>OLD-LA-005-005</x:v>
      </x:c>
      <x:c r="B126" s="13" t="str">
        <x:v>LA-005</x:v>
      </x:c>
      <x:c r="C126" s="13" t="str">
        <x:v>LA-005脱敏信息分类清单.xlsx</x:v>
      </x:c>
      <x:c r="D126" s="13" t="str">
        <x:v>Sheet1</x:v>
      </x:c>
      <x:c r="E126" s="13" t="n">
        <x:v>5</x:v>
      </x:c>
      <x:c r="F126" s="13" t="str">
        <x:v>解除劳动合同通知书</x:v>
      </x:c>
      <x:c r="G126" s="13" t="str">
        <x:v>以欠薪为由解除合同</x:v>
      </x:c>
      <x:c r="H126" s="13" t="str">
        <x:v>条件保留</x:v>
      </x:c>
      <x:c r="I126" s="13" t="str">
        <x:v>一审查明事实</x:v>
      </x:c>
      <x:c r="J126" s="13" t="str">
        <x:v>保留解除理由</x:v>
      </x:c>
      <x:c r="K126" s="9" t="str">
        <x:v>待核验</x:v>
      </x:c>
      <x:c r="L126" s="11" t="str">
        <x:v>原分类不直接作为金标准；保持原值</x:v>
      </x:c>
    </x:row>
    <x:row r="127" ht="44" customHeight="1">
      <x:c r="A127" s="13" t="str">
        <x:v>OLD-LA-005-006</x:v>
      </x:c>
      <x:c r="B127" s="13" t="str">
        <x:v>LA-005</x:v>
      </x:c>
      <x:c r="C127" s="13" t="str">
        <x:v>LA-005脱敏信息分类清单.xlsx</x:v>
      </x:c>
      <x:c r="D127" s="13" t="str">
        <x:v>Sheet1</x:v>
      </x:c>
      <x:c r="E127" s="13" t="n">
        <x:v>6</x:v>
      </x:c>
      <x:c r="F127" s="13" t="str">
        <x:v>工资支付记录</x:v>
      </x:c>
      <x:c r="G127" s="13" t="str">
        <x:v>欠薪事实及金额</x:v>
      </x:c>
      <x:c r="H127" s="13" t="str">
        <x:v>转人工</x:v>
      </x:c>
      <x:c r="I127" s="13" t="str">
        <x:v>一审查明事实</x:v>
      </x:c>
      <x:c r="J127" s="13" t="str">
        <x:v>外部模型只接收金额和欠薪期间；原始记录转人工核验</x:v>
      </x:c>
      <x:c r="K127" s="9" t="str">
        <x:v>待核验</x:v>
      </x:c>
      <x:c r="L127" s="11" t="str">
        <x:v>原分类不直接作为金标准；保持原值</x:v>
      </x:c>
    </x:row>
    <x:row r="128" ht="44" customHeight="1">
      <x:c r="A128" s="13" t="str">
        <x:v>OLD-LA-005-007</x:v>
      </x:c>
      <x:c r="B128" s="13" t="str">
        <x:v>LA-005</x:v>
      </x:c>
      <x:c r="C128" s="13" t="str">
        <x:v>LA-005脱敏信息分类清单.xlsx</x:v>
      </x:c>
      <x:c r="D128" s="13" t="str">
        <x:v>Sheet1</x:v>
      </x:c>
      <x:c r="E128" s="13" t="n">
        <x:v>7</x:v>
      </x:c>
      <x:c r="F128" s="13" t="str">
        <x:v>职务</x:v>
      </x:c>
      <x:c r="G128" s="13" t="str">
        <x:v>信息技术专员</x:v>
      </x:c>
      <x:c r="H128" s="13" t="str">
        <x:v>条件保留</x:v>
      </x:c>
      <x:c r="I128" s="13" t="str">
        <x:v>一审查明事实</x:v>
      </x:c>
      <x:c r="J128" s="13" t="str">
        <x:v>保留</x:v>
      </x:c>
      <x:c r="K128" s="9" t="str">
        <x:v>待核验</x:v>
      </x:c>
      <x:c r="L128" s="11" t="str">
        <x:v>原分类不直接作为金标准；保持原值</x:v>
      </x:c>
    </x:row>
    <x:row r="129" ht="44" customHeight="1">
      <x:c r="A129" s="13" t="str">
        <x:v>OLD-LA-005-008</x:v>
      </x:c>
      <x:c r="B129" s="13" t="str">
        <x:v>LA-005</x:v>
      </x:c>
      <x:c r="C129" s="13" t="str">
        <x:v>LA-005脱敏信息分类清单.xlsx</x:v>
      </x:c>
      <x:c r="D129" s="13" t="str">
        <x:v>Sheet1</x:v>
      </x:c>
      <x:c r="E129" s="13" t="n">
        <x:v>8</x:v>
      </x:c>
      <x:c r="F129" s="13" t="str">
        <x:v>工龄计算依据</x:v>
      </x:c>
      <x:c r="G129" s="13" t="str">
        <x:v>劳动合同约定视同工龄自2016年8月23日起算</x:v>
      </x:c>
      <x:c r="H129" s="13" t="str">
        <x:v>必须保留</x:v>
      </x:c>
      <x:c r="I129" s="13" t="str">
        <x:v>一审查明事实、法院说理</x:v>
      </x:c>
      <x:c r="J129" s="13" t="str">
        <x:v>保留</x:v>
      </x:c>
      <x:c r="K129" s="9" t="str">
        <x:v>待核验</x:v>
      </x:c>
      <x:c r="L129" s="11" t="str">
        <x:v>原分类不直接作为金标准；保持原值</x:v>
      </x:c>
    </x:row>
    <x:row r="130" ht="44" customHeight="1">
      <x:c r="A130" s="13" t="str">
        <x:v>OLD-LA-005-009</x:v>
      </x:c>
      <x:c r="B130" s="13" t="str">
        <x:v>LA-005</x:v>
      </x:c>
      <x:c r="C130" s="13" t="str">
        <x:v>LA-005脱敏信息分类清单.xlsx</x:v>
      </x:c>
      <x:c r="D130" s="13" t="str">
        <x:v>Sheet1</x:v>
      </x:c>
      <x:c r="E130" s="13" t="n">
        <x:v>9</x:v>
      </x:c>
      <x:c r="F130" s="13" t="str">
        <x:v>欠薪事实</x:v>
      </x:c>
      <x:c r="G130" s="13" t="str">
        <x:v>2025年6月至8月未足额支付工资</x:v>
      </x:c>
      <x:c r="H130" s="13" t="str">
        <x:v>必须保留</x:v>
      </x:c>
      <x:c r="I130" s="13" t="str">
        <x:v>一审查明事实、仲裁认定、法院认定</x:v>
      </x:c>
      <x:c r="J130" s="13" t="str">
        <x:v>保留</x:v>
      </x:c>
      <x:c r="K130" s="9" t="str">
        <x:v>待核验</x:v>
      </x:c>
      <x:c r="L130" s="11" t="str">
        <x:v>原分类不直接作为金标准；保持原值</x:v>
      </x:c>
    </x:row>
    <x:row r="131" ht="44" customHeight="1">
      <x:c r="A131" s="13" t="str">
        <x:v>OLD-LA-005-010</x:v>
      </x:c>
      <x:c r="B131" s="13" t="str">
        <x:v>LA-005</x:v>
      </x:c>
      <x:c r="C131" s="13" t="str">
        <x:v>LA-005脱敏信息分类清单.xlsx</x:v>
      </x:c>
      <x:c r="D131" s="13" t="str">
        <x:v>Sheet1</x:v>
      </x:c>
      <x:c r="E131" s="13" t="n">
        <x:v>10</x:v>
      </x:c>
      <x:c r="F131" s="13" t="str">
        <x:v>解除事由</x:v>
      </x:c>
      <x:c r="G131" s="13" t="str">
        <x:v>刘某以“公司未足额支付劳动报酬”为由解除</x:v>
      </x:c>
      <x:c r="H131" s="13" t="str">
        <x:v>必须保留</x:v>
      </x:c>
      <x:c r="I131" s="13" t="str">
        <x:v>一审查明事、法院认定</x:v>
      </x:c>
      <x:c r="J131" s="13" t="str">
        <x:v>保留</x:v>
      </x:c>
      <x:c r="K131" s="9" t="str">
        <x:v>待核验</x:v>
      </x:c>
      <x:c r="L131" s="11" t="str">
        <x:v>原分类不直接作为金标准；保持原值</x:v>
      </x:c>
    </x:row>
    <x:row r="132" ht="44" customHeight="1">
      <x:c r="A132" s="13" t="str">
        <x:v>OLD-LA-005-011</x:v>
      </x:c>
      <x:c r="B132" s="13" t="str">
        <x:v>LA-005</x:v>
      </x:c>
      <x:c r="C132" s="13" t="str">
        <x:v>LA-005脱敏信息分类清单.xlsx</x:v>
      </x:c>
      <x:c r="D132" s="13" t="str">
        <x:v>Sheet1</x:v>
      </x:c>
      <x:c r="E132" s="13" t="n">
        <x:v>11</x:v>
      </x:c>
      <x:c r="F132" s="13" t="str">
        <x:v>某公司抗辩理由</x:v>
      </x:c>
      <x:c r="G132" s="13" t="str">
        <x:v>①刘某主动辞职不应支付补偿金；②经营困难非无故欠薪</x:v>
      </x:c>
      <x:c r="H132" s="13" t="str">
        <x:v>条件保留</x:v>
      </x:c>
      <x:c r="I132" s="13" t="str">
        <x:v>某公司上诉理由</x:v>
      </x:c>
      <x:c r="J132" s="13" t="str">
        <x:v>保留</x:v>
      </x:c>
      <x:c r="K132" s="9" t="str">
        <x:v>待核验</x:v>
      </x:c>
      <x:c r="L132" s="11" t="str">
        <x:v>原分类不直接作为金标准；保持原值</x:v>
      </x:c>
    </x:row>
    <x:row r="133" ht="44" customHeight="1">
      <x:c r="A133" s="13" t="str">
        <x:v>OLD-LA-005-012</x:v>
      </x:c>
      <x:c r="B133" s="13" t="str">
        <x:v>LA-005</x:v>
      </x:c>
      <x:c r="C133" s="13" t="str">
        <x:v>LA-005脱敏信息分类清单.xlsx</x:v>
      </x:c>
      <x:c r="D133" s="13" t="str">
        <x:v>Sheet1</x:v>
      </x:c>
      <x:c r="E133" s="13" t="n">
        <x:v>12</x:v>
      </x:c>
      <x:c r="F133" s="13" t="str">
        <x:v>某公司二审中对数额的态度</x:v>
      </x:c>
      <x:c r="G133" s="13" t="str">
        <x:v>对经济补偿金数额无异议</x:v>
      </x:c>
      <x:c r="H133" s="13" t="str">
        <x:v>条件保留</x:v>
      </x:c>
      <x:c r="I133" s="13" t="str">
        <x:v>二审庭审</x:v>
      </x:c>
      <x:c r="J133" s="13" t="str">
        <x:v>保留</x:v>
      </x:c>
      <x:c r="K133" s="9" t="str">
        <x:v>待核验</x:v>
      </x:c>
      <x:c r="L133" s="11" t="str">
        <x:v>原分类不直接作为金标准；保持原值</x:v>
      </x:c>
    </x:row>
    <x:row r="134" ht="44" customHeight="1">
      <x:c r="A134" s="13" t="str">
        <x:v>OLD-LA-005-013</x:v>
      </x:c>
      <x:c r="B134" s="13" t="str">
        <x:v>LA-005</x:v>
      </x:c>
      <x:c r="C134" s="13" t="str">
        <x:v>LA-005脱敏信息分类清单.xlsx</x:v>
      </x:c>
      <x:c r="D134" s="13" t="str">
        <x:v>Sheet1</x:v>
      </x:c>
      <x:c r="E134" s="13" t="n">
        <x:v>13</x:v>
      </x:c>
      <x:c r="F134" s="13" t="str">
        <x:v>工龄起算时间</x:v>
      </x:c>
      <x:c r="G134" s="13" t="n">
        <x:v>42605</x:v>
      </x:c>
      <x:c r="H134" s="13" t="str">
        <x:v>必须保留</x:v>
      </x:c>
      <x:c r="I134" s="13" t="str">
        <x:v>一审查明事实</x:v>
      </x:c>
      <x:c r="J134" s="13" t="str">
        <x:v>保留完整日期</x:v>
      </x:c>
      <x:c r="K134" s="9" t="str">
        <x:v>待核验</x:v>
      </x:c>
      <x:c r="L134" s="11" t="str">
        <x:v>原分类不直接作为金标准；保持原值</x:v>
      </x:c>
    </x:row>
    <x:row r="135" ht="44" customHeight="1">
      <x:c r="A135" s="13" t="str">
        <x:v>OLD-LA-005-014</x:v>
      </x:c>
      <x:c r="B135" s="13" t="str">
        <x:v>LA-005</x:v>
      </x:c>
      <x:c r="C135" s="13" t="str">
        <x:v>LA-005脱敏信息分类清单.xlsx</x:v>
      </x:c>
      <x:c r="D135" s="13" t="str">
        <x:v>Sheet1</x:v>
      </x:c>
      <x:c r="E135" s="13" t="n">
        <x:v>14</x:v>
      </x:c>
      <x:c r="F135" s="13" t="str">
        <x:v>无固定期限劳动合同签订</x:v>
      </x:c>
      <x:c r="G135" s="13" t="n">
        <x:v>44797</x:v>
      </x:c>
      <x:c r="H135" s="13" t="str">
        <x:v>必须保留</x:v>
      </x:c>
      <x:c r="I135" s="13" t="str">
        <x:v>一审查明事实</x:v>
      </x:c>
      <x:c r="J135" s="13" t="str">
        <x:v>保留完整日期</x:v>
      </x:c>
      <x:c r="K135" s="9" t="str">
        <x:v>待核验</x:v>
      </x:c>
      <x:c r="L135" s="11" t="str">
        <x:v>原分类不直接作为金标准；保持原值</x:v>
      </x:c>
    </x:row>
    <x:row r="136" ht="44" customHeight="1">
      <x:c r="A136" s="13" t="str">
        <x:v>OLD-LA-005-015</x:v>
      </x:c>
      <x:c r="B136" s="13" t="str">
        <x:v>LA-005</x:v>
      </x:c>
      <x:c r="C136" s="13" t="str">
        <x:v>LA-005脱敏信息分类清单.xlsx</x:v>
      </x:c>
      <x:c r="D136" s="13" t="str">
        <x:v>Sheet1</x:v>
      </x:c>
      <x:c r="E136" s="13" t="n">
        <x:v>15</x:v>
      </x:c>
      <x:c r="F136" s="13" t="str">
        <x:v>上诉人公司名称</x:v>
      </x:c>
      <x:c r="G136" s="13" t="str">
        <x:v>某公司安排待岗的事实</x:v>
      </x:c>
      <x:c r="H136" s="13" t="str">
        <x:v>假名化保留</x:v>
      </x:c>
      <x:c r="I136" s="13" t="str">
        <x:v>全文多处</x:v>
      </x:c>
      <x:c r="J136" s="13" t="str">
        <x:v>保留</x:v>
      </x:c>
      <x:c r="K136" s="9" t="str">
        <x:v>待核验</x:v>
      </x:c>
      <x:c r="L136" s="11" t="str">
        <x:v>原分类不直接作为金标准；保持原值</x:v>
      </x:c>
    </x:row>
    <x:row r="137" ht="44" customHeight="1">
      <x:c r="A137" s="13" t="str">
        <x:v>OLD-LA-005-016</x:v>
      </x:c>
      <x:c r="B137" s="13" t="str">
        <x:v>LA-005</x:v>
      </x:c>
      <x:c r="C137" s="13" t="str">
        <x:v>LA-005脱敏信息分类清单.xlsx</x:v>
      </x:c>
      <x:c r="D137" s="13" t="str">
        <x:v>Sheet1</x:v>
      </x:c>
      <x:c r="E137" s="13" t="n">
        <x:v>16</x:v>
      </x:c>
      <x:c r="F137" s="13" t="str">
        <x:v>被上诉人真实姓名</x:v>
      </x:c>
      <x:c r="G137" s="13" t="str">
        <x:v>刘某</x:v>
      </x:c>
      <x:c r="H137" s="13" t="str">
        <x:v>假名化保留</x:v>
      </x:c>
      <x:c r="I137" s="13" t="str">
        <x:v>全文多处</x:v>
      </x:c>
      <x:c r="J137" s="13" t="str">
        <x:v>保留</x:v>
      </x:c>
      <x:c r="K137" s="9" t="str">
        <x:v>待核验</x:v>
      </x:c>
      <x:c r="L137" s="11" t="str">
        <x:v>原分类不直接作为金标准；保持原值</x:v>
      </x:c>
    </x:row>
    <x:row r="138" ht="44" customHeight="1">
      <x:c r="A138" s="13" t="str">
        <x:v>OLD-LA-005-017</x:v>
      </x:c>
      <x:c r="B138" s="13" t="str">
        <x:v>LA-005</x:v>
      </x:c>
      <x:c r="C138" s="13" t="str">
        <x:v>LA-005脱敏信息分类清单.xlsx</x:v>
      </x:c>
      <x:c r="D138" s="13" t="str">
        <x:v>Sheet1</x:v>
      </x:c>
      <x:c r="E138" s="13" t="n">
        <x:v>17</x:v>
      </x:c>
      <x:c r="F138" s="13" t="str">
        <x:v>审判长姓名</x:v>
      </x:c>
      <x:c r="G138" s="13" t="str">
        <x:v>杨波</x:v>
      </x:c>
      <x:c r="H138" s="13" t="str">
        <x:v>默认删除</x:v>
      </x:c>
      <x:c r="I138" s="13" t="str">
        <x:v>文书末尾</x:v>
      </x:c>
      <x:c r="J138" s="13" t="str">
        <x:v>删除</x:v>
      </x:c>
      <x:c r="K138" s="9" t="str">
        <x:v>待核验</x:v>
      </x:c>
      <x:c r="L138" s="11" t="str">
        <x:v>原分类不直接作为金标准；保持原值</x:v>
      </x:c>
    </x:row>
    <x:row r="139" ht="44" customHeight="1">
      <x:c r="A139" s="13" t="str">
        <x:v>OLD-LA-005-018</x:v>
      </x:c>
      <x:c r="B139" s="13" t="str">
        <x:v>LA-005</x:v>
      </x:c>
      <x:c r="C139" s="13" t="str">
        <x:v>LA-005脱敏信息分类清单.xlsx</x:v>
      </x:c>
      <x:c r="D139" s="13" t="str">
        <x:v>Sheet1</x:v>
      </x:c>
      <x:c r="E139" s="13" t="n">
        <x:v>18</x:v>
      </x:c>
      <x:c r="F139" s="13" t="str">
        <x:v>审判员姓名</x:v>
      </x:c>
      <x:c r="G139" s="13" t="str">
        <x:v>钱佳、张鹏</x:v>
      </x:c>
      <x:c r="H139" s="13" t="str">
        <x:v>默认删除</x:v>
      </x:c>
      <x:c r="I139" s="13" t="str">
        <x:v>文书末尾</x:v>
      </x:c>
      <x:c r="J139" s="13" t="str">
        <x:v>删除</x:v>
      </x:c>
      <x:c r="K139" s="9" t="str">
        <x:v>待核验</x:v>
      </x:c>
      <x:c r="L139" s="11" t="str">
        <x:v>原分类不直接作为金标准；保持原值</x:v>
      </x:c>
    </x:row>
    <x:row r="140" ht="44" customHeight="1">
      <x:c r="A140" s="13" t="str">
        <x:v>OLD-LA-005-019</x:v>
      </x:c>
      <x:c r="B140" s="13" t="str">
        <x:v>LA-005</x:v>
      </x:c>
      <x:c r="C140" s="13" t="str">
        <x:v>LA-005脱敏信息分类清单.xlsx</x:v>
      </x:c>
      <x:c r="D140" s="13" t="str">
        <x:v>Sheet1</x:v>
      </x:c>
      <x:c r="E140" s="13" t="n">
        <x:v>19</x:v>
      </x:c>
      <x:c r="F140" s="13" t="str">
        <x:v>法官助理姓名</x:v>
      </x:c>
      <x:c r="G140" s="13" t="str">
        <x:v>黄骏</x:v>
      </x:c>
      <x:c r="H140" s="13" t="str">
        <x:v>禁止外发</x:v>
      </x:c>
      <x:c r="I140" s="13" t="str">
        <x:v>文书末尾</x:v>
      </x:c>
      <x:c r="J140" s="13" t="str">
        <x:v>删除</x:v>
      </x:c>
      <x:c r="K140" s="9" t="str">
        <x:v>待核验</x:v>
      </x:c>
      <x:c r="L140" s="11" t="str">
        <x:v>原分类不直接作为金标准；保持原值</x:v>
      </x:c>
    </x:row>
    <x:row r="141" ht="44" customHeight="1">
      <x:c r="A141" s="13" t="str">
        <x:v>OLD-LA-005-020</x:v>
      </x:c>
      <x:c r="B141" s="13" t="str">
        <x:v>LA-005</x:v>
      </x:c>
      <x:c r="C141" s="13" t="str">
        <x:v>LA-005脱敏信息分类清单.xlsx</x:v>
      </x:c>
      <x:c r="D141" s="13" t="str">
        <x:v>Sheet1</x:v>
      </x:c>
      <x:c r="E141" s="13" t="n">
        <x:v>20</x:v>
      </x:c>
      <x:c r="F141" s="13" t="str">
        <x:v>书记员姓名</x:v>
      </x:c>
      <x:c r="G141" s="13" t="str">
        <x:v>赵博洋</x:v>
      </x:c>
      <x:c r="H141" s="13" t="str">
        <x:v>禁止外发</x:v>
      </x:c>
      <x:c r="I141" s="13" t="str">
        <x:v>文书末尾</x:v>
      </x:c>
      <x:c r="J141" s="13" t="str">
        <x:v>删除</x:v>
      </x:c>
      <x:c r="K141" s="9" t="str">
        <x:v>待核验</x:v>
      </x:c>
      <x:c r="L141" s="11" t="str">
        <x:v>原分类不直接作为金标准；保持原值</x:v>
      </x:c>
    </x:row>
    <x:row r="142" ht="44" customHeight="1">
      <x:c r="A142" s="13" t="str">
        <x:v>OLD-GS-001-002</x:v>
      </x:c>
      <x:c r="B142" s="13" t="str">
        <x:v>GS-001</x:v>
      </x:c>
      <x:c r="C142" s="13" t="str">
        <x:v>【工伤医疗类】案例标注.xlsx</x:v>
      </x:c>
      <x:c r="D142" s="13" t="str">
        <x:v>样例1</x:v>
      </x:c>
      <x:c r="E142" s="13" t="n">
        <x:v>2</x:v>
      </x:c>
      <x:c r="F142" s="13" t="str">
        <x:v>劳动者真实姓名</x:v>
      </x:c>
      <x:c r="G142" s="13" t="str">
        <x:v>李某</x:v>
      </x:c>
      <x:c r="H142" s="13" t="str">
        <x:v>假名化保留</x:v>
      </x:c>
      <x:c r="I142" s="13" t="str">
        <x:v>全文</x:v>
      </x:c>
      <x:c r="J142" s="13" t="str">
        <x:v>统一替换为“劳动者B”</x:v>
      </x:c>
      <x:c r="K142" s="9" t="str">
        <x:v>待核验</x:v>
      </x:c>
      <x:c r="L142" s="11" t="str">
        <x:v>B列数字保持原始类型；条件清单不计已出现事实</x:v>
      </x:c>
    </x:row>
    <x:row r="143" ht="44" customHeight="1">
      <x:c r="A143" s="13" t="str">
        <x:v>OLD-GS-001-003</x:v>
      </x:c>
      <x:c r="B143" s="13" t="str">
        <x:v>GS-001</x:v>
      </x:c>
      <x:c r="C143" s="13" t="str">
        <x:v>【工伤医疗类】案例标注.xlsx</x:v>
      </x:c>
      <x:c r="D143" s="13" t="str">
        <x:v>样例1</x:v>
      </x:c>
      <x:c r="E143" s="13" t="n">
        <x:v>3</x:v>
      </x:c>
      <x:c r="F143" s="13" t="str">
        <x:v>用人单位名称</x:v>
      </x:c>
      <x:c r="G143" s="13" t="str">
        <x:v>某公司</x:v>
      </x:c>
      <x:c r="H143" s="13" t="str">
        <x:v>假名化保留</x:v>
      </x:c>
      <x:c r="I143" s="13" t="str">
        <x:v>全文</x:v>
      </x:c>
      <x:c r="J143" s="13" t="str">
        <x:v>统一替换为“公司A”</x:v>
      </x:c>
      <x:c r="K143" s="9" t="str">
        <x:v>待核验</x:v>
      </x:c>
      <x:c r="L143" s="11" t="str">
        <x:v>B列数字保持原始类型；条件清单不计已出现事实</x:v>
      </x:c>
    </x:row>
    <x:row r="144" ht="44" customHeight="1">
      <x:c r="A144" s="13" t="str">
        <x:v>OLD-GS-001-004</x:v>
      </x:c>
      <x:c r="B144" s="13" t="str">
        <x:v>GS-001</x:v>
      </x:c>
      <x:c r="C144" s="13" t="str">
        <x:v>【工伤医疗类】案例标注.xlsx</x:v>
      </x:c>
      <x:c r="D144" s="13" t="str">
        <x:v>样例1</x:v>
      </x:c>
      <x:c r="E144" s="13" t="n">
        <x:v>4</x:v>
      </x:c>
      <x:c r="F144" s="13" t="str">
        <x:v>审判人员姓名</x:v>
      </x:c>
      <x:c r="G144" s="13" t="str">
        <x:v>文书末尾审判长、审判员姓名</x:v>
      </x:c>
      <x:c r="H144" s="13" t="str">
        <x:v>默认删除</x:v>
      </x:c>
      <x:c r="I144" s="13" t="str">
        <x:v>案件首部</x:v>
      </x:c>
      <x:c r="J144" s="13" t="str">
        <x:v>删除</x:v>
      </x:c>
      <x:c r="K144" s="9" t="str">
        <x:v>待核验</x:v>
      </x:c>
      <x:c r="L144" s="11" t="str">
        <x:v>B列数字保持原始类型；条件清单不计已出现事实</x:v>
      </x:c>
    </x:row>
    <x:row r="145" ht="44" customHeight="1">
      <x:c r="A145" s="13" t="str">
        <x:v>OLD-GS-001-005</x:v>
      </x:c>
      <x:c r="B145" s="13" t="str">
        <x:v>GS-001</x:v>
      </x:c>
      <x:c r="C145" s="13" t="str">
        <x:v>【工伤医疗类】案例标注.xlsx</x:v>
      </x:c>
      <x:c r="D145" s="13" t="str">
        <x:v>样例1</x:v>
      </x:c>
      <x:c r="E145" s="13" t="n">
        <x:v>5</x:v>
      </x:c>
      <x:c r="F145" s="13" t="str">
        <x:v>本案案号</x:v>
      </x:c>
      <x:c r="G145" s="13" t="str">
        <x:v>(2026)京02民终12737号</x:v>
      </x:c>
      <x:c r="H145" s="13" t="str">
        <x:v>默认删除</x:v>
      </x:c>
      <x:c r="I145" s="13" t="str">
        <x:v>案件首部</x:v>
      </x:c>
      <x:c r="J145" s="13" t="str">
        <x:v>本地案例库保留，外部模型不发送完整案号</x:v>
      </x:c>
      <x:c r="K145" s="9" t="str">
        <x:v>待核验</x:v>
      </x:c>
      <x:c r="L145" s="11" t="str">
        <x:v>B列数字保持原始类型；条件清单不计已出现事实</x:v>
      </x:c>
    </x:row>
    <x:row r="146" ht="44" customHeight="1">
      <x:c r="A146" s="13" t="str">
        <x:v>OLD-GS-001-006</x:v>
      </x:c>
      <x:c r="B146" s="13" t="str">
        <x:v>GS-001</x:v>
      </x:c>
      <x:c r="C146" s="13" t="str">
        <x:v>【工伤医疗类】案例标注.xlsx</x:v>
      </x:c>
      <x:c r="D146" s="13" t="str">
        <x:v>样例1</x:v>
      </x:c>
      <x:c r="E146" s="13" t="n">
        <x:v>6</x:v>
      </x:c>
      <x:c r="F146" s="13" t="str">
        <x:v>一审案号</x:v>
      </x:c>
      <x:c r="G146" s="13" t="str">
        <x:v>(2025)京0115民初29353号</x:v>
      </x:c>
      <x:c r="H146" s="13" t="str">
        <x:v>默认删除</x:v>
      </x:c>
      <x:c r="I146" s="13" t="str">
        <x:v>程序部分</x:v>
      </x:c>
      <x:c r="J146" s="13" t="str">
        <x:v>删除具体案号，仅保留“一审判决”</x:v>
      </x:c>
      <x:c r="K146" s="9" t="str">
        <x:v>待核验</x:v>
      </x:c>
      <x:c r="L146" s="11" t="str">
        <x:v>B列数字保持原始类型；条件清单不计已出现事实</x:v>
      </x:c>
    </x:row>
    <x:row r="147" ht="44" customHeight="1">
      <x:c r="A147" s="13" t="str">
        <x:v>OLD-GS-001-007</x:v>
      </x:c>
      <x:c r="B147" s="13" t="str">
        <x:v>GS-001</x:v>
      </x:c>
      <x:c r="C147" s="13" t="str">
        <x:v>【工伤医疗类】案例标注.xlsx</x:v>
      </x:c>
      <x:c r="D147" s="13" t="str">
        <x:v>样例1</x:v>
      </x:c>
      <x:c r="E147" s="13" t="n">
        <x:v>7</x:v>
      </x:c>
      <x:c r="F147" s="13" t="str">
        <x:v>仲裁案号</x:v>
      </x:c>
      <x:c r="G147" s="13" t="str">
        <x:v>京开劳人仲字〔2025〕第3958号</x:v>
      </x:c>
      <x:c r="H147" s="13" t="str">
        <x:v>默认删除</x:v>
      </x:c>
      <x:c r="I147" s="13" t="str">
        <x:v>仲裁部分</x:v>
      </x:c>
      <x:c r="J147" s="13" t="str">
        <x:v>删除具体编号，仅保留“仲裁裁决”</x:v>
      </x:c>
      <x:c r="K147" s="9" t="str">
        <x:v>待核验</x:v>
      </x:c>
      <x:c r="L147" s="11" t="str">
        <x:v>B列数字保持原始类型；条件清单不计已出现事实</x:v>
      </x:c>
    </x:row>
    <x:row r="148" ht="44" customHeight="1">
      <x:c r="A148" s="13" t="str">
        <x:v>OLD-GS-001-008</x:v>
      </x:c>
      <x:c r="B148" s="13" t="str">
        <x:v>GS-001</x:v>
      </x:c>
      <x:c r="C148" s="13" t="str">
        <x:v>【工伤医疗类】案例标注.xlsx</x:v>
      </x:c>
      <x:c r="D148" s="13" t="str">
        <x:v>样例1</x:v>
      </x:c>
      <x:c r="E148" s="13" t="n">
        <x:v>8</x:v>
      </x:c>
      <x:c r="F148" s="13" t="str">
        <x:v>二审法院名称</x:v>
      </x:c>
      <x:c r="G148" s="13" t="str">
        <x:v>北京市第二中级人民法院</x:v>
      </x:c>
      <x:c r="H148" s="13" t="str">
        <x:v>条件保留</x:v>
      </x:c>
      <x:c r="I148" s="13" t="str">
        <x:v>案件首部</x:v>
      </x:c>
      <x:c r="J148" s="13" t="str">
        <x:v>一般改为“二审法院”；涉及地域规则时可保留“北京市法院”</x:v>
      </x:c>
      <x:c r="K148" s="9" t="str">
        <x:v>待核验</x:v>
      </x:c>
      <x:c r="L148" s="11" t="str">
        <x:v>B列数字保持原始类型；条件清单不计已出现事实</x:v>
      </x:c>
    </x:row>
    <x:row r="149" ht="44" customHeight="1">
      <x:c r="A149" s="13" t="str">
        <x:v>OLD-GS-001-009</x:v>
      </x:c>
      <x:c r="B149" s="13" t="str">
        <x:v>GS-001</x:v>
      </x:c>
      <x:c r="C149" s="13" t="str">
        <x:v>【工伤医疗类】案例标注.xlsx</x:v>
      </x:c>
      <x:c r="D149" s="13" t="str">
        <x:v>样例1</x:v>
      </x:c>
      <x:c r="E149" s="13" t="n">
        <x:v>9</x:v>
      </x:c>
      <x:c r="F149" s="13" t="str">
        <x:v>案件审级</x:v>
      </x:c>
      <x:c r="G149" s="13" t="str">
        <x:v>二审</x:v>
      </x:c>
      <x:c r="H149" s="13" t="str">
        <x:v>必须保留</x:v>
      </x:c>
      <x:c r="I149" s="13" t="str">
        <x:v>案件首部</x:v>
      </x:c>
      <x:c r="J149" s="13" t="str">
        <x:v>保留“二审”</x:v>
      </x:c>
      <x:c r="K149" s="9" t="str">
        <x:v>待核验</x:v>
      </x:c>
      <x:c r="L149" s="11" t="str">
        <x:v>B列数字保持原始类型；条件清单不计已出现事实</x:v>
      </x:c>
    </x:row>
    <x:row r="150" ht="44" customHeight="1">
      <x:c r="A150" s="13" t="str">
        <x:v>OLD-GS-001-010</x:v>
      </x:c>
      <x:c r="B150" s="13" t="str">
        <x:v>GS-001</x:v>
      </x:c>
      <x:c r="C150" s="13" t="str">
        <x:v>【工伤医疗类】案例标注.xlsx</x:v>
      </x:c>
      <x:c r="D150" s="13" t="str">
        <x:v>样例1</x:v>
      </x:c>
      <x:c r="E150" s="13" t="n">
        <x:v>10</x:v>
      </x:c>
      <x:c r="F150" s="13" t="str">
        <x:v>入职日期</x:v>
      </x:c>
      <x:c r="G150" s="13" t="n">
        <x:v>45022</x:v>
      </x:c>
      <x:c r="H150" s="13" t="str">
        <x:v>必须保留</x:v>
      </x:c>
      <x:c r="I150" s="13" t="str">
        <x:v>劳动关系基本事实</x:v>
      </x:c>
      <x:c r="J150" s="13" t="str">
        <x:v>保留完整日期</x:v>
      </x:c>
      <x:c r="K150" s="9" t="str">
        <x:v>待核验</x:v>
      </x:c>
      <x:c r="L150" s="11" t="str">
        <x:v>B列数字保持原始类型；条件清单不计已出现事实</x:v>
      </x:c>
    </x:row>
    <x:row r="151" ht="44" customHeight="1">
      <x:c r="A151" s="13" t="str">
        <x:v>OLD-GS-001-011</x:v>
      </x:c>
      <x:c r="B151" s="13" t="str">
        <x:v>GS-001</x:v>
      </x:c>
      <x:c r="C151" s="13" t="str">
        <x:v>【工伤医疗类】案例标注.xlsx</x:v>
      </x:c>
      <x:c r="D151" s="13" t="str">
        <x:v>样例1</x:v>
      </x:c>
      <x:c r="E151" s="13" t="n">
        <x:v>11</x:v>
      </x:c>
      <x:c r="F151" s="13" t="str">
        <x:v>工作岗位</x:v>
      </x:c>
      <x:c r="G151" s="13" t="str">
        <x:v>人事主管</x:v>
      </x:c>
      <x:c r="H151" s="13" t="str">
        <x:v>必须保留</x:v>
      </x:c>
      <x:c r="I151" s="13" t="str">
        <x:v>劳动关系基本事实</x:v>
      </x:c>
      <x:c r="J151" s="13" t="str">
        <x:v>保留岗位</x:v>
      </x:c>
      <x:c r="K151" s="9" t="str">
        <x:v>待核验</x:v>
      </x:c>
      <x:c r="L151" s="11" t="str">
        <x:v>B列数字保持原始类型；条件清单不计已出现事实</x:v>
      </x:c>
    </x:row>
    <x:row r="152" ht="44" customHeight="1">
      <x:c r="A152" s="13" t="str">
        <x:v>OLD-GS-001-012</x:v>
      </x:c>
      <x:c r="B152" s="13" t="str">
        <x:v>GS-001</x:v>
      </x:c>
      <x:c r="C152" s="13" t="str">
        <x:v>【工伤医疗类】案例标注.xlsx</x:v>
      </x:c>
      <x:c r="D152" s="13" t="str">
        <x:v>样例1</x:v>
      </x:c>
      <x:c r="E152" s="13" t="n">
        <x:v>12</x:v>
      </x:c>
      <x:c r="F152" s="13" t="str">
        <x:v>劳动合同期限</x:v>
      </x:c>
      <x:c r="G152" s="13" t="str">
        <x:v>2023年4月6日至2026年4月5日</x:v>
      </x:c>
      <x:c r="H152" s="13" t="str">
        <x:v>条件保留</x:v>
      </x:c>
      <x:c r="I152" s="13" t="str">
        <x:v>基本事实</x:v>
      </x:c>
      <x:c r="J152" s="13" t="str">
        <x:v>普通待遇分析可概括为“双方签订劳动合同”；涉及合同期限时保留</x:v>
      </x:c>
      <x:c r="K152" s="9" t="str">
        <x:v>待核验</x:v>
      </x:c>
      <x:c r="L152" s="11" t="str">
        <x:v>B列数字保持原始类型；条件清单不计已出现事实</x:v>
      </x:c>
    </x:row>
    <x:row r="153" ht="44" customHeight="1">
      <x:c r="A153" s="13" t="str">
        <x:v>OLD-GS-001-013</x:v>
      </x:c>
      <x:c r="B153" s="13" t="str">
        <x:v>GS-001</x:v>
      </x:c>
      <x:c r="C153" s="13" t="str">
        <x:v>【工伤医疗类】案例标注.xlsx</x:v>
      </x:c>
      <x:c r="D153" s="13" t="str">
        <x:v>样例1</x:v>
      </x:c>
      <x:c r="E153" s="13" t="n">
        <x:v>13</x:v>
      </x:c>
      <x:c r="F153" s="13" t="str">
        <x:v>月工资标准</x:v>
      </x:c>
      <x:c r="G153" s="13" t="str">
        <x:v>12500元/月</x:v>
      </x:c>
      <x:c r="H153" s="13" t="str">
        <x:v>必须保留</x:v>
      </x:c>
      <x:c r="I153" s="13" t="str">
        <x:v>基本事实、年休假工资计算</x:v>
      </x:c>
      <x:c r="J153" s="13" t="str">
        <x:v>保留精确金额</x:v>
      </x:c>
      <x:c r="K153" s="9" t="str">
        <x:v>待核验</x:v>
      </x:c>
      <x:c r="L153" s="11" t="str">
        <x:v>B列数字保持原始类型；条件清单不计已出现事实</x:v>
      </x:c>
    </x:row>
    <x:row r="154" ht="44" customHeight="1">
      <x:c r="A154" s="13" t="str">
        <x:v>OLD-GS-001-014</x:v>
      </x:c>
      <x:c r="B154" s="13" t="str">
        <x:v>GS-001</x:v>
      </x:c>
      <x:c r="C154" s="13" t="str">
        <x:v>【工伤医疗类】案例标注.xlsx</x:v>
      </x:c>
      <x:c r="D154" s="13" t="str">
        <x:v>样例1</x:v>
      </x:c>
      <x:c r="E154" s="13" t="n">
        <x:v>14</x:v>
      </x:c>
      <x:c r="F154" s="13" t="str">
        <x:v>工资发放日期</x:v>
      </x:c>
      <x:c r="G154" s="13" t="str">
        <x:v>每月10日</x:v>
      </x:c>
      <x:c r="H154" s="13" t="str">
        <x:v>条件保留</x:v>
      </x:c>
      <x:c r="I154" s="13" t="str">
        <x:v>基本事实</x:v>
      </x:c>
      <x:c r="J154" s="13" t="str">
        <x:v>本案核心争议与支付周期关系不大，可删除；涉及欠薪任务时保留</x:v>
      </x:c>
      <x:c r="K154" s="9" t="str">
        <x:v>待核验</x:v>
      </x:c>
      <x:c r="L154" s="11" t="str">
        <x:v>B列数字保持原始类型；条件清单不计已出现事实</x:v>
      </x:c>
    </x:row>
    <x:row r="155" ht="44" customHeight="1">
      <x:c r="A155" s="13" t="str">
        <x:v>OLD-GS-001-015</x:v>
      </x:c>
      <x:c r="B155" s="13" t="str">
        <x:v>GS-001</x:v>
      </x:c>
      <x:c r="C155" s="13" t="str">
        <x:v>【工伤医疗类】案例标注.xlsx</x:v>
      </x:c>
      <x:c r="D155" s="13" t="str">
        <x:v>样例1</x:v>
      </x:c>
      <x:c r="E155" s="13" t="n">
        <x:v>15</x:v>
      </x:c>
      <x:c r="F155" s="13" t="str">
        <x:v>工资支付方式</x:v>
      </x:c>
      <x:c r="G155" s="13" t="str">
        <x:v>银行转账</x:v>
      </x:c>
      <x:c r="H155" s="13" t="str">
        <x:v>条件保留</x:v>
      </x:c>
      <x:c r="I155" s="13" t="str">
        <x:v>基本事实</x:v>
      </x:c>
      <x:c r="J155" s="13" t="str">
        <x:v>一般可删除；涉及工资支付证据时保留“银行转账”这一方式</x:v>
      </x:c>
      <x:c r="K155" s="9" t="str">
        <x:v>待核验</x:v>
      </x:c>
      <x:c r="L155" s="11" t="str">
        <x:v>B列数字保持原始类型；条件清单不计已出现事实</x:v>
      </x:c>
    </x:row>
    <x:row r="156" ht="44" customHeight="1">
      <x:c r="A156" s="13" t="str">
        <x:v>OLD-GS-001-016</x:v>
      </x:c>
      <x:c r="B156" s="13" t="str">
        <x:v>GS-001</x:v>
      </x:c>
      <x:c r="C156" s="13" t="str">
        <x:v>【工伤医疗类】案例标注.xlsx</x:v>
      </x:c>
      <x:c r="D156" s="13" t="str">
        <x:v>样例1</x:v>
      </x:c>
      <x:c r="E156" s="13" t="n">
        <x:v>16</x:v>
      </x:c>
      <x:c r="F156" s="13" t="str">
        <x:v>银行账户信息</x:v>
      </x:c>
      <x:c r="G156" s="13" t="str">
        <x:v>如工资流水中存在</x:v>
      </x:c>
      <x:c r="H156" s="13" t="str">
        <x:v>禁止外发</x:v>
      </x:c>
      <x:c r="I156" s="13" t="str">
        <x:v>银行工资记录</x:v>
      </x:c>
      <x:c r="J156" s="13" t="str">
        <x:v>删除银行卡号、开户行、流水号等，仅保留工资金额和必要日期</x:v>
      </x:c>
      <x:c r="K156" s="9" t="str">
        <x:v>待核验</x:v>
      </x:c>
      <x:c r="L156" s="11" t="str">
        <x:v>B列数字保持原始类型；条件清单不计已出现事实</x:v>
      </x:c>
    </x:row>
    <x:row r="157" ht="44" customHeight="1">
      <x:c r="A157" s="13" t="str">
        <x:v>OLD-GS-001-017</x:v>
      </x:c>
      <x:c r="B157" s="13" t="str">
        <x:v>GS-001</x:v>
      </x:c>
      <x:c r="C157" s="13" t="str">
        <x:v>【工伤医疗类】案例标注.xlsx</x:v>
      </x:c>
      <x:c r="D157" s="13" t="str">
        <x:v>样例1</x:v>
      </x:c>
      <x:c r="E157" s="13" t="n">
        <x:v>17</x:v>
      </x:c>
      <x:c r="F157" s="13" t="str">
        <x:v>工时制度</x:v>
      </x:c>
      <x:c r="G157" s="13" t="str">
        <x:v>标准工时制度</x:v>
      </x:c>
      <x:c r="H157" s="13" t="str">
        <x:v>条件保留</x:v>
      </x:c>
      <x:c r="I157" s="13" t="str">
        <x:v>基本事实</x:v>
      </x:c>
      <x:c r="J157" s="13" t="str">
        <x:v>普通本案分析可保留概括；若只分析工伤补助可删除，分析休假时有一定价值</x:v>
      </x:c>
      <x:c r="K157" s="9" t="str">
        <x:v>待核验</x:v>
      </x:c>
      <x:c r="L157" s="11" t="str">
        <x:v>B列数字保持原始类型；条件清单不计已出现事实</x:v>
      </x:c>
    </x:row>
    <x:row r="158" ht="44" customHeight="1">
      <x:c r="A158" s="13" t="str">
        <x:v>OLD-GS-001-018</x:v>
      </x:c>
      <x:c r="B158" s="13" t="str">
        <x:v>GS-001</x:v>
      </x:c>
      <x:c r="C158" s="13" t="str">
        <x:v>【工伤医疗类】案例标注.xlsx</x:v>
      </x:c>
      <x:c r="D158" s="13" t="str">
        <x:v>样例1</x:v>
      </x:c>
      <x:c r="E158" s="13" t="n">
        <x:v>18</x:v>
      </x:c>
      <x:c r="F158" s="13" t="str">
        <x:v>劳动关系解除日期</x:v>
      </x:c>
      <x:c r="G158" s="13" t="n">
        <x:v>45764</x:v>
      </x:c>
      <x:c r="H158" s="13" t="str">
        <x:v>必须保留</x:v>
      </x:c>
      <x:c r="I158" s="13" t="str">
        <x:v>基本事实、工伤待遇认定</x:v>
      </x:c>
      <x:c r="J158" s="13" t="str">
        <x:v>保留完整日期</x:v>
      </x:c>
      <x:c r="K158" s="9" t="str">
        <x:v>待核验</x:v>
      </x:c>
      <x:c r="L158" s="11" t="str">
        <x:v>B列数字保持原始类型；条件清单不计已出现事实</x:v>
      </x:c>
    </x:row>
    <x:row r="159" ht="44" customHeight="1">
      <x:c r="A159" s="13" t="str">
        <x:v>OLD-GS-001-019</x:v>
      </x:c>
      <x:c r="B159" s="13" t="str">
        <x:v>GS-001</x:v>
      </x:c>
      <x:c r="C159" s="13" t="str">
        <x:v>【工伤医疗类】案例标注.xlsx</x:v>
      </x:c>
      <x:c r="D159" s="13" t="str">
        <x:v>样例1</x:v>
      </x:c>
      <x:c r="E159" s="13" t="n">
        <x:v>19</x:v>
      </x:c>
      <x:c r="F159" s="13" t="str">
        <x:v>工伤认定日期</x:v>
      </x:c>
      <x:c r="G159" s="13" t="n">
        <x:v>45681</x:v>
      </x:c>
      <x:c r="H159" s="13" t="str">
        <x:v>条件保留</x:v>
      </x:c>
      <x:c r="I159" s="13" t="str">
        <x:v>基本事实</x:v>
      </x:c>
      <x:c r="J159" s="13" t="str">
        <x:v>一般可概括为“2025年被认定为工伤”；需要完整时间线时保留</x:v>
      </x:c>
      <x:c r="K159" s="9" t="str">
        <x:v>待核验</x:v>
      </x:c>
      <x:c r="L159" s="11" t="str">
        <x:v>B列数字保持原始类型；条件清单不计已出现事实</x:v>
      </x:c>
    </x:row>
    <x:row r="160" ht="44" customHeight="1">
      <x:c r="A160" s="13" t="str">
        <x:v>OLD-GS-001-020</x:v>
      </x:c>
      <x:c r="B160" s="13" t="str">
        <x:v>GS-001</x:v>
      </x:c>
      <x:c r="C160" s="13" t="str">
        <x:v>【工伤医疗类】案例标注.xlsx</x:v>
      </x:c>
      <x:c r="D160" s="13" t="str">
        <x:v>样例1</x:v>
      </x:c>
      <x:c r="E160" s="13" t="n">
        <x:v>20</x:v>
      </x:c>
      <x:c r="F160" s="13" t="str">
        <x:v>工伤认定结果</x:v>
      </x:c>
      <x:c r="G160" s="13" t="str">
        <x:v>李某所受事故伤害被认定为工伤</x:v>
      </x:c>
      <x:c r="H160" s="13" t="str">
        <x:v>必须保留</x:v>
      </x:c>
      <x:c r="I160" s="13" t="str">
        <x:v>基本事实、争议焦点一</x:v>
      </x:c>
      <x:c r="J160" s="13" t="str">
        <x:v>改为“劳动者B所受事故伤害被依法认定为工伤”</x:v>
      </x:c>
      <x:c r="K160" s="9" t="str">
        <x:v>待核验</x:v>
      </x:c>
      <x:c r="L160" s="11" t="str">
        <x:v>B列数字保持原始类型；条件清单不计已出现事实</x:v>
      </x:c>
    </x:row>
    <x:row r="161" ht="44" customHeight="1">
      <x:c r="A161" s="13" t="str">
        <x:v>OLD-GS-001-021</x:v>
      </x:c>
      <x:c r="B161" s="13" t="str">
        <x:v>GS-001</x:v>
      </x:c>
      <x:c r="C161" s="13" t="str">
        <x:v>【工伤医疗类】案例标注.xlsx</x:v>
      </x:c>
      <x:c r="D161" s="13" t="str">
        <x:v>样例1</x:v>
      </x:c>
      <x:c r="E161" s="13" t="n">
        <x:v>21</x:v>
      </x:c>
      <x:c r="F161" s="13" t="str">
        <x:v>工伤认定机关名称</x:v>
      </x:c>
      <x:c r="G161" s="13" t="str">
        <x:v>北京经济技术开发区社会事业局</x:v>
      </x:c>
      <x:c r="H161" s="13" t="str">
        <x:v>条件保留</x:v>
      </x:c>
      <x:c r="I161" s="13" t="str">
        <x:v>工伤认定材料</x:v>
      </x:c>
      <x:c r="J161" s="13" t="str">
        <x:v>一般改为“有关行政部门”</x:v>
      </x:c>
      <x:c r="K161" s="9" t="str">
        <x:v>待核验</x:v>
      </x:c>
      <x:c r="L161" s="11" t="str">
        <x:v>B列数字保持原始类型；条件清单不计已出现事实</x:v>
      </x:c>
    </x:row>
    <x:row r="162" ht="44" customHeight="1">
      <x:c r="A162" s="13" t="str">
        <x:v>OLD-GS-001-022</x:v>
      </x:c>
      <x:c r="B162" s="13" t="str">
        <x:v>GS-001</x:v>
      </x:c>
      <x:c r="C162" s="13" t="str">
        <x:v>【工伤医疗类】案例标注.xlsx</x:v>
      </x:c>
      <x:c r="D162" s="13" t="str">
        <x:v>样例1</x:v>
      </x:c>
      <x:c r="E162" s="13" t="n">
        <x:v>22</x:v>
      </x:c>
      <x:c r="F162" s="13" t="str">
        <x:v>工伤认定决定书</x:v>
      </x:c>
      <x:c r="G162" s="13" t="str">
        <x:v>原始《工伤认定决定书》</x:v>
      </x:c>
      <x:c r="H162" s="13" t="str">
        <x:v>转人工</x:v>
      </x:c>
      <x:c r="I162" s="13" t="str">
        <x:v>工伤证据</x:v>
      </x:c>
      <x:c r="J162" s="13" t="str">
        <x:v>只提取工伤认定结果、日期及必要事实；不发送完整原件</x:v>
      </x:c>
      <x:c r="K162" s="9" t="str">
        <x:v>待核验</x:v>
      </x:c>
      <x:c r="L162" s="11" t="str">
        <x:v>B列数字保持原始类型；条件清单不计已出现事实</x:v>
      </x:c>
    </x:row>
    <x:row r="163" ht="44" customHeight="1">
      <x:c r="A163" s="13" t="str">
        <x:v>OLD-GS-001-023</x:v>
      </x:c>
      <x:c r="B163" s="13" t="str">
        <x:v>GS-001</x:v>
      </x:c>
      <x:c r="C163" s="13" t="str">
        <x:v>【工伤医疗类】案例标注.xlsx</x:v>
      </x:c>
      <x:c r="D163" s="13" t="str">
        <x:v>样例1</x:v>
      </x:c>
      <x:c r="E163" s="13" t="n">
        <x:v>23</x:v>
      </x:c>
      <x:c r="F163" s="13" t="str">
        <x:v>工伤事故地点/路线</x:v>
      </x:c>
      <x:c r="G163" s="13" t="str">
        <x:v>公司主张事故地点并非李某通常回家路线</x:v>
      </x:c>
      <x:c r="H163" s="13" t="str">
        <x:v>必须保留</x:v>
      </x:c>
      <x:c r="I163" s="13" t="str">
        <x:v>公司上诉理由</x:v>
      </x:c>
      <x:c r="J163" s="13" t="str">
        <x:v>保留为公司对工伤认定提出异议的核心理由；无需保留具体地点</x:v>
      </x:c>
      <x:c r="K163" s="9" t="str">
        <x:v>待核验</x:v>
      </x:c>
      <x:c r="L163" s="11" t="str">
        <x:v>B列数字保持原始类型；条件清单不计已出现事实</x:v>
      </x:c>
    </x:row>
    <x:row r="164" ht="44" customHeight="1">
      <x:c r="A164" s="13" t="str">
        <x:v>OLD-GS-001-024</x:v>
      </x:c>
      <x:c r="B164" s="13" t="str">
        <x:v>GS-001</x:v>
      </x:c>
      <x:c r="C164" s="13" t="str">
        <x:v>【工伤医疗类】案例标注.xlsx</x:v>
      </x:c>
      <x:c r="D164" s="13" t="str">
        <x:v>样例1</x:v>
      </x:c>
      <x:c r="E164" s="13" t="n">
        <x:v>24</x:v>
      </x:c>
      <x:c r="F164" s="13" t="str">
        <x:v>具体事故地点</x:v>
      </x:c>
      <x:c r="G164" s="13" t="str">
        <x:v>如原始工伤材料中存在</x:v>
      </x:c>
      <x:c r="H164" s="13" t="str">
        <x:v>条件保留</x:v>
      </x:c>
      <x:c r="I164" s="13" t="str">
        <x:v>工伤材料</x:v>
      </x:c>
      <x:c r="J164" s="13" t="str">
        <x:v>本案仅需保留“公司认为不属于通常回家路线”，无需外发精确地址</x:v>
      </x:c>
      <x:c r="K164" s="9" t="str">
        <x:v>待核验</x:v>
      </x:c>
      <x:c r="L164" s="11" t="str">
        <x:v>B列数字保持原始类型；条件清单不计已出现事实</x:v>
      </x:c>
    </x:row>
    <x:row r="165" ht="44" customHeight="1">
      <x:c r="A165" s="13" t="str">
        <x:v>OLD-GS-001-025</x:v>
      </x:c>
      <x:c r="B165" s="13" t="str">
        <x:v>GS-001</x:v>
      </x:c>
      <x:c r="C165" s="13" t="str">
        <x:v>【工伤医疗类】案例标注.xlsx</x:v>
      </x:c>
      <x:c r="D165" s="13" t="str">
        <x:v>样例1</x:v>
      </x:c>
      <x:c r="E165" s="13" t="n">
        <x:v>25</x:v>
      </x:c>
      <x:c r="F165" s="13" t="str">
        <x:v>劳动能力鉴定日期</x:v>
      </x:c>
      <x:c r="G165" s="13" t="n">
        <x:v>45742</x:v>
      </x:c>
      <x:c r="H165" s="13" t="str">
        <x:v>条件保留</x:v>
      </x:c>
      <x:c r="I165" s="13" t="str">
        <x:v>基本事实</x:v>
      </x:c>
      <x:c r="J165" s="13" t="str">
        <x:v>一般可概括为“2025年经劳动能力鉴定”</x:v>
      </x:c>
      <x:c r="K165" s="9" t="str">
        <x:v>待核验</x:v>
      </x:c>
      <x:c r="L165" s="11" t="str">
        <x:v>B列数字保持原始类型；条件清单不计已出现事实</x:v>
      </x:c>
    </x:row>
    <x:row r="166" ht="44" customHeight="1">
      <x:c r="A166" s="13" t="str">
        <x:v>OLD-GS-001-026</x:v>
      </x:c>
      <x:c r="B166" s="13" t="str">
        <x:v>GS-001</x:v>
      </x:c>
      <x:c r="C166" s="13" t="str">
        <x:v>【工伤医疗类】案例标注.xlsx</x:v>
      </x:c>
      <x:c r="D166" s="13" t="str">
        <x:v>样例1</x:v>
      </x:c>
      <x:c r="E166" s="13" t="n">
        <x:v>26</x:v>
      </x:c>
      <x:c r="F166" s="13" t="str">
        <x:v>伤残等级</x:v>
      </x:c>
      <x:c r="G166" s="13" t="str">
        <x:v>十级</x:v>
      </x:c>
      <x:c r="H166" s="13" t="str">
        <x:v>必须保留</x:v>
      </x:c>
      <x:c r="I166" s="13" t="str">
        <x:v>工伤待遇认定</x:v>
      </x:c>
      <x:c r="J166" s="13" t="str">
        <x:v>保留“工伤十级”</x:v>
      </x:c>
      <x:c r="K166" s="9" t="str">
        <x:v>待核验</x:v>
      </x:c>
      <x:c r="L166" s="11" t="str">
        <x:v>B列数字保持原始类型；条件清单不计已出现事实</x:v>
      </x:c>
    </x:row>
    <x:row r="167" ht="44" customHeight="1">
      <x:c r="A167" s="13" t="str">
        <x:v>OLD-GS-001-027</x:v>
      </x:c>
      <x:c r="B167" s="13" t="str">
        <x:v>GS-001</x:v>
      </x:c>
      <x:c r="C167" s="13" t="str">
        <x:v>【工伤医疗类】案例标注.xlsx</x:v>
      </x:c>
      <x:c r="D167" s="13" t="str">
        <x:v>样例1</x:v>
      </x:c>
      <x:c r="E167" s="13" t="n">
        <x:v>27</x:v>
      </x:c>
      <x:c r="F167" s="13" t="str">
        <x:v>劳动能力鉴定材料</x:v>
      </x:c>
      <x:c r="G167" s="13" t="str">
        <x:v>原始鉴定通知书</x:v>
      </x:c>
      <x:c r="H167" s="13" t="str">
        <x:v>转人工</x:v>
      </x:c>
      <x:c r="I167" s="13" t="str">
        <x:v>工伤证据</x:v>
      </x:c>
      <x:c r="J167" s="13" t="str">
        <x:v>仅提取十级伤残结论及必要信息</x:v>
      </x:c>
      <x:c r="K167" s="9" t="str">
        <x:v>待核验</x:v>
      </x:c>
      <x:c r="L167" s="11" t="str">
        <x:v>B列数字保持原始类型；条件清单不计已出现事实</x:v>
      </x:c>
    </x:row>
    <x:row r="168" ht="44" customHeight="1">
      <x:c r="A168" s="13" t="str">
        <x:v>OLD-GS-001-028</x:v>
      </x:c>
      <x:c r="B168" s="13" t="str">
        <x:v>GS-001</x:v>
      </x:c>
      <x:c r="C168" s="13" t="str">
        <x:v>【工伤医疗类】案例标注.xlsx</x:v>
      </x:c>
      <x:c r="D168" s="13" t="str">
        <x:v>样例1</x:v>
      </x:c>
      <x:c r="E168" s="13" t="n">
        <x:v>28</x:v>
      </x:c>
      <x:c r="F168" s="13" t="str">
        <x:v>公司未提行政复议/行政诉讼</x:v>
      </x:c>
      <x:c r="G168" s="13" t="str">
        <x:v>公司未对工伤认定及伤残等级认定提起相应救济</x:v>
      </x:c>
      <x:c r="H168" s="13" t="str">
        <x:v>必须保留</x:v>
      </x:c>
      <x:c r="I168" s="13" t="str">
        <x:v>争议焦点一、法院说理</x:v>
      </x:c>
      <x:c r="J168" s="13" t="str">
        <x:v>保留，是法院认定相关决定已经发生法律效力的重要事实</x:v>
      </x:c>
      <x:c r="K168" s="9" t="str">
        <x:v>待核验</x:v>
      </x:c>
      <x:c r="L168" s="11" t="str">
        <x:v>B列数字保持原始类型；条件清单不计已出现事实</x:v>
      </x:c>
    </x:row>
    <x:row r="169" ht="44" customHeight="1">
      <x:c r="A169" s="13" t="str">
        <x:v>OLD-GS-001-029</x:v>
      </x:c>
      <x:c r="B169" s="13" t="str">
        <x:v>GS-001</x:v>
      </x:c>
      <x:c r="C169" s="13" t="str">
        <x:v>【工伤医疗类】案例标注.xlsx</x:v>
      </x:c>
      <x:c r="D169" s="13" t="str">
        <x:v>样例1</x:v>
      </x:c>
      <x:c r="E169" s="13" t="n">
        <x:v>29</x:v>
      </x:c>
      <x:c r="F169" s="13" t="str">
        <x:v>一次性伤残就业补助金</x:v>
      </x:c>
      <x:c r="G169" s="13" t="str">
        <x:v>35649元</x:v>
      </x:c>
      <x:c r="H169" s="13" t="str">
        <x:v>必须保留</x:v>
      </x:c>
      <x:c r="I169" s="13" t="str">
        <x:v>仲裁、一审、二审争议</x:v>
      </x:c>
      <x:c r="J169" s="13" t="str">
        <x:v>保留精确金额</x:v>
      </x:c>
      <x:c r="K169" s="9" t="str">
        <x:v>待核验</x:v>
      </x:c>
      <x:c r="L169" s="11" t="str">
        <x:v>B列数字保持原始类型；条件清单不计已出现事实</x:v>
      </x:c>
    </x:row>
    <x:row r="170" ht="44" customHeight="1">
      <x:c r="A170" s="13" t="str">
        <x:v>OLD-GS-001-030</x:v>
      </x:c>
      <x:c r="B170" s="13" t="str">
        <x:v>GS-001</x:v>
      </x:c>
      <x:c r="C170" s="13" t="str">
        <x:v>【工伤医疗类】案例标注.xlsx</x:v>
      </x:c>
      <x:c r="D170" s="13" t="str">
        <x:v>样例1</x:v>
      </x:c>
      <x:c r="E170" s="13" t="n">
        <x:v>30</x:v>
      </x:c>
      <x:c r="F170" s="13" t="str">
        <x:v>公司经营困难事实</x:v>
      </x:c>
      <x:c r="G170" s="13" t="str">
        <x:v>拖欠全体员工工资14个月、2025年度亏损171万元、资金链断裂</x:v>
      </x:c>
      <x:c r="H170" s="13" t="str">
        <x:v>条件保留</x:v>
      </x:c>
      <x:c r="I170" s="13" t="str">
        <x:v>公司抗辩</x:v>
      </x:c>
      <x:c r="J170" s="13" t="str">
        <x:v>建议保留概括为“公司主张经营严重困难、长期欠薪并持续亏损”；精确亏损171万元通常非必要</x:v>
      </x:c>
      <x:c r="K170" s="9" t="str">
        <x:v>待核验</x:v>
      </x:c>
      <x:c r="L170" s="11" t="str">
        <x:v>B列数字保持原始类型；条件清单不计已出现事实</x:v>
      </x:c>
    </x:row>
    <x:row r="171" ht="44" customHeight="1">
      <x:c r="A171" s="13" t="str">
        <x:v>OLD-GS-001-031</x:v>
      </x:c>
      <x:c r="B171" s="13" t="str">
        <x:v>GS-001</x:v>
      </x:c>
      <x:c r="C171" s="13" t="str">
        <x:v>【工伤医疗类】案例标注.xlsx</x:v>
      </x:c>
      <x:c r="D171" s="13" t="str">
        <x:v>样例1</x:v>
      </x:c>
      <x:c r="E171" s="13" t="n">
        <x:v>31</x:v>
      </x:c>
      <x:c r="F171" s="13" t="str">
        <x:v>拖欠员工工资时长</x:v>
      </x:c>
      <x:c r="G171" s="13" t="str">
        <x:v>14个月</x:v>
      </x:c>
      <x:c r="H171" s="13" t="str">
        <x:v>条件保留</x:v>
      </x:c>
      <x:c r="I171" s="13" t="str">
        <x:v>公司抗辩</x:v>
      </x:c>
      <x:c r="J171" s="13" t="str">
        <x:v>可概括为“长期拖欠员工工资”；若分析公司所谓经营困难程度时再保留精确月数</x:v>
      </x:c>
      <x:c r="K171" s="9" t="str">
        <x:v>待核验</x:v>
      </x:c>
      <x:c r="L171" s="11" t="str">
        <x:v>B列数字保持原始类型；条件清单不计已出现事实</x:v>
      </x:c>
    </x:row>
    <x:row r="172" ht="44" customHeight="1">
      <x:c r="A172" s="13" t="str">
        <x:v>OLD-GS-001-032</x:v>
      </x:c>
      <x:c r="B172" s="13" t="str">
        <x:v>GS-001</x:v>
      </x:c>
      <x:c r="C172" s="13" t="str">
        <x:v>【工伤医疗类】案例标注.xlsx</x:v>
      </x:c>
      <x:c r="D172" s="13" t="str">
        <x:v>样例1</x:v>
      </x:c>
      <x:c r="E172" s="13" t="n">
        <x:v>32</x:v>
      </x:c>
      <x:c r="F172" s="13" t="str">
        <x:v>公司年度亏损</x:v>
      </x:c>
      <x:c r="G172" s="13" t="str">
        <x:v>2025年度亏损171万元</x:v>
      </x:c>
      <x:c r="H172" s="13" t="str">
        <x:v>条件保留</x:v>
      </x:c>
      <x:c r="I172" s="13" t="str">
        <x:v>公司抗辩</x:v>
      </x:c>
      <x:c r="J172" s="13" t="str">
        <x:v>一般泛化为“公司主张2025年度存在较大经营亏损”</x:v>
      </x:c>
      <x:c r="K172" s="9" t="str">
        <x:v>待核验</x:v>
      </x:c>
      <x:c r="L172" s="11" t="str">
        <x:v>B列数字保持原始类型；条件清单不计已出现事实</x:v>
      </x:c>
    </x:row>
    <x:row r="173" ht="44" customHeight="1">
      <x:c r="A173" s="13" t="str">
        <x:v>OLD-GS-001-033</x:v>
      </x:c>
      <x:c r="B173" s="13" t="str">
        <x:v>GS-001</x:v>
      </x:c>
      <x:c r="C173" s="13" t="str">
        <x:v>【工伤医疗类】案例标注.xlsx</x:v>
      </x:c>
      <x:c r="D173" s="13" t="str">
        <x:v>样例1</x:v>
      </x:c>
      <x:c r="E173" s="13" t="n">
        <x:v>33</x:v>
      </x:c>
      <x:c r="F173" s="13" t="str">
        <x:v>公司财务材料</x:v>
      </x:c>
      <x:c r="G173" s="13" t="str">
        <x:v>证明经营困难的财务证据</x:v>
      </x:c>
      <x:c r="H173" s="13" t="str">
        <x:v>转人工</x:v>
      </x:c>
      <x:c r="I173" s="13" t="str">
        <x:v>公司证据</x:v>
      </x:c>
      <x:c r="J173" s="13" t="str">
        <x:v>只提取“经营困难/亏损”的必要结论，删除账户、交易、员工信息等</x:v>
      </x:c>
      <x:c r="K173" s="9" t="str">
        <x:v>待核验</x:v>
      </x:c>
      <x:c r="L173" s="11" t="str">
        <x:v>B列数字保持原始类型；条件清单不计已出现事实</x:v>
      </x:c>
    </x:row>
    <x:row r="174" ht="44" customHeight="1">
      <x:c r="A174" s="13" t="str">
        <x:v>OLD-GS-001-034</x:v>
      </x:c>
      <x:c r="B174" s="13" t="str">
        <x:v>GS-001</x:v>
      </x:c>
      <x:c r="C174" s="13" t="str">
        <x:v>【工伤医疗类】案例标注.xlsx</x:v>
      </x:c>
      <x:c r="D174" s="13" t="str">
        <x:v>样例1</x:v>
      </x:c>
      <x:c r="E174" s="13" t="n">
        <x:v>34</x:v>
      </x:c>
      <x:c r="F174" s="13" t="str">
        <x:v>公司关于补助金的抗辩</x:v>
      </x:c>
      <x:c r="G174" s="13" t="str">
        <x:v>经营困难、濒临破产，请求减免或分期支付</x:v>
      </x:c>
      <x:c r="H174" s="13" t="str">
        <x:v>必须保留</x:v>
      </x:c>
      <x:c r="I174" s="13" t="str">
        <x:v>争议焦点一</x:v>
      </x:c>
      <x:c r="J174" s="13" t="str">
        <x:v>保留核心抗辩</x:v>
      </x:c>
      <x:c r="K174" s="9" t="str">
        <x:v>待核验</x:v>
      </x:c>
      <x:c r="L174" s="11" t="str">
        <x:v>B列数字保持原始类型；条件清单不计已出现事实</x:v>
      </x:c>
    </x:row>
    <x:row r="175" ht="44" customHeight="1">
      <x:c r="A175" s="13" t="str">
        <x:v>OLD-GS-001-035</x:v>
      </x:c>
      <x:c r="B175" s="13" t="str">
        <x:v>GS-001</x:v>
      </x:c>
      <x:c r="C175" s="13" t="str">
        <x:v>【工伤医疗类】案例标注.xlsx</x:v>
      </x:c>
      <x:c r="D175" s="13" t="str">
        <x:v>样例1</x:v>
      </x:c>
      <x:c r="E175" s="13" t="n">
        <x:v>35</x:v>
      </x:c>
      <x:c r="F175" s="13" t="str">
        <x:v>公司对工伤认定的异议</x:v>
      </x:c>
      <x:c r="G175" s="13" t="str">
        <x:v>事故地点并非通常回家路线，不认可工伤认定</x:v>
      </x:c>
      <x:c r="H175" s="13" t="str">
        <x:v>必须保留</x:v>
      </x:c>
      <x:c r="I175" s="13" t="str">
        <x:v>争议焦点一</x:v>
      </x:c>
      <x:c r="J175" s="13" t="str">
        <x:v>保留</x:v>
      </x:c>
      <x:c r="K175" s="9" t="str">
        <x:v>待核验</x:v>
      </x:c>
      <x:c r="L175" s="11" t="str">
        <x:v>B列数字保持原始类型；条件清单不计已出现事实</x:v>
      </x:c>
    </x:row>
    <x:row r="176" ht="44" customHeight="1">
      <x:c r="A176" s="13" t="str">
        <x:v>OLD-GS-001-036</x:v>
      </x:c>
      <x:c r="B176" s="13" t="str">
        <x:v>GS-001</x:v>
      </x:c>
      <x:c r="C176" s="13" t="str">
        <x:v>【工伤医疗类】案例标注.xlsx</x:v>
      </x:c>
      <x:c r="D176" s="13" t="str">
        <x:v>样例1</x:v>
      </x:c>
      <x:c r="E176" s="13" t="n">
        <x:v>36</x:v>
      </x:c>
      <x:c r="F176" s="13" t="str">
        <x:v>法院关于补助金的认定</x:v>
      </x:c>
      <x:c r="G176" s="13" t="str">
        <x:v>工伤认定及十级伤残鉴定已生效，经营困难不能成为不支付理由</x:v>
      </x:c>
      <x:c r="H176" s="13" t="str">
        <x:v>必须保留</x:v>
      </x:c>
      <x:c r="I176" s="13" t="str">
        <x:v>二审说理</x:v>
      </x:c>
      <x:c r="J176" s="13" t="str">
        <x:v>保留核心结论</x:v>
      </x:c>
      <x:c r="K176" s="9" t="str">
        <x:v>待核验</x:v>
      </x:c>
      <x:c r="L176" s="11" t="str">
        <x:v>B列数字保持原始类型；条件清单不计已出现事实</x:v>
      </x:c>
    </x:row>
    <x:row r="177" ht="44" customHeight="1">
      <x:c r="A177" s="13" t="str">
        <x:v>OLD-GS-001-037</x:v>
      </x:c>
      <x:c r="B177" s="13" t="str">
        <x:v>GS-001</x:v>
      </x:c>
      <x:c r="C177" s="13" t="str">
        <x:v>【工伤医疗类】案例标注.xlsx</x:v>
      </x:c>
      <x:c r="D177" s="13" t="str">
        <x:v>样例1</x:v>
      </x:c>
      <x:c r="E177" s="13" t="n">
        <x:v>37</x:v>
      </x:c>
      <x:c r="F177" s="13" t="str">
        <x:v>未休年休假争议期间</x:v>
      </x:c>
      <x:c r="G177" s="13" t="str">
        <x:v>2025年1月1日至4月17日</x:v>
      </x:c>
      <x:c r="H177" s="13" t="str">
        <x:v>必须保留</x:v>
      </x:c>
      <x:c r="I177" s="13" t="str">
        <x:v>诉讼请求、法院认定</x:v>
      </x:c>
      <x:c r="J177" s="13" t="str">
        <x:v>保留完整期间</x:v>
      </x:c>
      <x:c r="K177" s="9" t="str">
        <x:v>待核验</x:v>
      </x:c>
      <x:c r="L177" s="11" t="str">
        <x:v>B列数字保持原始类型；条件清单不计已出现事实</x:v>
      </x:c>
    </x:row>
    <x:row r="178" ht="44" customHeight="1">
      <x:c r="A178" s="13" t="str">
        <x:v>OLD-GS-001-038</x:v>
      </x:c>
      <x:c r="B178" s="13" t="str">
        <x:v>GS-001</x:v>
      </x:c>
      <x:c r="C178" s="13" t="str">
        <x:v>【工伤医疗类】案例标注.xlsx</x:v>
      </x:c>
      <x:c r="D178" s="13" t="str">
        <x:v>样例1</x:v>
      </x:c>
      <x:c r="E178" s="13" t="n">
        <x:v>38</x:v>
      </x:c>
      <x:c r="F178" s="13" t="str">
        <x:v>未休年休假天数</x:v>
      </x:c>
      <x:c r="G178" s="13" t="str">
        <x:v>2天</x:v>
      </x:c>
      <x:c r="H178" s="13" t="str">
        <x:v>必须保留</x:v>
      </x:c>
      <x:c r="I178" s="13" t="str">
        <x:v>法院认定</x:v>
      </x:c>
      <x:c r="J178" s="13" t="str">
        <x:v>保留</x:v>
      </x:c>
      <x:c r="K178" s="9" t="str">
        <x:v>待核验</x:v>
      </x:c>
      <x:c r="L178" s="11" t="str">
        <x:v>B列数字保持原始类型；条件清单不计已出现事实</x:v>
      </x:c>
    </x:row>
    <x:row r="179" ht="44" customHeight="1">
      <x:c r="A179" s="13" t="str">
        <x:v>OLD-GS-001-039</x:v>
      </x:c>
      <x:c r="B179" s="13" t="str">
        <x:v>GS-001</x:v>
      </x:c>
      <x:c r="C179" s="13" t="str">
        <x:v>【工伤医疗类】案例标注.xlsx</x:v>
      </x:c>
      <x:c r="D179" s="13" t="str">
        <x:v>样例1</x:v>
      </x:c>
      <x:c r="E179" s="13" t="n">
        <x:v>39</x:v>
      </x:c>
      <x:c r="F179" s="13" t="str">
        <x:v>未休年休假工资</x:v>
      </x:c>
      <x:c r="G179" s="13" t="str">
        <x:v>2298.85元（税前）</x:v>
      </x:c>
      <x:c r="H179" s="13" t="str">
        <x:v>必须保留</x:v>
      </x:c>
      <x:c r="I179" s="13" t="str">
        <x:v>仲裁、一审、二审</x:v>
      </x:c>
      <x:c r="J179" s="13" t="str">
        <x:v>保留精确金额及税前属性</x:v>
      </x:c>
      <x:c r="K179" s="9" t="str">
        <x:v>待核验</x:v>
      </x:c>
      <x:c r="L179" s="11" t="str">
        <x:v>B列数字保持原始类型；条件清单不计已出现事实</x:v>
      </x:c>
    </x:row>
    <x:row r="180" ht="44" customHeight="1">
      <x:c r="A180" s="13" t="str">
        <x:v>OLD-GS-001-040</x:v>
      </x:c>
      <x:c r="B180" s="13" t="str">
        <x:v>GS-001</x:v>
      </x:c>
      <x:c r="C180" s="13" t="str">
        <x:v>【工伤医疗类】案例标注.xlsx</x:v>
      </x:c>
      <x:c r="D180" s="13" t="str">
        <x:v>样例1</x:v>
      </x:c>
      <x:c r="E180" s="13" t="n">
        <x:v>40</x:v>
      </x:c>
      <x:c r="F180" s="13" t="str">
        <x:v>年休假工资计算基数</x:v>
      </x:c>
      <x:c r="G180" s="13" t="str">
        <x:v>12500元/月</x:v>
      </x:c>
      <x:c r="H180" s="13" t="str">
        <x:v>必须保留</x:v>
      </x:c>
      <x:c r="I180" s="13" t="str">
        <x:v>双方确认、法院计算</x:v>
      </x:c>
      <x:c r="J180" s="13" t="str">
        <x:v>保留</x:v>
      </x:c>
      <x:c r="K180" s="9" t="str">
        <x:v>待核验</x:v>
      </x:c>
      <x:c r="L180" s="11" t="str">
        <x:v>B列数字保持原始类型；条件清单不计已出现事实</x:v>
      </x:c>
    </x:row>
    <x:row r="181" ht="44" customHeight="1">
      <x:c r="A181" s="13" t="str">
        <x:v>OLD-GS-001-041</x:v>
      </x:c>
      <x:c r="B181" s="13" t="str">
        <x:v>GS-001</x:v>
      </x:c>
      <x:c r="C181" s="13" t="str">
        <x:v>【工伤医疗类】案例标注.xlsx</x:v>
      </x:c>
      <x:c r="D181" s="13" t="str">
        <x:v>样例1</x:v>
      </x:c>
      <x:c r="E181" s="13" t="n">
        <x:v>41</x:v>
      </x:c>
      <x:c r="F181" s="13" t="str">
        <x:v>公司关于未休年假的抗辩</x:v>
      </x:c>
      <x:c r="G181" s="13" t="str">
        <x:v>李某已获得未实际劳动期间的全额工资，再支付未休年休假工资属于“双重获利”</x:v>
      </x:c>
      <x:c r="H181" s="13" t="str">
        <x:v>必须保留</x:v>
      </x:c>
      <x:c r="I181" s="13" t="str">
        <x:v>争议焦点二</x:v>
      </x:c>
      <x:c r="J181" s="13" t="str">
        <x:v>保留核心主张</x:v>
      </x:c>
      <x:c r="K181" s="9" t="str">
        <x:v>待核验</x:v>
      </x:c>
      <x:c r="L181" s="11" t="str">
        <x:v>B列数字保持原始类型；条件清单不计已出现事实</x:v>
      </x:c>
    </x:row>
    <x:row r="182" ht="44" customHeight="1">
      <x:c r="A182" s="13" t="str">
        <x:v>OLD-GS-001-042</x:v>
      </x:c>
      <x:c r="B182" s="13" t="str">
        <x:v>GS-001</x:v>
      </x:c>
      <x:c r="C182" s="13" t="str">
        <x:v>【工伤医疗类】案例标注.xlsx</x:v>
      </x:c>
      <x:c r="D182" s="13" t="str">
        <x:v>样例1</x:v>
      </x:c>
      <x:c r="E182" s="13" t="n">
        <x:v>42</x:v>
      </x:c>
      <x:c r="F182" s="13" t="str">
        <x:v>公司关于未劳动期间性质的主张</x:v>
      </x:c>
      <x:c r="G182" s="13" t="str">
        <x:v>认为2025年1月26日至4月17日未提供劳动，实质等同于休假</x:v>
      </x:c>
      <x:c r="H182" s="13" t="str">
        <x:v>必须保留</x:v>
      </x:c>
      <x:c r="I182" s="13" t="str">
        <x:v>争议焦点二</x:v>
      </x:c>
      <x:c r="J182" s="13" t="str">
        <x:v>保留</x:v>
      </x:c>
      <x:c r="K182" s="9" t="str">
        <x:v>待核验</x:v>
      </x:c>
      <x:c r="L182" s="11" t="str">
        <x:v>B列数字保持原始类型；条件清单不计已出现事实</x:v>
      </x:c>
    </x:row>
    <x:row r="183" ht="44" customHeight="1">
      <x:c r="A183" s="13" t="str">
        <x:v>OLD-GS-001-043</x:v>
      </x:c>
      <x:c r="B183" s="13" t="str">
        <x:v>GS-001</x:v>
      </x:c>
      <x:c r="C183" s="13" t="str">
        <x:v>【工伤医疗类】案例标注.xlsx</x:v>
      </x:c>
      <x:c r="D183" s="13" t="str">
        <x:v>样例1</x:v>
      </x:c>
      <x:c r="E183" s="13" t="n">
        <x:v>43</x:v>
      </x:c>
      <x:c r="F183" s="13" t="str">
        <x:v>劳动者社保缴纳记录</x:v>
      </x:c>
      <x:c r="G183" s="13" t="str">
        <x:v>李某提交社保记录证明工作年限及年休假情况</x:v>
      </x:c>
      <x:c r="H183" s="13" t="str">
        <x:v>转人工</x:v>
      </x:c>
      <x:c r="I183" s="13" t="str">
        <x:v>年休假证据</x:v>
      </x:c>
      <x:c r="J183" s="13" t="str">
        <x:v>仅提取工作年限/年休假相关结论，删除社保账号、个人编号、缴费明细等</x:v>
      </x:c>
      <x:c r="K183" s="9" t="str">
        <x:v>待核验</x:v>
      </x:c>
      <x:c r="L183" s="11" t="str">
        <x:v>B列数字保持原始类型；条件清单不计已出现事实</x:v>
      </x:c>
    </x:row>
    <x:row r="184" ht="44" customHeight="1">
      <x:c r="A184" s="13" t="str">
        <x:v>OLD-GS-001-044</x:v>
      </x:c>
      <x:c r="B184" s="13" t="str">
        <x:v>GS-001</x:v>
      </x:c>
      <x:c r="C184" s="13" t="str">
        <x:v>【工伤医疗类】案例标注.xlsx</x:v>
      </x:c>
      <x:c r="D184" s="13" t="str">
        <x:v>样例1</x:v>
      </x:c>
      <x:c r="E184" s="13" t="n">
        <x:v>44</x:v>
      </x:c>
      <x:c r="F184" s="13" t="str">
        <x:v>社保账号、个人编号</x:v>
      </x:c>
      <x:c r="G184" s="13" t="str">
        <x:v>如材料中存在</x:v>
      </x:c>
      <x:c r="H184" s="13" t="str">
        <x:v>禁止外发</x:v>
      </x:c>
      <x:c r="I184" s="13" t="str">
        <x:v>社保材料</x:v>
      </x:c>
      <x:c r="J184" s="13" t="str">
        <x:v>完全删除</x:v>
      </x:c>
      <x:c r="K184" s="9" t="str">
        <x:v>待核验</x:v>
      </x:c>
      <x:c r="L184" s="11" t="str">
        <x:v>B列数字保持原始类型；条件清单不计已出现事实</x:v>
      </x:c>
    </x:row>
    <x:row r="185" ht="44" customHeight="1">
      <x:c r="A185" s="13" t="str">
        <x:v>OLD-GS-001-045</x:v>
      </x:c>
      <x:c r="B185" s="13" t="str">
        <x:v>GS-001</x:v>
      </x:c>
      <x:c r="C185" s="13" t="str">
        <x:v>【工伤医疗类】案例标注.xlsx</x:v>
      </x:c>
      <x:c r="D185" s="13" t="str">
        <x:v>样例1</x:v>
      </x:c>
      <x:c r="E185" s="13" t="n">
        <x:v>45</x:v>
      </x:c>
      <x:c r="F185" s="13" t="str">
        <x:v>公司是否安排年休假</x:v>
      </x:c>
      <x:c r="G185" s="13" t="str">
        <x:v>公司未提供证据证明已安排2025年度年休假</x:v>
      </x:c>
      <x:c r="H185" s="13" t="str">
        <x:v>必须保留</x:v>
      </x:c>
      <x:c r="I185" s="13" t="str">
        <x:v>法院说理</x:v>
      </x:c>
      <x:c r="J185" s="13" t="str">
        <x:v>保留，是公司承担举证不能后果的核心事实</x:v>
      </x:c>
      <x:c r="K185" s="9" t="str">
        <x:v>待核验</x:v>
      </x:c>
      <x:c r="L185" s="11" t="str">
        <x:v>B列数字保持原始类型；条件清单不计已出现事实</x:v>
      </x:c>
    </x:row>
    <x:row r="186" ht="44" customHeight="1">
      <x:c r="A186" s="13" t="str">
        <x:v>OLD-GS-001-046</x:v>
      </x:c>
      <x:c r="B186" s="13" t="str">
        <x:v>GS-001</x:v>
      </x:c>
      <x:c r="C186" s="13" t="str">
        <x:v>【工伤医疗类】案例标注.xlsx</x:v>
      </x:c>
      <x:c r="D186" s="13" t="str">
        <x:v>样例1</x:v>
      </x:c>
      <x:c r="E186" s="13" t="n">
        <x:v>46</x:v>
      </x:c>
      <x:c r="F186" s="13" t="str">
        <x:v>2025年1月1日至1月17日工资</x:v>
      </x:c>
      <x:c r="G186" s="13" t="str">
        <x:v>5001.19元（税后）</x:v>
      </x:c>
      <x:c r="H186" s="13" t="str">
        <x:v>条件保留</x:v>
      </x:c>
      <x:c r="I186" s="13" t="str">
        <x:v>仲裁结果、一审确认</x:v>
      </x:c>
      <x:c r="J186" s="13" t="str">
        <x:v>本身不是二审争议对象；需要说明仲裁整体结果时保留，否则可省略</x:v>
      </x:c>
      <x:c r="K186" s="9" t="str">
        <x:v>待核验</x:v>
      </x:c>
      <x:c r="L186" s="11" t="str">
        <x:v>B列数字保持原始类型；条件清单不计已出现事实</x:v>
      </x:c>
    </x:row>
    <x:row r="187" ht="44" customHeight="1">
      <x:c r="A187" s="13" t="str">
        <x:v>OLD-GS-001-047</x:v>
      </x:c>
      <x:c r="B187" s="13" t="str">
        <x:v>GS-001</x:v>
      </x:c>
      <x:c r="C187" s="13" t="str">
        <x:v>【工伤医疗类】案例标注.xlsx</x:v>
      </x:c>
      <x:c r="D187" s="13" t="str">
        <x:v>样例1</x:v>
      </x:c>
      <x:c r="E187" s="13" t="n">
        <x:v>47</x:v>
      </x:c>
      <x:c r="F187" s="13" t="str">
        <x:v>2025年1月26日至4月17日工资</x:v>
      </x:c>
      <x:c r="G187" s="13" t="str">
        <x:v>33045.98元（税前）</x:v>
      </x:c>
      <x:c r="H187" s="13" t="str">
        <x:v>必须保留</x:v>
      </x:c>
      <x:c r="I187" s="13" t="str">
        <x:v>仲裁、一审、公司上诉理由</x:v>
      </x:c>
      <x:c r="J187" s="13" t="str">
        <x:v>必须保留，因为它是公司主张“未休年假工资造成双重获利”的事实基础</x:v>
      </x:c>
      <x:c r="K187" s="9" t="str">
        <x:v>待核验</x:v>
      </x:c>
      <x:c r="L187" s="11" t="str">
        <x:v>B列数字保持原始类型；条件清单不计已出现事实</x:v>
      </x:c>
    </x:row>
    <x:row r="188" ht="44" customHeight="1">
      <x:c r="A188" s="13" t="str">
        <x:v>OLD-GS-001-048</x:v>
      </x:c>
      <x:c r="B188" s="13" t="str">
        <x:v>GS-001</x:v>
      </x:c>
      <x:c r="C188" s="13" t="str">
        <x:v>【工伤医疗类】案例标注.xlsx</x:v>
      </x:c>
      <x:c r="D188" s="13" t="str">
        <x:v>样例1</x:v>
      </x:c>
      <x:c r="E188" s="13" t="n">
        <x:v>48</x:v>
      </x:c>
      <x:c r="F188" s="13" t="str">
        <x:v>工资33045.98元是否为二审独立争议项</x:v>
      </x:c>
      <x:c r="G188" s="13" t="str">
        <x:v>不是，双方均未对此提起诉讼</x:v>
      </x:c>
      <x:c r="H188" s="13" t="str">
        <x:v>必须保留</x:v>
      </x:c>
      <x:c r="I188" s="13" t="str">
        <x:v>程序及争点说明</x:v>
      </x:c>
      <x:c r="J188" s="13" t="str">
        <x:v>保留“该工资本身已确定，并非二审独立争议对象”</x:v>
      </x:c>
      <x:c r="K188" s="9" t="str">
        <x:v>待核验</x:v>
      </x:c>
      <x:c r="L188" s="11" t="str">
        <x:v>B列数字保持原始类型；条件清单不计已出现事实</x:v>
      </x:c>
    </x:row>
    <x:row r="189" ht="44" customHeight="1">
      <x:c r="A189" s="13" t="str">
        <x:v>OLD-GS-001-049</x:v>
      </x:c>
      <x:c r="B189" s="13" t="str">
        <x:v>GS-001</x:v>
      </x:c>
      <x:c r="C189" s="13" t="str">
        <x:v>【工伤医疗类】案例标注.xlsx</x:v>
      </x:c>
      <x:c r="D189" s="13" t="str">
        <x:v>样例1</x:v>
      </x:c>
      <x:c r="E189" s="13" t="n">
        <x:v>49</x:v>
      </x:c>
      <x:c r="F189" s="13" t="str">
        <x:v>仲裁裁决日期</x:v>
      </x:c>
      <x:c r="G189" s="13" t="n">
        <x:v>45833</x:v>
      </x:c>
      <x:c r="H189" s="13" t="str">
        <x:v>条件保留</x:v>
      </x:c>
      <x:c r="I189" s="13" t="str">
        <x:v>程序部分</x:v>
      </x:c>
      <x:c r="J189" s="13" t="str">
        <x:v>普通实体分析可概括为“2025年仲裁裁决”</x:v>
      </x:c>
      <x:c r="K189" s="9" t="str">
        <x:v>待核验</x:v>
      </x:c>
      <x:c r="L189" s="11" t="str">
        <x:v>B列数字保持原始类型；条件清单不计已出现事实</x:v>
      </x:c>
    </x:row>
    <x:row r="190" ht="44" customHeight="1">
      <x:c r="A190" s="13" t="str">
        <x:v>OLD-GS-001-050</x:v>
      </x:c>
      <x:c r="B190" s="13" t="str">
        <x:v>GS-001</x:v>
      </x:c>
      <x:c r="C190" s="13" t="str">
        <x:v>【工伤医疗类】案例标注.xlsx</x:v>
      </x:c>
      <x:c r="D190" s="13" t="str">
        <x:v>样例1</x:v>
      </x:c>
      <x:c r="E190" s="13" t="n">
        <x:v>50</x:v>
      </x:c>
      <x:c r="F190" s="13" t="str">
        <x:v>仲裁结果</x:v>
      </x:c>
      <x:c r="G190" s="13" t="str">
        <x:v>支付补助金、两段工资及未休年休假工资</x:v>
      </x:c>
      <x:c r="H190" s="13" t="str">
        <x:v>必须保留</x:v>
      </x:c>
      <x:c r="I190" s="13" t="str">
        <x:v>程序部分</x:v>
      </x:c>
      <x:c r="J190" s="13" t="str">
        <x:v>保留与本案二审争议及背景工资有关的结果</x:v>
      </x:c>
      <x:c r="K190" s="9" t="str">
        <x:v>待核验</x:v>
      </x:c>
      <x:c r="L190" s="11" t="str">
        <x:v>B列数字保持原始类型；条件清单不计已出现事实</x:v>
      </x:c>
    </x:row>
    <x:row r="191" ht="44" customHeight="1">
      <x:c r="A191" s="13" t="str">
        <x:v>OLD-GS-001-051</x:v>
      </x:c>
      <x:c r="B191" s="13" t="str">
        <x:v>GS-001</x:v>
      </x:c>
      <x:c r="C191" s="13" t="str">
        <x:v>【工伤医疗类】案例标注.xlsx</x:v>
      </x:c>
      <x:c r="D191" s="13" t="str">
        <x:v>样例1</x:v>
      </x:c>
      <x:c r="E191" s="13" t="n">
        <x:v>51</x:v>
      </x:c>
      <x:c r="F191" s="13" t="str">
        <x:v>公司仅对仲裁第一、第四项起诉</x:v>
      </x:c>
      <x:c r="G191" s="13" t="str">
        <x:v>对35649元伤残就业补助金和2298.85元未休年假工资提出异议</x:v>
      </x:c>
      <x:c r="H191" s="13" t="str">
        <x:v>必须保留</x:v>
      </x:c>
      <x:c r="I191" s="13" t="str">
        <x:v>程序部分</x:v>
      </x:c>
      <x:c r="J191" s="13" t="str">
        <x:v>保留，这是区分真正争议项和已确定工资项的关键</x:v>
      </x:c>
      <x:c r="K191" s="9" t="str">
        <x:v>待核验</x:v>
      </x:c>
      <x:c r="L191" s="11" t="str">
        <x:v>B列数字保持原始类型；条件清单不计已出现事实</x:v>
      </x:c>
    </x:row>
    <x:row r="192" ht="44" customHeight="1">
      <x:c r="A192" s="13" t="str">
        <x:v>OLD-GS-001-052</x:v>
      </x:c>
      <x:c r="B192" s="13" t="str">
        <x:v>GS-001</x:v>
      </x:c>
      <x:c r="C192" s="13" t="str">
        <x:v>【工伤医疗类】案例标注.xlsx</x:v>
      </x:c>
      <x:c r="D192" s="13" t="str">
        <x:v>样例1</x:v>
      </x:c>
      <x:c r="E192" s="13" t="n">
        <x:v>52</x:v>
      </x:c>
      <x:c r="F192" s="13" t="str">
        <x:v>二审主要争点</x:v>
      </x:c>
      <x:c r="G192" s="13" t="str">
        <x:v>经营困难/工伤认定异议能否影响补助金支付；已获相关工资后是否仍可取得2天未休年假工资</x:v>
      </x:c>
      <x:c r="H192" s="13" t="str">
        <x:v>必须保留</x:v>
      </x:c>
      <x:c r="I192" s="13" t="str">
        <x:v>参考摘要、二审说理</x:v>
      </x:c>
      <x:c r="J192" s="13" t="str">
        <x:v>保留</x:v>
      </x:c>
      <x:c r="K192" s="9" t="str">
        <x:v>待核验</x:v>
      </x:c>
      <x:c r="L192" s="11" t="str">
        <x:v>B列数字保持原始类型；条件清单不计已出现事实</x:v>
      </x:c>
    </x:row>
    <x:row r="193" ht="44" customHeight="1">
      <x:c r="A193" s="13" t="str">
        <x:v>OLD-GS-001-053</x:v>
      </x:c>
      <x:c r="B193" s="13" t="str">
        <x:v>GS-001</x:v>
      </x:c>
      <x:c r="C193" s="13" t="str">
        <x:v>【工伤医疗类】案例标注.xlsx</x:v>
      </x:c>
      <x:c r="D193" s="13" t="str">
        <x:v>样例1</x:v>
      </x:c>
      <x:c r="E193" s="13" t="n">
        <x:v>53</x:v>
      </x:c>
      <x:c r="F193" s="13" t="str">
        <x:v>二审裁判结果</x:v>
      </x:c>
      <x:c r="G193" s="13" t="str">
        <x:v>驳回上诉，维持原判</x:v>
      </x:c>
      <x:c r="H193" s="13" t="str">
        <x:v>必须保留</x:v>
      </x:c>
      <x:c r="I193" s="13" t="str">
        <x:v>裁判结果</x:v>
      </x:c>
      <x:c r="J193" s="13" t="str">
        <x:v>保留</x:v>
      </x:c>
      <x:c r="K193" s="9" t="str">
        <x:v>待核验</x:v>
      </x:c>
      <x:c r="L193" s="11" t="str">
        <x:v>B列数字保持原始类型；条件清单不计已出现事实</x:v>
      </x:c>
    </x:row>
    <x:row r="194" ht="44" customHeight="1">
      <x:c r="A194" s="13" t="str">
        <x:v>OLD-GS-001-054</x:v>
      </x:c>
      <x:c r="B194" s="13" t="str">
        <x:v>GS-001</x:v>
      </x:c>
      <x:c r="C194" s="13" t="str">
        <x:v>【工伤医疗类】案例标注.xlsx</x:v>
      </x:c>
      <x:c r="D194" s="13" t="str">
        <x:v>样例1</x:v>
      </x:c>
      <x:c r="E194" s="13" t="n">
        <x:v>54</x:v>
      </x:c>
      <x:c r="F194" s="13" t="str">
        <x:v>身份证号</x:v>
      </x:c>
      <x:c r="G194" s="13" t="str">
        <x:v>如原始材料中存在</x:v>
      </x:c>
      <x:c r="H194" s="13" t="str">
        <x:v>禁止外发</x:v>
      </x:c>
      <x:c r="I194" s="13" t="str">
        <x:v>劳动合同、社保、工伤材料</x:v>
      </x:c>
      <x:c r="J194" s="13" t="str">
        <x:v>完全删除</x:v>
      </x:c>
      <x:c r="K194" s="9" t="str">
        <x:v>待核验</x:v>
      </x:c>
      <x:c r="L194" s="11" t="str">
        <x:v>B列数字保持原始类型；条件清单不计已出现事实</x:v>
      </x:c>
    </x:row>
    <x:row r="195" ht="44" customHeight="1">
      <x:c r="A195" s="13" t="str">
        <x:v>OLD-GS-001-055</x:v>
      </x:c>
      <x:c r="B195" s="13" t="str">
        <x:v>GS-001</x:v>
      </x:c>
      <x:c r="C195" s="13" t="str">
        <x:v>【工伤医疗类】案例标注.xlsx</x:v>
      </x:c>
      <x:c r="D195" s="13" t="str">
        <x:v>样例1</x:v>
      </x:c>
      <x:c r="E195" s="13" t="n">
        <x:v>55</x:v>
      </x:c>
      <x:c r="F195" s="13" t="str">
        <x:v>手机号</x:v>
      </x:c>
      <x:c r="G195" s="13" t="str">
        <x:v>如原始材料中存在</x:v>
      </x:c>
      <x:c r="H195" s="13" t="str">
        <x:v>禁止外发</x:v>
      </x:c>
      <x:c r="I195" s="13" t="str">
        <x:v>原始材料</x:v>
      </x:c>
      <x:c r="J195" s="13" t="str">
        <x:v>完全删除</x:v>
      </x:c>
      <x:c r="K195" s="9" t="str">
        <x:v>待核验</x:v>
      </x:c>
      <x:c r="L195" s="11" t="str">
        <x:v>B列数字保持原始类型；条件清单不计已出现事实</x:v>
      </x:c>
    </x:row>
    <x:row r="196" ht="44" customHeight="1">
      <x:c r="A196" s="13" t="str">
        <x:v>OLD-GS-001-056</x:v>
      </x:c>
      <x:c r="B196" s="13" t="str">
        <x:v>GS-001</x:v>
      </x:c>
      <x:c r="C196" s="13" t="str">
        <x:v>【工伤医疗类】案例标注.xlsx</x:v>
      </x:c>
      <x:c r="D196" s="13" t="str">
        <x:v>样例1</x:v>
      </x:c>
      <x:c r="E196" s="13" t="n">
        <x:v>56</x:v>
      </x:c>
      <x:c r="F196" s="13" t="str">
        <x:v>详细住址</x:v>
      </x:c>
      <x:c r="G196" s="13" t="str">
        <x:v>如原始材料中存在</x:v>
      </x:c>
      <x:c r="H196" s="13" t="str">
        <x:v>禁止外发</x:v>
      </x:c>
      <x:c r="I196" s="13" t="str">
        <x:v>原始材料</x:v>
      </x:c>
      <x:c r="J196" s="13" t="str">
        <x:v>删除详细住址</x:v>
      </x:c>
      <x:c r="K196" s="9" t="str">
        <x:v>待核验</x:v>
      </x:c>
      <x:c r="L196" s="11" t="str">
        <x:v>B列数字保持原始类型；条件清单不计已出现事实</x:v>
      </x:c>
    </x:row>
    <x:row r="197" ht="44" customHeight="1">
      <x:c r="A197" s="13" t="str">
        <x:v>OLD-GS-001-057</x:v>
      </x:c>
      <x:c r="B197" s="13" t="str">
        <x:v>GS-001</x:v>
      </x:c>
      <x:c r="C197" s="13" t="str">
        <x:v>【工伤医疗类】案例标注.xlsx</x:v>
      </x:c>
      <x:c r="D197" s="13" t="str">
        <x:v>样例1</x:v>
      </x:c>
      <x:c r="E197" s="13" t="n">
        <x:v>57</x:v>
      </x:c>
      <x:c r="F197" s="13" t="str">
        <x:v>案件受理费</x:v>
      </x:c>
      <x:c r="G197" s="13" t="str">
        <x:v>10元</x:v>
      </x:c>
      <x:c r="H197" s="13" t="str">
        <x:v>默认删除</x:v>
      </x:c>
      <x:c r="I197" s="13" t="str">
        <x:v>裁判结果</x:v>
      </x:c>
      <x:c r="J197" s="13" t="str">
        <x:v>与核心争议无关，删除</x:v>
      </x:c>
      <x:c r="K197" s="9" t="str">
        <x:v>待核验</x:v>
      </x:c>
      <x:c r="L197" s="11" t="str">
        <x:v>B列数字保持原始类型；条件清单不计已出现事实</x:v>
      </x:c>
    </x:row>
    <x:row r="198" ht="44" customHeight="1">
      <x:c r="A198" s="13" t="str">
        <x:v>OLD-GS-002-002</x:v>
      </x:c>
      <x:c r="B198" s="13" t="str">
        <x:v>GS-002</x:v>
      </x:c>
      <x:c r="C198" s="13" t="str">
        <x:v>【工伤医疗类】案例标注.xlsx</x:v>
      </x:c>
      <x:c r="D198" s="13" t="str">
        <x:v>样例2</x:v>
      </x:c>
      <x:c r="E198" s="13" t="n">
        <x:v>2</x:v>
      </x:c>
      <x:c r="F198" s="13" t="str">
        <x:v>劳动者真实姓名</x:v>
      </x:c>
      <x:c r="G198" s="13" t="str">
        <x:v>陆某</x:v>
      </x:c>
      <x:c r="H198" s="13" t="str">
        <x:v>假名化保留</x:v>
      </x:c>
      <x:c r="I198" s="13" t="str">
        <x:v>全文</x:v>
      </x:c>
      <x:c r="J198" s="13" t="str">
        <x:v>统一替换为“劳动者B”</x:v>
      </x:c>
      <x:c r="K198" s="9" t="str">
        <x:v>待核验</x:v>
      </x:c>
      <x:c r="L198" s="11" t="str">
        <x:v>B列数字保持原始类型；条件清单不计已出现事实</x:v>
      </x:c>
    </x:row>
    <x:row r="199" ht="44" customHeight="1">
      <x:c r="A199" s="13" t="str">
        <x:v>OLD-GS-002-003</x:v>
      </x:c>
      <x:c r="B199" s="13" t="str">
        <x:v>GS-002</x:v>
      </x:c>
      <x:c r="C199" s="13" t="str">
        <x:v>【工伤医疗类】案例标注.xlsx</x:v>
      </x:c>
      <x:c r="D199" s="13" t="str">
        <x:v>样例2</x:v>
      </x:c>
      <x:c r="E199" s="13" t="n">
        <x:v>3</x:v>
      </x:c>
      <x:c r="F199" s="13" t="str">
        <x:v>公司名称</x:v>
      </x:c>
      <x:c r="G199" s="13" t="str">
        <x:v>某公司</x:v>
      </x:c>
      <x:c r="H199" s="13" t="str">
        <x:v>假名化保留</x:v>
      </x:c>
      <x:c r="I199" s="13" t="str">
        <x:v>全文</x:v>
      </x:c>
      <x:c r="J199" s="13" t="str">
        <x:v>统一替换为“公司A”</x:v>
      </x:c>
      <x:c r="K199" s="9" t="str">
        <x:v>待核验</x:v>
      </x:c>
      <x:c r="L199" s="11" t="str">
        <x:v>B列数字保持原始类型；条件清单不计已出现事实</x:v>
      </x:c>
    </x:row>
    <x:row r="200" ht="44" customHeight="1">
      <x:c r="A200" s="13" t="str">
        <x:v>OLD-GS-002-004</x:v>
      </x:c>
      <x:c r="B200" s="13" t="str">
        <x:v>GS-002</x:v>
      </x:c>
      <x:c r="C200" s="13" t="str">
        <x:v>【工伤医疗类】案例标注.xlsx</x:v>
      </x:c>
      <x:c r="D200" s="13" t="str">
        <x:v>样例2</x:v>
      </x:c>
      <x:c r="E200" s="13" t="n">
        <x:v>4</x:v>
      </x:c>
      <x:c r="F200" s="13" t="str">
        <x:v>案外自然人姓名</x:v>
      </x:c>
      <x:c r="G200" s="13" t="str">
        <x:v>吴某</x:v>
      </x:c>
      <x:c r="H200" s="13" t="str">
        <x:v>假名化保留</x:v>
      </x:c>
      <x:c r="I200" s="13" t="str">
        <x:v>用工关系、违法分包部分</x:v>
      </x:c>
      <x:c r="J200" s="13" t="str">
        <x:v>改为“自然人C”或“包工人C”</x:v>
      </x:c>
      <x:c r="K200" s="9" t="str">
        <x:v>待核验</x:v>
      </x:c>
      <x:c r="L200" s="11" t="str">
        <x:v>B列数字保持原始类型；条件清单不计已出现事实</x:v>
      </x:c>
    </x:row>
    <x:row r="201" ht="44" customHeight="1">
      <x:c r="A201" s="13" t="str">
        <x:v>OLD-GS-002-005</x:v>
      </x:c>
      <x:c r="B201" s="13" t="str">
        <x:v>GS-002</x:v>
      </x:c>
      <x:c r="C201" s="13" t="str">
        <x:v>【工伤医疗类】案例标注.xlsx</x:v>
      </x:c>
      <x:c r="D201" s="13" t="str">
        <x:v>样例2</x:v>
      </x:c>
      <x:c r="E201" s="13" t="n">
        <x:v>5</x:v>
      </x:c>
      <x:c r="F201" s="13" t="str">
        <x:v>审判人员姓名</x:v>
      </x:c>
      <x:c r="G201" s="13" t="str">
        <x:v>文书末尾审判长、审判员姓名</x:v>
      </x:c>
      <x:c r="H201" s="13" t="str">
        <x:v>默认删除</x:v>
      </x:c>
      <x:c r="I201" s="13" t="str">
        <x:v>案件首部</x:v>
      </x:c>
      <x:c r="J201" s="13" t="str">
        <x:v>删除</x:v>
      </x:c>
      <x:c r="K201" s="9" t="str">
        <x:v>待核验</x:v>
      </x:c>
      <x:c r="L201" s="11" t="str">
        <x:v>B列数字保持原始类型；条件清单不计已出现事实</x:v>
      </x:c>
    </x:row>
    <x:row r="202" ht="44" customHeight="1">
      <x:c r="A202" s="13" t="str">
        <x:v>OLD-GS-002-006</x:v>
      </x:c>
      <x:c r="B202" s="13" t="str">
        <x:v>GS-002</x:v>
      </x:c>
      <x:c r="C202" s="13" t="str">
        <x:v>【工伤医疗类】案例标注.xlsx</x:v>
      </x:c>
      <x:c r="D202" s="13" t="str">
        <x:v>样例2</x:v>
      </x:c>
      <x:c r="E202" s="13" t="n">
        <x:v>6</x:v>
      </x:c>
      <x:c r="F202" s="13" t="str">
        <x:v>委托诉讼代理人姓名</x:v>
      </x:c>
      <x:c r="G202" s="13" t="str">
        <x:v>王某、毋某</x:v>
      </x:c>
      <x:c r="H202" s="13" t="str">
        <x:v>默认删除</x:v>
      </x:c>
      <x:c r="I202" s="13" t="str">
        <x:v>案件首部</x:v>
      </x:c>
      <x:c r="J202" s="13" t="str">
        <x:v>删除</x:v>
      </x:c>
      <x:c r="K202" s="9" t="str">
        <x:v>待核验</x:v>
      </x:c>
      <x:c r="L202" s="11" t="str">
        <x:v>B列数字保持原始类型；条件清单不计已出现事实</x:v>
      </x:c>
    </x:row>
    <x:row r="203" ht="44" customHeight="1">
      <x:c r="A203" s="13" t="str">
        <x:v>OLD-GS-002-007</x:v>
      </x:c>
      <x:c r="B203" s="13" t="str">
        <x:v>GS-002</x:v>
      </x:c>
      <x:c r="C203" s="13" t="str">
        <x:v>【工伤医疗类】案例标注.xlsx</x:v>
      </x:c>
      <x:c r="D203" s="13" t="str">
        <x:v>样例2</x:v>
      </x:c>
      <x:c r="E203" s="13" t="n">
        <x:v>7</x:v>
      </x:c>
      <x:c r="F203" s="13" t="str">
        <x:v>本案案号</x:v>
      </x:c>
      <x:c r="G203" s="13" t="str">
        <x:v>(2026)京03民终13346号</x:v>
      </x:c>
      <x:c r="H203" s="13" t="str">
        <x:v>默认删除</x:v>
      </x:c>
      <x:c r="I203" s="13" t="str">
        <x:v>案件首部</x:v>
      </x:c>
      <x:c r="J203" s="13" t="str">
        <x:v>本地案例库保留，外部模型不发送完整案号</x:v>
      </x:c>
      <x:c r="K203" s="9" t="str">
        <x:v>待核验</x:v>
      </x:c>
      <x:c r="L203" s="11" t="str">
        <x:v>B列数字保持原始类型；条件清单不计已出现事实</x:v>
      </x:c>
    </x:row>
    <x:row r="204" ht="44" customHeight="1">
      <x:c r="A204" s="13" t="str">
        <x:v>OLD-GS-002-008</x:v>
      </x:c>
      <x:c r="B204" s="13" t="str">
        <x:v>GS-002</x:v>
      </x:c>
      <x:c r="C204" s="13" t="str">
        <x:v>【工伤医疗类】案例标注.xlsx</x:v>
      </x:c>
      <x:c r="D204" s="13" t="str">
        <x:v>样例2</x:v>
      </x:c>
      <x:c r="E204" s="13" t="n">
        <x:v>8</x:v>
      </x:c>
      <x:c r="F204" s="13" t="str">
        <x:v>一审案号</x:v>
      </x:c>
      <x:c r="G204" s="13" t="str">
        <x:v>(2026)京0116民初5203号</x:v>
      </x:c>
      <x:c r="H204" s="13" t="str">
        <x:v>默认删除</x:v>
      </x:c>
      <x:c r="I204" s="13" t="str">
        <x:v>程序部分</x:v>
      </x:c>
      <x:c r="J204" s="13" t="str">
        <x:v>删除具体案号，仅保留“一审判决”</x:v>
      </x:c>
      <x:c r="K204" s="9" t="str">
        <x:v>待核验</x:v>
      </x:c>
      <x:c r="L204" s="11" t="str">
        <x:v>B列数字保持原始类型；条件清单不计已出现事实</x:v>
      </x:c>
    </x:row>
    <x:row r="205" ht="44" customHeight="1">
      <x:c r="A205" s="13" t="str">
        <x:v>OLD-GS-002-009</x:v>
      </x:c>
      <x:c r="B205" s="13" t="str">
        <x:v>GS-002</x:v>
      </x:c>
      <x:c r="C205" s="13" t="str">
        <x:v>【工伤医疗类】案例标注.xlsx</x:v>
      </x:c>
      <x:c r="D205" s="13" t="str">
        <x:v>样例2</x:v>
      </x:c>
      <x:c r="E205" s="13" t="n">
        <x:v>9</x:v>
      </x:c>
      <x:c r="F205" s="13" t="str">
        <x:v>前案仲裁案号</x:v>
      </x:c>
      <x:c r="G205" s="13" t="str">
        <x:v>京怀劳人仲字〔2025〕第571号</x:v>
      </x:c>
      <x:c r="H205" s="13" t="str">
        <x:v>默认删除</x:v>
      </x:c>
      <x:c r="I205" s="13" t="str">
        <x:v>劳动关系认定部分</x:v>
      </x:c>
      <x:c r="J205" s="13" t="str">
        <x:v>删除编号，仅保留“此前生效仲裁已确认双方不存在劳动关系”</x:v>
      </x:c>
      <x:c r="K205" s="9" t="str">
        <x:v>待核验</x:v>
      </x:c>
      <x:c r="L205" s="11" t="str">
        <x:v>B列数字保持原始类型；条件清单不计已出现事实</x:v>
      </x:c>
    </x:row>
    <x:row r="206" ht="44" customHeight="1">
      <x:c r="A206" s="13" t="str">
        <x:v>OLD-GS-002-010</x:v>
      </x:c>
      <x:c r="B206" s="13" t="str">
        <x:v>GS-002</x:v>
      </x:c>
      <x:c r="C206" s="13" t="str">
        <x:v>【工伤医疗类】案例标注.xlsx</x:v>
      </x:c>
      <x:c r="D206" s="13" t="str">
        <x:v>样例2</x:v>
      </x:c>
      <x:c r="E206" s="13" t="n">
        <x:v>10</x:v>
      </x:c>
      <x:c r="F206" s="13" t="str">
        <x:v>本案仲裁案号</x:v>
      </x:c>
      <x:c r="G206" s="13" t="str">
        <x:v>京怀劳人仲字〔2026〕第167号</x:v>
      </x:c>
      <x:c r="H206" s="13" t="str">
        <x:v>默认删除</x:v>
      </x:c>
      <x:c r="I206" s="13" t="str">
        <x:v>仲裁部分</x:v>
      </x:c>
      <x:c r="J206" s="13" t="str">
        <x:v>删除具体编号，仅保留“本案仲裁裁决”</x:v>
      </x:c>
      <x:c r="K206" s="9" t="str">
        <x:v>待核验</x:v>
      </x:c>
      <x:c r="L206" s="11" t="str">
        <x:v>B列数字保持原始类型；条件清单不计已出现事实</x:v>
      </x:c>
    </x:row>
    <x:row r="207" ht="44" customHeight="1">
      <x:c r="A207" s="13" t="str">
        <x:v>OLD-GS-002-011</x:v>
      </x:c>
      <x:c r="B207" s="13" t="str">
        <x:v>GS-002</x:v>
      </x:c>
      <x:c r="C207" s="13" t="str">
        <x:v>【工伤医疗类】案例标注.xlsx</x:v>
      </x:c>
      <x:c r="D207" s="13" t="str">
        <x:v>样例2</x:v>
      </x:c>
      <x:c r="E207" s="13" t="n">
        <x:v>11</x:v>
      </x:c>
      <x:c r="F207" s="13" t="str">
        <x:v>二审法院名称</x:v>
      </x:c>
      <x:c r="G207" s="13" t="str">
        <x:v>北京市第三中级人民法院</x:v>
      </x:c>
      <x:c r="H207" s="13" t="str">
        <x:v>条件保留</x:v>
      </x:c>
      <x:c r="I207" s="13" t="str">
        <x:v>案件首部</x:v>
      </x:c>
      <x:c r="J207" s="13" t="str">
        <x:v>普通分析改为“二审法院”；涉及地域规则时可保留“北京市法院”</x:v>
      </x:c>
      <x:c r="K207" s="9" t="str">
        <x:v>待核验</x:v>
      </x:c>
      <x:c r="L207" s="11" t="str">
        <x:v>B列数字保持原始类型；条件清单不计已出现事实</x:v>
      </x:c>
    </x:row>
    <x:row r="208" ht="44" customHeight="1">
      <x:c r="A208" s="13" t="str">
        <x:v>OLD-GS-002-012</x:v>
      </x:c>
      <x:c r="B208" s="13" t="str">
        <x:v>GS-002</x:v>
      </x:c>
      <x:c r="C208" s="13" t="str">
        <x:v>【工伤医疗类】案例标注.xlsx</x:v>
      </x:c>
      <x:c r="D208" s="13" t="str">
        <x:v>样例2</x:v>
      </x:c>
      <x:c r="E208" s="13" t="n">
        <x:v>12</x:v>
      </x:c>
      <x:c r="F208" s="13" t="str">
        <x:v>案件审级</x:v>
      </x:c>
      <x:c r="G208" s="13" t="str">
        <x:v>二审</x:v>
      </x:c>
      <x:c r="H208" s="13" t="str">
        <x:v>必须保留</x:v>
      </x:c>
      <x:c r="I208" s="13" t="str">
        <x:v>案件首部</x:v>
      </x:c>
      <x:c r="J208" s="13" t="str">
        <x:v>保留“二审”</x:v>
      </x:c>
      <x:c r="K208" s="9" t="str">
        <x:v>待核验</x:v>
      </x:c>
      <x:c r="L208" s="11" t="str">
        <x:v>B列数字保持原始类型；条件清单不计已出现事实</x:v>
      </x:c>
    </x:row>
    <x:row r="209" ht="44" customHeight="1">
      <x:c r="A209" s="13" t="str">
        <x:v>OLD-GS-002-013</x:v>
      </x:c>
      <x:c r="B209" s="13" t="str">
        <x:v>GS-002</x:v>
      </x:c>
      <x:c r="C209" s="13" t="str">
        <x:v>【工伤医疗类】案例标注.xlsx</x:v>
      </x:c>
      <x:c r="D209" s="13" t="str">
        <x:v>样例2</x:v>
      </x:c>
      <x:c r="E209" s="13" t="n">
        <x:v>13</x:v>
      </x:c>
      <x:c r="F209" s="13" t="str">
        <x:v>用工招用日期</x:v>
      </x:c>
      <x:c r="G209" s="13" t="n">
        <x:v>45410</x:v>
      </x:c>
      <x:c r="H209" s="13" t="str">
        <x:v>必须保留</x:v>
      </x:c>
      <x:c r="I209" s="13" t="str">
        <x:v>基本事实</x:v>
      </x:c>
      <x:c r="J209" s="13" t="str">
        <x:v>保留完整日期</x:v>
      </x:c>
      <x:c r="K209" s="9" t="str">
        <x:v>待核验</x:v>
      </x:c>
      <x:c r="L209" s="11" t="str">
        <x:v>B列数字保持原始类型；条件清单不计已出现事实</x:v>
      </x:c>
    </x:row>
    <x:row r="210" ht="44" customHeight="1">
      <x:c r="A210" s="13" t="str">
        <x:v>OLD-GS-002-014</x:v>
      </x:c>
      <x:c r="B210" s="13" t="str">
        <x:v>GS-002</x:v>
      </x:c>
      <x:c r="C210" s="13" t="str">
        <x:v>【工伤医疗类】案例标注.xlsx</x:v>
      </x:c>
      <x:c r="D210" s="13" t="str">
        <x:v>样例2</x:v>
      </x:c>
      <x:c r="E210" s="13" t="n">
        <x:v>14</x:v>
      </x:c>
      <x:c r="F210" s="13" t="str">
        <x:v>招用主体关系</x:v>
      </x:c>
      <x:c r="G210" s="13" t="str">
        <x:v>陆某经吴某招用</x:v>
      </x:c>
      <x:c r="H210" s="13" t="str">
        <x:v>必须保留</x:v>
      </x:c>
      <x:c r="I210" s="13" t="str">
        <x:v>基本事实</x:v>
      </x:c>
      <x:c r="J210" s="13" t="str">
        <x:v>改为“劳动者B经自然人C招用”</x:v>
      </x:c>
      <x:c r="K210" s="9" t="str">
        <x:v>待核验</x:v>
      </x:c>
      <x:c r="L210" s="11" t="str">
        <x:v>B列数字保持原始类型；条件清单不计已出现事实</x:v>
      </x:c>
    </x:row>
    <x:row r="211" ht="44" customHeight="1">
      <x:c r="A211" s="13" t="str">
        <x:v>OLD-GS-002-015</x:v>
      </x:c>
      <x:c r="B211" s="13" t="str">
        <x:v>GS-002</x:v>
      </x:c>
      <x:c r="C211" s="13" t="str">
        <x:v>【工伤医疗类】案例标注.xlsx</x:v>
      </x:c>
      <x:c r="D211" s="13" t="str">
        <x:v>样例2</x:v>
      </x:c>
      <x:c r="E211" s="13" t="n">
        <x:v>15</x:v>
      </x:c>
      <x:c r="F211" s="13" t="str">
        <x:v>工作地点性质</x:v>
      </x:c>
      <x:c r="G211" s="13" t="str">
        <x:v>某公司承包的工地</x:v>
      </x:c>
      <x:c r="H211" s="13" t="str">
        <x:v>必须保留</x:v>
      </x:c>
      <x:c r="I211" s="13" t="str">
        <x:v>基本事实</x:v>
      </x:c>
      <x:c r="J211" s="13" t="str">
        <x:v>改为“公司A承包的工地”，无需保留具体地址</x:v>
      </x:c>
      <x:c r="K211" s="9" t="str">
        <x:v>待核验</x:v>
      </x:c>
      <x:c r="L211" s="11" t="str">
        <x:v>B列数字保持原始类型；条件清单不计已出现事实</x:v>
      </x:c>
    </x:row>
    <x:row r="212" ht="44" customHeight="1">
      <x:c r="A212" s="13" t="str">
        <x:v>OLD-GS-002-016</x:v>
      </x:c>
      <x:c r="B212" s="13" t="str">
        <x:v>GS-002</x:v>
      </x:c>
      <x:c r="C212" s="13" t="str">
        <x:v>【工伤医疗类】案例标注.xlsx</x:v>
      </x:c>
      <x:c r="D212" s="13" t="str">
        <x:v>样例2</x:v>
      </x:c>
      <x:c r="E212" s="13" t="n">
        <x:v>16</x:v>
      </x:c>
      <x:c r="F212" s="13" t="str">
        <x:v>工作岗位</x:v>
      </x:c>
      <x:c r="G212" s="13" t="str">
        <x:v>瓦工</x:v>
      </x:c>
      <x:c r="H212" s="13" t="str">
        <x:v>必须保留</x:v>
      </x:c>
      <x:c r="I212" s="13" t="str">
        <x:v>基本事实</x:v>
      </x:c>
      <x:c r="J212" s="13" t="str">
        <x:v>保留“瓦工”</x:v>
      </x:c>
      <x:c r="K212" s="9" t="str">
        <x:v>待核验</x:v>
      </x:c>
      <x:c r="L212" s="11" t="str">
        <x:v>B列数字保持原始类型；条件清单不计已出现事实</x:v>
      </x:c>
    </x:row>
    <x:row r="213" ht="44" customHeight="1">
      <x:c r="A213" s="13" t="str">
        <x:v>OLD-GS-002-017</x:v>
      </x:c>
      <x:c r="B213" s="13" t="str">
        <x:v>GS-002</x:v>
      </x:c>
      <x:c r="C213" s="13" t="str">
        <x:v>【工伤医疗类】案例标注.xlsx</x:v>
      </x:c>
      <x:c r="D213" s="13" t="str">
        <x:v>样例2</x:v>
      </x:c>
      <x:c r="E213" s="13" t="n">
        <x:v>17</x:v>
      </x:c>
      <x:c r="F213" s="13" t="str">
        <x:v>劳动关系认定</x:v>
      </x:c>
      <x:c r="G213" s="13" t="str">
        <x:v>陆某与某公司之间不存在劳动关系</x:v>
      </x:c>
      <x:c r="H213" s="13" t="str">
        <x:v>必须保留</x:v>
      </x:c>
      <x:c r="I213" s="13" t="str">
        <x:v>前案仲裁、公司抗辩</x:v>
      </x:c>
      <x:c r="J213" s="13" t="str">
        <x:v>改为“此前生效裁决确认劳动者B与公司A不存在劳动关系”</x:v>
      </x:c>
      <x:c r="K213" s="9" t="str">
        <x:v>待核验</x:v>
      </x:c>
      <x:c r="L213" s="11" t="str">
        <x:v>B列数字保持原始类型；条件清单不计已出现事实</x:v>
      </x:c>
    </x:row>
    <x:row r="214" ht="44" customHeight="1">
      <x:c r="A214" s="13" t="str">
        <x:v>OLD-GS-002-018</x:v>
      </x:c>
      <x:c r="B214" s="13" t="str">
        <x:v>GS-002</x:v>
      </x:c>
      <x:c r="C214" s="13" t="str">
        <x:v>【工伤医疗类】案例标注.xlsx</x:v>
      </x:c>
      <x:c r="D214" s="13" t="str">
        <x:v>样例2</x:v>
      </x:c>
      <x:c r="E214" s="13" t="n">
        <x:v>18</x:v>
      </x:c>
      <x:c r="F214" s="13" t="str">
        <x:v>违法分包关系</x:v>
      </x:c>
      <x:c r="G214" s="13" t="str">
        <x:v>公司将工程分包给不具备用工主体资格的自然人吴某</x:v>
      </x:c>
      <x:c r="H214" s="13" t="str">
        <x:v>必须保留</x:v>
      </x:c>
      <x:c r="I214" s="13" t="str">
        <x:v>工伤认定、法院说理</x:v>
      </x:c>
      <x:c r="J214" s="13" t="str">
        <x:v>改为“公司A将工程违法分包给不具备用工主体资格的自然人C”</x:v>
      </x:c>
      <x:c r="K214" s="9" t="str">
        <x:v>待核验</x:v>
      </x:c>
      <x:c r="L214" s="11" t="str">
        <x:v>B列数字保持原始类型；条件清单不计已出现事实</x:v>
      </x:c>
    </x:row>
    <x:row r="215" ht="44" customHeight="1">
      <x:c r="A215" s="13" t="str">
        <x:v>OLD-GS-002-019</x:v>
      </x:c>
      <x:c r="B215" s="13" t="str">
        <x:v>GS-002</x:v>
      </x:c>
      <x:c r="C215" s="13" t="str">
        <x:v>【工伤医疗类】案例标注.xlsx</x:v>
      </x:c>
      <x:c r="D215" s="13" t="str">
        <x:v>样例2</x:v>
      </x:c>
      <x:c r="E215" s="13" t="n">
        <x:v>19</x:v>
      </x:c>
      <x:c r="F215" s="13" t="str">
        <x:v>用工主体资格</x:v>
      </x:c>
      <x:c r="G215" s="13" t="str">
        <x:v>公司具备用工主体资格，吴某不具备用工主体资格</x:v>
      </x:c>
      <x:c r="H215" s="13" t="str">
        <x:v>必须保留</x:v>
      </x:c>
      <x:c r="I215" s="13" t="str">
        <x:v>工伤责任认定</x:v>
      </x:c>
      <x:c r="J215" s="13" t="str">
        <x:v>保留主体资格关系</x:v>
      </x:c>
      <x:c r="K215" s="9" t="str">
        <x:v>待核验</x:v>
      </x:c>
      <x:c r="L215" s="11" t="str">
        <x:v>B列数字保持原始类型；条件清单不计已出现事实</x:v>
      </x:c>
    </x:row>
    <x:row r="216" ht="44" customHeight="1">
      <x:c r="A216" s="13" t="str">
        <x:v>OLD-GS-002-020</x:v>
      </x:c>
      <x:c r="B216" s="13" t="str">
        <x:v>GS-002</x:v>
      </x:c>
      <x:c r="C216" s="13" t="str">
        <x:v>【工伤医疗类】案例标注.xlsx</x:v>
      </x:c>
      <x:c r="D216" s="13" t="str">
        <x:v>样例2</x:v>
      </x:c>
      <x:c r="E216" s="13" t="n">
        <x:v>20</x:v>
      </x:c>
      <x:c r="F216" s="13" t="str">
        <x:v>工伤发生日期</x:v>
      </x:c>
      <x:c r="G216" s="13" t="n">
        <x:v>45514</x:v>
      </x:c>
      <x:c r="H216" s="13" t="str">
        <x:v>必须保留</x:v>
      </x:c>
      <x:c r="I216" s="13" t="str">
        <x:v>基本事实</x:v>
      </x:c>
      <x:c r="J216" s="13" t="str">
        <x:v>保留完整日期</x:v>
      </x:c>
      <x:c r="K216" s="9" t="str">
        <x:v>待核验</x:v>
      </x:c>
      <x:c r="L216" s="11" t="str">
        <x:v>B列数字保持原始类型；条件清单不计已出现事实</x:v>
      </x:c>
    </x:row>
    <x:row r="217" ht="44" customHeight="1">
      <x:c r="A217" s="13" t="str">
        <x:v>OLD-GS-002-021</x:v>
      </x:c>
      <x:c r="B217" s="13" t="str">
        <x:v>GS-002</x:v>
      </x:c>
      <x:c r="C217" s="13" t="str">
        <x:v>【工伤医疗类】案例标注.xlsx</x:v>
      </x:c>
      <x:c r="D217" s="13" t="str">
        <x:v>样例2</x:v>
      </x:c>
      <x:c r="E217" s="13" t="n">
        <x:v>21</x:v>
      </x:c>
      <x:c r="F217" s="13" t="str">
        <x:v>工伤发生事实</x:v>
      </x:c>
      <x:c r="G217" s="13" t="str">
        <x:v>在工作过程中左脚受伤</x:v>
      </x:c>
      <x:c r="H217" s="13" t="str">
        <x:v>必须保留</x:v>
      </x:c>
      <x:c r="I217" s="13" t="str">
        <x:v>基本事实</x:v>
      </x:c>
      <x:c r="J217" s="13" t="str">
        <x:v>保留概括事实</x:v>
      </x:c>
      <x:c r="K217" s="9" t="str">
        <x:v>待核验</x:v>
      </x:c>
      <x:c r="L217" s="11" t="str">
        <x:v>B列数字保持原始类型；条件清单不计已出现事实</x:v>
      </x:c>
    </x:row>
    <x:row r="218" ht="44" customHeight="1">
      <x:c r="A218" s="13" t="str">
        <x:v>OLD-GS-002-022</x:v>
      </x:c>
      <x:c r="B218" s="13" t="str">
        <x:v>GS-002</x:v>
      </x:c>
      <x:c r="C218" s="13" t="str">
        <x:v>【工伤医疗类】案例标注.xlsx</x:v>
      </x:c>
      <x:c r="D218" s="13" t="str">
        <x:v>样例2</x:v>
      </x:c>
      <x:c r="E218" s="13" t="n">
        <x:v>22</x:v>
      </x:c>
      <x:c r="F218" s="13" t="str">
        <x:v>受伤后状态</x:v>
      </x:c>
      <x:c r="G218" s="13" t="str">
        <x:v>受伤后未再返岗</x:v>
      </x:c>
      <x:c r="H218" s="13" t="str">
        <x:v>必须保留</x:v>
      </x:c>
      <x:c r="I218" s="13" t="str">
        <x:v>基本事实、一次性补助金争议</x:v>
      </x:c>
      <x:c r="J218" s="13" t="str">
        <x:v>保留，是判断用工关系事实上终止的重要事实</x:v>
      </x:c>
      <x:c r="K218" s="9" t="str">
        <x:v>待核验</x:v>
      </x:c>
      <x:c r="L218" s="11" t="str">
        <x:v>B列数字保持原始类型；条件清单不计已出现事实</x:v>
      </x:c>
    </x:row>
    <x:row r="219" ht="44" customHeight="1">
      <x:c r="A219" s="13" t="str">
        <x:v>OLD-GS-002-023</x:v>
      </x:c>
      <x:c r="B219" s="13" t="str">
        <x:v>GS-002</x:v>
      </x:c>
      <x:c r="C219" s="13" t="str">
        <x:v>【工伤医疗类】案例标注.xlsx</x:v>
      </x:c>
      <x:c r="D219" s="13" t="str">
        <x:v>样例2</x:v>
      </x:c>
      <x:c r="E219" s="13" t="n">
        <x:v>23</x:v>
      </x:c>
      <x:c r="F219" s="13" t="str">
        <x:v>工伤认定日期</x:v>
      </x:c>
      <x:c r="G219" s="13" t="n">
        <x:v>45870</x:v>
      </x:c>
      <x:c r="H219" s="13" t="str">
        <x:v>条件保留</x:v>
      </x:c>
      <x:c r="I219" s="13" t="str">
        <x:v>工伤认定</x:v>
      </x:c>
      <x:c r="J219" s="13" t="str">
        <x:v>普通责任分析可概括为“2025年作出生效工伤认定”；需要时间线时保留完整日期</x:v>
      </x:c>
      <x:c r="K219" s="9" t="str">
        <x:v>待核验</x:v>
      </x:c>
      <x:c r="L219" s="11" t="str">
        <x:v>B列数字保持原始类型；条件清单不计已出现事实</x:v>
      </x:c>
    </x:row>
    <x:row r="220" ht="44" customHeight="1">
      <x:c r="A220" s="13" t="str">
        <x:v>OLD-GS-002-024</x:v>
      </x:c>
      <x:c r="B220" s="13" t="str">
        <x:v>GS-002</x:v>
      </x:c>
      <x:c r="C220" s="13" t="str">
        <x:v>【工伤医疗类】案例标注.xlsx</x:v>
      </x:c>
      <x:c r="D220" s="13" t="str">
        <x:v>样例2</x:v>
      </x:c>
      <x:c r="E220" s="13" t="n">
        <x:v>24</x:v>
      </x:c>
      <x:c r="F220" s="13" t="str">
        <x:v>工伤认定结果</x:v>
      </x:c>
      <x:c r="G220" s="13" t="str">
        <x:v>认定为工伤并由某公司承担工伤保险责任</x:v>
      </x:c>
      <x:c r="H220" s="13" t="str">
        <x:v>必须保留</x:v>
      </x:c>
      <x:c r="I220" s="13" t="str">
        <x:v>工伤认定、法院说理</x:v>
      </x:c>
      <x:c r="J220" s="13" t="str">
        <x:v>改为“生效工伤认定确定由公司A承担工伤保险责任”</x:v>
      </x:c>
      <x:c r="K220" s="9" t="str">
        <x:v>待核验</x:v>
      </x:c>
      <x:c r="L220" s="11" t="str">
        <x:v>B列数字保持原始类型；条件清单不计已出现事实</x:v>
      </x:c>
    </x:row>
    <x:row r="221" ht="44" customHeight="1">
      <x:c r="A221" s="13" t="str">
        <x:v>OLD-GS-002-025</x:v>
      </x:c>
      <x:c r="B221" s="13" t="str">
        <x:v>GS-002</x:v>
      </x:c>
      <x:c r="C221" s="13" t="str">
        <x:v>【工伤医疗类】案例标注.xlsx</x:v>
      </x:c>
      <x:c r="D221" s="13" t="str">
        <x:v>样例2</x:v>
      </x:c>
      <x:c r="E221" s="13" t="n">
        <x:v>25</x:v>
      </x:c>
      <x:c r="F221" s="13" t="str">
        <x:v>工伤认定决定书</x:v>
      </x:c>
      <x:c r="G221" s="13" t="str">
        <x:v>原始《工伤认定决定书》</x:v>
      </x:c>
      <x:c r="H221" s="13" t="str">
        <x:v>转人工</x:v>
      </x:c>
      <x:c r="I221" s="13" t="str">
        <x:v>证据材料</x:v>
      </x:c>
      <x:c r="J221" s="13" t="str">
        <x:v>仅提取工伤结论、责任主体、事故日期、违法分包事实；不发送完整原件</x:v>
      </x:c>
      <x:c r="K221" s="9" t="str">
        <x:v>待核验</x:v>
      </x:c>
      <x:c r="L221" s="11" t="str">
        <x:v>B列数字保持原始类型；条件清单不计已出现事实</x:v>
      </x:c>
    </x:row>
    <x:row r="222" ht="44" customHeight="1">
      <x:c r="A222" s="13" t="str">
        <x:v>OLD-GS-002-026</x:v>
      </x:c>
      <x:c r="B222" s="13" t="str">
        <x:v>GS-002</x:v>
      </x:c>
      <x:c r="C222" s="13" t="str">
        <x:v>【工伤医疗类】案例标注.xlsx</x:v>
      </x:c>
      <x:c r="D222" s="13" t="str">
        <x:v>样例2</x:v>
      </x:c>
      <x:c r="E222" s="13" t="n">
        <x:v>26</x:v>
      </x:c>
      <x:c r="F222" s="13" t="str">
        <x:v>工伤认定机关名称</x:v>
      </x:c>
      <x:c r="G222" s="13" t="str">
        <x:v>北京市丰台区某局</x:v>
      </x:c>
      <x:c r="H222" s="13" t="str">
        <x:v>条件保留</x:v>
      </x:c>
      <x:c r="I222" s="13" t="str">
        <x:v>工伤认定</x:v>
      </x:c>
      <x:c r="J222" s="13" t="str">
        <x:v>一般改为“当地人力资源社会保障部门”</x:v>
      </x:c>
      <x:c r="K222" s="9" t="str">
        <x:v>待核验</x:v>
      </x:c>
      <x:c r="L222" s="11" t="str">
        <x:v>B列数字保持原始类型；条件清单不计已出现事实</x:v>
      </x:c>
    </x:row>
    <x:row r="223" ht="44" customHeight="1">
      <x:c r="A223" s="13" t="str">
        <x:v>OLD-GS-002-027</x:v>
      </x:c>
      <x:c r="B223" s="13" t="str">
        <x:v>GS-002</x:v>
      </x:c>
      <x:c r="C223" s="13" t="str">
        <x:v>【工伤医疗类】案例标注.xlsx</x:v>
      </x:c>
      <x:c r="D223" s="13" t="str">
        <x:v>样例2</x:v>
      </x:c>
      <x:c r="E223" s="13" t="n">
        <x:v>27</x:v>
      </x:c>
      <x:c r="F223" s="13" t="str">
        <x:v>劳动能力鉴定日期</x:v>
      </x:c>
      <x:c r="G223" s="13" t="n">
        <x:v>45930</x:v>
      </x:c>
      <x:c r="H223" s="13" t="str">
        <x:v>条件保留</x:v>
      </x:c>
      <x:c r="I223" s="13" t="str">
        <x:v>鉴定材料</x:v>
      </x:c>
      <x:c r="J223" s="13" t="str">
        <x:v>可概括为“2025年经鉴定”</x:v>
      </x:c>
      <x:c r="K223" s="9" t="str">
        <x:v>待核验</x:v>
      </x:c>
      <x:c r="L223" s="11" t="str">
        <x:v>B列数字保持原始类型；条件清单不计已出现事实</x:v>
      </x:c>
    </x:row>
    <x:row r="224" ht="44" customHeight="1">
      <x:c r="A224" s="13" t="str">
        <x:v>OLD-GS-002-028</x:v>
      </x:c>
      <x:c r="B224" s="13" t="str">
        <x:v>GS-002</x:v>
      </x:c>
      <x:c r="C224" s="13" t="str">
        <x:v>【工伤医疗类】案例标注.xlsx</x:v>
      </x:c>
      <x:c r="D224" s="13" t="str">
        <x:v>样例2</x:v>
      </x:c>
      <x:c r="E224" s="13" t="n">
        <x:v>28</x:v>
      </x:c>
      <x:c r="F224" s="13" t="str">
        <x:v>伤残等级</x:v>
      </x:c>
      <x:c r="G224" s="13" t="str">
        <x:v>十级</x:v>
      </x:c>
      <x:c r="H224" s="13" t="str">
        <x:v>必须保留</x:v>
      </x:c>
      <x:c r="I224" s="13" t="str">
        <x:v>劳动能力鉴定</x:v>
      </x:c>
      <x:c r="J224" s="13" t="str">
        <x:v>保留“工伤十级”</x:v>
      </x:c>
      <x:c r="K224" s="9" t="str">
        <x:v>待核验</x:v>
      </x:c>
      <x:c r="L224" s="11" t="str">
        <x:v>B列数字保持原始类型；条件清单不计已出现事实</x:v>
      </x:c>
    </x:row>
    <x:row r="225" ht="44" customHeight="1">
      <x:c r="A225" s="13" t="str">
        <x:v>OLD-GS-002-029</x:v>
      </x:c>
      <x:c r="B225" s="13" t="str">
        <x:v>GS-002</x:v>
      </x:c>
      <x:c r="C225" s="13" t="str">
        <x:v>【工伤医疗类】案例标注.xlsx</x:v>
      </x:c>
      <x:c r="D225" s="13" t="str">
        <x:v>样例2</x:v>
      </x:c>
      <x:c r="E225" s="13" t="n">
        <x:v>29</x:v>
      </x:c>
      <x:c r="F225" s="13" t="str">
        <x:v>劳动能力鉴定材料</x:v>
      </x:c>
      <x:c r="G225" s="13" t="str">
        <x:v>原始鉴定通知书</x:v>
      </x:c>
      <x:c r="H225" s="13" t="str">
        <x:v>转人工</x:v>
      </x:c>
      <x:c r="I225" s="13" t="str">
        <x:v>证据材料</x:v>
      </x:c>
      <x:c r="J225" s="13" t="str">
        <x:v>仅保留伤残等级及与待遇计算相关内容</x:v>
      </x:c>
      <x:c r="K225" s="9" t="str">
        <x:v>待核验</x:v>
      </x:c>
      <x:c r="L225" s="11" t="str">
        <x:v>B列数字保持原始类型；条件清单不计已出现事实</x:v>
      </x:c>
    </x:row>
    <x:row r="226" ht="44" customHeight="1">
      <x:c r="A226" s="13" t="str">
        <x:v>OLD-GS-002-030</x:v>
      </x:c>
      <x:c r="B226" s="13" t="str">
        <x:v>GS-002</x:v>
      </x:c>
      <x:c r="C226" s="13" t="str">
        <x:v>【工伤医疗类】案例标注.xlsx</x:v>
      </x:c>
      <x:c r="D226" s="13" t="str">
        <x:v>样例2</x:v>
      </x:c>
      <x:c r="E226" s="13" t="n">
        <x:v>30</x:v>
      </x:c>
      <x:c r="F226" s="13" t="str">
        <x:v>具体伤情</x:v>
      </x:c>
      <x:c r="G226" s="13" t="str">
        <x:v>多处肌腱、神经及骨骼损伤</x:v>
      </x:c>
      <x:c r="H226" s="13" t="str">
        <x:v>必须保留</x:v>
      </x:c>
      <x:c r="I226" s="13" t="str">
        <x:v>停工留薪期争议</x:v>
      </x:c>
      <x:c r="J226" s="13" t="str">
        <x:v>保留与3个月/6个月判断直接相关的伤情概述</x:v>
      </x:c>
      <x:c r="K226" s="9" t="str">
        <x:v>待核验</x:v>
      </x:c>
      <x:c r="L226" s="11" t="str">
        <x:v>B列数字保持原始类型；条件清单不计已出现事实</x:v>
      </x:c>
    </x:row>
    <x:row r="227" ht="44" customHeight="1">
      <x:c r="A227" s="13" t="str">
        <x:v>OLD-GS-002-031</x:v>
      </x:c>
      <x:c r="B227" s="13" t="str">
        <x:v>GS-002</x:v>
      </x:c>
      <x:c r="C227" s="13" t="str">
        <x:v>【工伤医疗类】案例标注.xlsx</x:v>
      </x:c>
      <x:c r="D227" s="13" t="str">
        <x:v>样例2</x:v>
      </x:c>
      <x:c r="E227" s="13" t="n">
        <x:v>31</x:v>
      </x:c>
      <x:c r="F227" s="13" t="str">
        <x:v>详细病历、影像等</x:v>
      </x:c>
      <x:c r="G227" s="13" t="str">
        <x:v>如原材料中存在</x:v>
      </x:c>
      <x:c r="H227" s="13" t="str">
        <x:v>转人工</x:v>
      </x:c>
      <x:c r="I227" s="13" t="str">
        <x:v>医疗材料</x:v>
      </x:c>
      <x:c r="J227" s="13" t="str">
        <x:v>不发送完整病历，仅提取与停工留薪期认定有关的伤情信息</x:v>
      </x:c>
      <x:c r="K227" s="9" t="str">
        <x:v>待核验</x:v>
      </x:c>
      <x:c r="L227" s="11" t="str">
        <x:v>B列数字保持原始类型；条件清单不计已出现事实</x:v>
      </x:c>
    </x:row>
    <x:row r="228" ht="44" customHeight="1">
      <x:c r="A228" s="13" t="str">
        <x:v>OLD-GS-002-032</x:v>
      </x:c>
      <x:c r="B228" s="13" t="str">
        <x:v>GS-002</x:v>
      </x:c>
      <x:c r="C228" s="13" t="str">
        <x:v>【工伤医疗类】案例标注.xlsx</x:v>
      </x:c>
      <x:c r="D228" s="13" t="str">
        <x:v>样例2</x:v>
      </x:c>
      <x:c r="E228" s="13" t="n">
        <x:v>32</x:v>
      </x:c>
      <x:c r="F228" s="13" t="str">
        <x:v>日工资标准</x:v>
      </x:c>
      <x:c r="G228" s="13" t="str">
        <x:v>322.6元/日</x:v>
      </x:c>
      <x:c r="H228" s="13" t="str">
        <x:v>必须保留</x:v>
      </x:c>
      <x:c r="I228" s="13" t="str">
        <x:v>工资标准、待遇计算</x:v>
      </x:c>
      <x:c r="J228" s="13" t="str">
        <x:v>保留精确金额</x:v>
      </x:c>
      <x:c r="K228" s="9" t="str">
        <x:v>待核验</x:v>
      </x:c>
      <x:c r="L228" s="11" t="str">
        <x:v>B列数字保持原始类型；条件清单不计已出现事实</x:v>
      </x:c>
    </x:row>
    <x:row r="229" ht="44" customHeight="1">
      <x:c r="A229" s="13" t="str">
        <x:v>OLD-GS-002-033</x:v>
      </x:c>
      <x:c r="B229" s="13" t="str">
        <x:v>GS-002</x:v>
      </x:c>
      <x:c r="C229" s="13" t="str">
        <x:v>【工伤医疗类】案例标注.xlsx</x:v>
      </x:c>
      <x:c r="D229" s="13" t="str">
        <x:v>样例2</x:v>
      </x:c>
      <x:c r="E229" s="13" t="n">
        <x:v>33</x:v>
      </x:c>
      <x:c r="F229" s="13" t="str">
        <x:v>工资表</x:v>
      </x:c>
      <x:c r="G229" s="13" t="str">
        <x:v>《劳务人员工资表》</x:v>
      </x:c>
      <x:c r="H229" s="13" t="str">
        <x:v>转人工</x:v>
      </x:c>
      <x:c r="I229" s="13" t="str">
        <x:v>工资证据</x:v>
      </x:c>
      <x:c r="J229" s="13" t="str">
        <x:v>仅提取日工资322.6元及劳动者认可事实；删除姓名、账号等无关信息</x:v>
      </x:c>
      <x:c r="K229" s="9" t="str">
        <x:v>待核验</x:v>
      </x:c>
      <x:c r="L229" s="11" t="str">
        <x:v>B列数字保持原始类型；条件清单不计已出现事实</x:v>
      </x:c>
    </x:row>
    <x:row r="230" ht="44" customHeight="1">
      <x:c r="A230" s="13" t="str">
        <x:v>OLD-GS-002-034</x:v>
      </x:c>
      <x:c r="B230" s="13" t="str">
        <x:v>GS-002</x:v>
      </x:c>
      <x:c r="C230" s="13" t="str">
        <x:v>【工伤医疗类】案例标注.xlsx</x:v>
      </x:c>
      <x:c r="D230" s="13" t="str">
        <x:v>样例2</x:v>
      </x:c>
      <x:c r="E230" s="13" t="n">
        <x:v>34</x:v>
      </x:c>
      <x:c r="F230" s="13" t="str">
        <x:v>劳动者对工资标准的认可</x:v>
      </x:c>
      <x:c r="G230" s="13" t="str">
        <x:v>陆某在前案仲裁中认可322.6元/日</x:v>
      </x:c>
      <x:c r="H230" s="13" t="str">
        <x:v>必须保留</x:v>
      </x:c>
      <x:c r="I230" s="13" t="str">
        <x:v>工资标准认定</x:v>
      </x:c>
      <x:c r="J230" s="13" t="str">
        <x:v>改为“劳动者B此前已认可322.6元/日工资标准”</x:v>
      </x:c>
      <x:c r="K230" s="9" t="str">
        <x:v>待核验</x:v>
      </x:c>
      <x:c r="L230" s="11" t="str">
        <x:v>B列数字保持原始类型；条件清单不计已出现事实</x:v>
      </x:c>
    </x:row>
    <x:row r="231" ht="44" customHeight="1">
      <x:c r="A231" s="13" t="str">
        <x:v>OLD-GS-002-035</x:v>
      </x:c>
      <x:c r="B231" s="13" t="str">
        <x:v>GS-002</x:v>
      </x:c>
      <x:c r="C231" s="13" t="str">
        <x:v>【工伤医疗类】案例标注.xlsx</x:v>
      </x:c>
      <x:c r="D231" s="13" t="str">
        <x:v>样例2</x:v>
      </x:c>
      <x:c r="E231" s="13" t="n">
        <x:v>35</x:v>
      </x:c>
      <x:c r="F231" s="13" t="str">
        <x:v>停工留薪期公司主张</x:v>
      </x:c>
      <x:c r="G231" s="13" t="str">
        <x:v>仅应支持3个月</x:v>
      </x:c>
      <x:c r="H231" s="13" t="str">
        <x:v>必须保留</x:v>
      </x:c>
      <x:c r="I231" s="13" t="str">
        <x:v>公司上诉理由</x:v>
      </x:c>
      <x:c r="J231" s="13" t="str">
        <x:v>保留</x:v>
      </x:c>
      <x:c r="K231" s="9" t="str">
        <x:v>待核验</x:v>
      </x:c>
      <x:c r="L231" s="11" t="str">
        <x:v>B列数字保持原始类型；条件清单不计已出现事实</x:v>
      </x:c>
    </x:row>
    <x:row r="232" ht="44" customHeight="1">
      <x:c r="A232" s="13" t="str">
        <x:v>OLD-GS-002-036</x:v>
      </x:c>
      <x:c r="B232" s="13" t="str">
        <x:v>GS-002</x:v>
      </x:c>
      <x:c r="C232" s="13" t="str">
        <x:v>【工伤医疗类】案例标注.xlsx</x:v>
      </x:c>
      <x:c r="D232" s="13" t="str">
        <x:v>样例2</x:v>
      </x:c>
      <x:c r="E232" s="13" t="n">
        <x:v>36</x:v>
      </x:c>
      <x:c r="F232" s="13" t="str">
        <x:v>停工留薪期法院认定</x:v>
      </x:c>
      <x:c r="G232" s="13" t="str">
        <x:v>6个月</x:v>
      </x:c>
      <x:c r="H232" s="13" t="str">
        <x:v>必须保留</x:v>
      </x:c>
      <x:c r="I232" s="13" t="str">
        <x:v>法院说理</x:v>
      </x:c>
      <x:c r="J232" s="13" t="str">
        <x:v>保留</x:v>
      </x:c>
      <x:c r="K232" s="9" t="str">
        <x:v>待核验</x:v>
      </x:c>
      <x:c r="L232" s="11" t="str">
        <x:v>B列数字保持原始类型；条件清单不计已出现事实</x:v>
      </x:c>
    </x:row>
    <x:row r="233" ht="44" customHeight="1">
      <x:c r="A233" s="13" t="str">
        <x:v>OLD-GS-002-037</x:v>
      </x:c>
      <x:c r="B233" s="13" t="str">
        <x:v>GS-002</x:v>
      </x:c>
      <x:c r="C233" s="13" t="str">
        <x:v>【工伤医疗类】案例标注.xlsx</x:v>
      </x:c>
      <x:c r="D233" s="13" t="str">
        <x:v>样例2</x:v>
      </x:c>
      <x:c r="E233" s="13" t="n">
        <x:v>37</x:v>
      </x:c>
      <x:c r="F233" s="13" t="str">
        <x:v>停工留薪期起止日期</x:v>
      </x:c>
      <x:c r="G233" s="13" t="str">
        <x:v>2024年8月10日至2025年2月9日</x:v>
      </x:c>
      <x:c r="H233" s="13" t="str">
        <x:v>必须保留</x:v>
      </x:c>
      <x:c r="I233" s="13" t="str">
        <x:v>仲裁、一审判决</x:v>
      </x:c>
      <x:c r="J233" s="13" t="str">
        <x:v>保留完整期间</x:v>
      </x:c>
      <x:c r="K233" s="9" t="str">
        <x:v>待核验</x:v>
      </x:c>
      <x:c r="L233" s="11" t="str">
        <x:v>B列数字保持原始类型；条件清单不计已出现事实</x:v>
      </x:c>
    </x:row>
    <x:row r="234" ht="44" customHeight="1">
      <x:c r="A234" s="13" t="str">
        <x:v>OLD-GS-002-038</x:v>
      </x:c>
      <x:c r="B234" s="13" t="str">
        <x:v>GS-002</x:v>
      </x:c>
      <x:c r="C234" s="13" t="str">
        <x:v>【工伤医疗类】案例标注.xlsx</x:v>
      </x:c>
      <x:c r="D234" s="13" t="str">
        <x:v>样例2</x:v>
      </x:c>
      <x:c r="E234" s="13" t="n">
        <x:v>38</x:v>
      </x:c>
      <x:c r="F234" s="13" t="str">
        <x:v>停工留薪期工资</x:v>
      </x:c>
      <x:c r="G234" s="13" t="str">
        <x:v>42099.3元</x:v>
      </x:c>
      <x:c r="H234" s="13" t="str">
        <x:v>必须保留</x:v>
      </x:c>
      <x:c r="I234" s="13" t="str">
        <x:v>仲裁、一审、二审</x:v>
      </x:c>
      <x:c r="J234" s="13" t="str">
        <x:v>保留精确金额</x:v>
      </x:c>
      <x:c r="K234" s="9" t="str">
        <x:v>待核验</x:v>
      </x:c>
      <x:c r="L234" s="11" t="str">
        <x:v>B列数字保持原始类型；条件清单不计已出现事实</x:v>
      </x:c>
    </x:row>
    <x:row r="235" ht="44" customHeight="1">
      <x:c r="A235" s="13" t="str">
        <x:v>OLD-GS-002-039</x:v>
      </x:c>
      <x:c r="B235" s="13" t="str">
        <x:v>GS-002</x:v>
      </x:c>
      <x:c r="C235" s="13" t="str">
        <x:v>【工伤医疗类】案例标注.xlsx</x:v>
      </x:c>
      <x:c r="D235" s="13" t="str">
        <x:v>样例2</x:v>
      </x:c>
      <x:c r="E235" s="13" t="n">
        <x:v>39</x:v>
      </x:c>
      <x:c r="F235" s="13" t="str">
        <x:v>一次性伤残补助金</x:v>
      </x:c>
      <x:c r="G235" s="13" t="str">
        <x:v>49908.6元</x:v>
      </x:c>
      <x:c r="H235" s="13" t="str">
        <x:v>必须保留</x:v>
      </x:c>
      <x:c r="I235" s="13" t="str">
        <x:v>仲裁、一审、二审</x:v>
      </x:c>
      <x:c r="J235" s="13" t="str">
        <x:v>保留精确金额</x:v>
      </x:c>
      <x:c r="K235" s="9" t="str">
        <x:v>待核验</x:v>
      </x:c>
      <x:c r="L235" s="11" t="str">
        <x:v>B列数字保持原始类型；条件清单不计已出现事实</x:v>
      </x:c>
    </x:row>
    <x:row r="236" ht="44" customHeight="1">
      <x:c r="A236" s="13" t="str">
        <x:v>OLD-GS-002-040</x:v>
      </x:c>
      <x:c r="B236" s="13" t="str">
        <x:v>GS-002</x:v>
      </x:c>
      <x:c r="C236" s="13" t="str">
        <x:v>【工伤医疗类】案例标注.xlsx</x:v>
      </x:c>
      <x:c r="D236" s="13" t="str">
        <x:v>样例2</x:v>
      </x:c>
      <x:c r="E236" s="13" t="n">
        <x:v>40</x:v>
      </x:c>
      <x:c r="F236" s="13" t="str">
        <x:v>一次性工伤医疗补助金</x:v>
      </x:c>
      <x:c r="G236" s="13" t="str">
        <x:v>35649元</x:v>
      </x:c>
      <x:c r="H236" s="13" t="str">
        <x:v>必须保留</x:v>
      </x:c>
      <x:c r="I236" s="13" t="str">
        <x:v>仲裁、一审、二审</x:v>
      </x:c>
      <x:c r="J236" s="13" t="str">
        <x:v>保留精确金额</x:v>
      </x:c>
      <x:c r="K236" s="9" t="str">
        <x:v>待核验</x:v>
      </x:c>
      <x:c r="L236" s="11" t="str">
        <x:v>B列数字保持原始类型；条件清单不计已出现事实</x:v>
      </x:c>
    </x:row>
    <x:row r="237" ht="44" customHeight="1">
      <x:c r="A237" s="13" t="str">
        <x:v>OLD-GS-002-041</x:v>
      </x:c>
      <x:c r="B237" s="13" t="str">
        <x:v>GS-002</x:v>
      </x:c>
      <x:c r="C237" s="13" t="str">
        <x:v>【工伤医疗类】案例标注.xlsx</x:v>
      </x:c>
      <x:c r="D237" s="13" t="str">
        <x:v>样例2</x:v>
      </x:c>
      <x:c r="E237" s="13" t="n">
        <x:v>41</x:v>
      </x:c>
      <x:c r="F237" s="13" t="str">
        <x:v>一次性伤残就业补助金</x:v>
      </x:c>
      <x:c r="G237" s="13" t="str">
        <x:v>35649元</x:v>
      </x:c>
      <x:c r="H237" s="13" t="str">
        <x:v>必须保留</x:v>
      </x:c>
      <x:c r="I237" s="13" t="str">
        <x:v>仲裁、一审、二审</x:v>
      </x:c>
      <x:c r="J237" s="13" t="str">
        <x:v>保留精确金额</x:v>
      </x:c>
      <x:c r="K237" s="9" t="str">
        <x:v>待核验</x:v>
      </x:c>
      <x:c r="L237" s="11" t="str">
        <x:v>B列数字保持原始类型；条件清单不计已出现事实</x:v>
      </x:c>
    </x:row>
    <x:row r="238" ht="44" customHeight="1">
      <x:c r="A238" s="13" t="str">
        <x:v>OLD-GS-002-042</x:v>
      </x:c>
      <x:c r="B238" s="13" t="str">
        <x:v>GS-002</x:v>
      </x:c>
      <x:c r="C238" s="13" t="str">
        <x:v>【工伤医疗类】案例标注.xlsx</x:v>
      </x:c>
      <x:c r="D238" s="13" t="str">
        <x:v>样例2</x:v>
      </x:c>
      <x:c r="E238" s="13" t="n">
        <x:v>42</x:v>
      </x:c>
      <x:c r="F238" s="13" t="str">
        <x:v>工伤待遇合计</x:v>
      </x:c>
      <x:c r="G238" s="13" t="str">
        <x:v>163305.9元</x:v>
      </x:c>
      <x:c r="H238" s="13" t="str">
        <x:v>条件保留</x:v>
      </x:c>
      <x:c r="I238" s="13" t="str">
        <x:v>诉讼请求、参考摘要</x:v>
      </x:c>
      <x:c r="J238" s="13" t="str">
        <x:v>可保留作为总额，但应注明原诉讼请求写为163305元；以各分项金额为准</x:v>
      </x:c>
      <x:c r="K238" s="9" t="str">
        <x:v>待核验</x:v>
      </x:c>
      <x:c r="L238" s="11" t="str">
        <x:v>B列数字保持原始类型；条件清单不计已出现事实</x:v>
      </x:c>
    </x:row>
    <x:row r="239" ht="44" customHeight="1">
      <x:c r="A239" s="13" t="str">
        <x:v>OLD-GS-002-043</x:v>
      </x:c>
      <x:c r="B239" s="13" t="str">
        <x:v>GS-002</x:v>
      </x:c>
      <x:c r="C239" s="13" t="str">
        <x:v>【工伤医疗类】案例标注.xlsx</x:v>
      </x:c>
      <x:c r="D239" s="13" t="str">
        <x:v>样例2</x:v>
      </x:c>
      <x:c r="E239" s="13" t="n">
        <x:v>43</x:v>
      </x:c>
      <x:c r="F239" s="13" t="str">
        <x:v>公司关于劳动关系的抗辩</x:v>
      </x:c>
      <x:c r="G239" s="13" t="str">
        <x:v>双方不存在劳动关系，因此公司不应承担工伤责任</x:v>
      </x:c>
      <x:c r="H239" s="13" t="str">
        <x:v>必须保留</x:v>
      </x:c>
      <x:c r="I239" s="13" t="str">
        <x:v>争议焦点一</x:v>
      </x:c>
      <x:c r="J239" s="13" t="str">
        <x:v>保留核心抗辩</x:v>
      </x:c>
      <x:c r="K239" s="9" t="str">
        <x:v>待核验</x:v>
      </x:c>
      <x:c r="L239" s="11" t="str">
        <x:v>B列数字保持原始类型；条件清单不计已出现事实</x:v>
      </x:c>
    </x:row>
    <x:row r="240" ht="44" customHeight="1">
      <x:c r="A240" s="13" t="str">
        <x:v>OLD-GS-002-044</x:v>
      </x:c>
      <x:c r="B240" s="13" t="str">
        <x:v>GS-002</x:v>
      </x:c>
      <x:c r="C240" s="13" t="str">
        <x:v>【工伤医疗类】案例标注.xlsx</x:v>
      </x:c>
      <x:c r="D240" s="13" t="str">
        <x:v>样例2</x:v>
      </x:c>
      <x:c r="E240" s="13" t="n">
        <x:v>44</x:v>
      </x:c>
      <x:c r="F240" s="13" t="str">
        <x:v>公司关于违法分包的抗辩</x:v>
      </x:c>
      <x:c r="G240" s="13" t="str">
        <x:v>一审未查清违法分包事实</x:v>
      </x:c>
      <x:c r="H240" s="13" t="str">
        <x:v>必须保留</x:v>
      </x:c>
      <x:c r="I240" s="13" t="str">
        <x:v>争议焦点一</x:v>
      </x:c>
      <x:c r="J240" s="13" t="str">
        <x:v>保留核心抗辩</x:v>
      </x:c>
      <x:c r="K240" s="9" t="str">
        <x:v>待核验</x:v>
      </x:c>
      <x:c r="L240" s="11" t="str">
        <x:v>B列数字保持原始类型；条件清单不计已出现事实</x:v>
      </x:c>
    </x:row>
    <x:row r="241" ht="44" customHeight="1">
      <x:c r="A241" s="13" t="str">
        <x:v>OLD-GS-002-045</x:v>
      </x:c>
      <x:c r="B241" s="13" t="str">
        <x:v>GS-002</x:v>
      </x:c>
      <x:c r="C241" s="13" t="str">
        <x:v>【工伤医疗类】案例标注.xlsx</x:v>
      </x:c>
      <x:c r="D241" s="13" t="str">
        <x:v>样例2</x:v>
      </x:c>
      <x:c r="E241" s="13" t="n">
        <x:v>45</x:v>
      </x:c>
      <x:c r="F241" s="13" t="str">
        <x:v>法院关于工伤责任的认定</x:v>
      </x:c>
      <x:c r="G241" s="13" t="str">
        <x:v>违法分包情形下，公司承担工伤保险责任不以真实劳动关系为前提</x:v>
      </x:c>
      <x:c r="H241" s="13" t="str">
        <x:v>必须保留</x:v>
      </x:c>
      <x:c r="I241" s="13" t="str">
        <x:v>法院说理</x:v>
      </x:c>
      <x:c r="J241" s="13" t="str">
        <x:v>保留核心法律结论</x:v>
      </x:c>
      <x:c r="K241" s="9" t="str">
        <x:v>待核验</x:v>
      </x:c>
      <x:c r="L241" s="11" t="str">
        <x:v>B列数字保持原始类型；条件清单不计已出现事实</x:v>
      </x:c>
    </x:row>
    <x:row r="242" ht="44" customHeight="1">
      <x:c r="A242" s="13" t="str">
        <x:v>OLD-GS-002-046</x:v>
      </x:c>
      <x:c r="B242" s="13" t="str">
        <x:v>GS-002</x:v>
      </x:c>
      <x:c r="C242" s="13" t="str">
        <x:v>【工伤医疗类】案例标注.xlsx</x:v>
      </x:c>
      <x:c r="D242" s="13" t="str">
        <x:v>样例2</x:v>
      </x:c>
      <x:c r="E242" s="13" t="n">
        <x:v>46</x:v>
      </x:c>
      <x:c r="F242" s="13" t="str">
        <x:v>用工关系事实上终止</x:v>
      </x:c>
      <x:c r="G242" s="13" t="str">
        <x:v>陆某受伤后未再返岗，与吴某之间用工关系事实上终止</x:v>
      </x:c>
      <x:c r="H242" s="13" t="str">
        <x:v>必须保留</x:v>
      </x:c>
      <x:c r="I242" s="13" t="str">
        <x:v>一次性补助金争议</x:v>
      </x:c>
      <x:c r="J242" s="13" t="str">
        <x:v>改为“劳动者B受伤后未再返岗，与自然人C之间的用工关系事实上终止”</x:v>
      </x:c>
      <x:c r="K242" s="9" t="str">
        <x:v>待核验</x:v>
      </x:c>
      <x:c r="L242" s="11" t="str">
        <x:v>B列数字保持原始类型；条件清单不计已出现事实</x:v>
      </x:c>
    </x:row>
    <x:row r="243" ht="44" customHeight="1">
      <x:c r="A243" s="13" t="str">
        <x:v>OLD-GS-002-047</x:v>
      </x:c>
      <x:c r="B243" s="13" t="str">
        <x:v>GS-002</x:v>
      </x:c>
      <x:c r="C243" s="13" t="str">
        <x:v>【工伤医疗类】案例标注.xlsx</x:v>
      </x:c>
      <x:c r="D243" s="13" t="str">
        <x:v>样例2</x:v>
      </x:c>
      <x:c r="E243" s="13" t="n">
        <x:v>47</x:v>
      </x:c>
      <x:c r="F243" s="13" t="str">
        <x:v>仲裁中解除关系主张</x:v>
      </x:c>
      <x:c r="G243" s="13" t="str">
        <x:v>陆某在仲裁中明确提出解除关系</x:v>
      </x:c>
      <x:c r="H243" s="13" t="str">
        <x:v>必须保留</x:v>
      </x:c>
      <x:c r="I243" s="13" t="str">
        <x:v>争议焦点二</x:v>
      </x:c>
      <x:c r="J243" s="13" t="str">
        <x:v>保留，是两项一次性补助金支付条件的重要事实</x:v>
      </x:c>
      <x:c r="K243" s="9" t="str">
        <x:v>待核验</x:v>
      </x:c>
      <x:c r="L243" s="11" t="str">
        <x:v>B列数字保持原始类型；条件清单不计已出现事实</x:v>
      </x:c>
    </x:row>
    <x:row r="244" ht="44" customHeight="1">
      <x:c r="A244" s="13" t="str">
        <x:v>OLD-GS-002-048</x:v>
      </x:c>
      <x:c r="B244" s="13" t="str">
        <x:v>GS-002</x:v>
      </x:c>
      <x:c r="C244" s="13" t="str">
        <x:v>【工伤医疗类】案例标注.xlsx</x:v>
      </x:c>
      <x:c r="D244" s="13" t="str">
        <x:v>样例2</x:v>
      </x:c>
      <x:c r="E244" s="13" t="n">
        <x:v>48</x:v>
      </x:c>
      <x:c r="F244" s="13" t="str">
        <x:v>公司关于两项一次性补助金的抗辩</x:v>
      </x:c>
      <x:c r="G244" s="13" t="str">
        <x:v>双方不存在劳动关系，亦无解除劳动合同，不符合支付条件</x:v>
      </x:c>
      <x:c r="H244" s="13" t="str">
        <x:v>必须保留</x:v>
      </x:c>
      <x:c r="I244" s="13" t="str">
        <x:v>公司抗辩</x:v>
      </x:c>
      <x:c r="J244" s="13" t="str">
        <x:v>保留</x:v>
      </x:c>
      <x:c r="K244" s="9" t="str">
        <x:v>待核验</x:v>
      </x:c>
      <x:c r="L244" s="11" t="str">
        <x:v>B列数字保持原始类型；条件清单不计已出现事实</x:v>
      </x:c>
    </x:row>
    <x:row r="245" ht="44" customHeight="1">
      <x:c r="A245" s="13" t="str">
        <x:v>OLD-GS-002-049</x:v>
      </x:c>
      <x:c r="B245" s="13" t="str">
        <x:v>GS-002</x:v>
      </x:c>
      <x:c r="C245" s="13" t="str">
        <x:v>【工伤医疗类】案例标注.xlsx</x:v>
      </x:c>
      <x:c r="D245" s="13" t="str">
        <x:v>样例2</x:v>
      </x:c>
      <x:c r="E245" s="13" t="n">
        <x:v>49</x:v>
      </x:c>
      <x:c r="F245" s="13" t="str">
        <x:v>法院关于两项补助金的认定</x:v>
      </x:c>
      <x:c r="G245" s="13" t="str">
        <x:v>陆某已提出解除关系主张，符合支付条件</x:v>
      </x:c>
      <x:c r="H245" s="13" t="str">
        <x:v>必须保留</x:v>
      </x:c>
      <x:c r="I245" s="13" t="str">
        <x:v>法院说理</x:v>
      </x:c>
      <x:c r="J245" s="13" t="str">
        <x:v>保留</x:v>
      </x:c>
      <x:c r="K245" s="9" t="str">
        <x:v>待核验</x:v>
      </x:c>
      <x:c r="L245" s="11" t="str">
        <x:v>B列数字保持原始类型；条件清单不计已出现事实</x:v>
      </x:c>
    </x:row>
    <x:row r="246" ht="44" customHeight="1">
      <x:c r="A246" s="13" t="str">
        <x:v>OLD-GS-002-050</x:v>
      </x:c>
      <x:c r="B246" s="13" t="str">
        <x:v>GS-002</x:v>
      </x:c>
      <x:c r="C246" s="13" t="str">
        <x:v>【工伤医疗类】案例标注.xlsx</x:v>
      </x:c>
      <x:c r="D246" s="13" t="str">
        <x:v>样例2</x:v>
      </x:c>
      <x:c r="E246" s="13" t="n">
        <x:v>50</x:v>
      </x:c>
      <x:c r="F246" s="13" t="str">
        <x:v>仲裁裁决日期</x:v>
      </x:c>
      <x:c r="G246" s="13" t="n">
        <x:v>46106</x:v>
      </x:c>
      <x:c r="H246" s="13" t="str">
        <x:v>条件保留</x:v>
      </x:c>
      <x:c r="I246" s="13" t="str">
        <x:v>程序部分</x:v>
      </x:c>
      <x:c r="J246" s="13" t="str">
        <x:v>一般可概括为“2026年仲裁裁决”；需要程序时间线时保留</x:v>
      </x:c>
      <x:c r="K246" s="9" t="str">
        <x:v>待核验</x:v>
      </x:c>
      <x:c r="L246" s="11" t="str">
        <x:v>B列数字保持原始类型；条件清单不计已出现事实</x:v>
      </x:c>
    </x:row>
    <x:row r="247" ht="44" customHeight="1">
      <x:c r="A247" s="13" t="str">
        <x:v>OLD-GS-002-051</x:v>
      </x:c>
      <x:c r="B247" s="13" t="str">
        <x:v>GS-002</x:v>
      </x:c>
      <x:c r="C247" s="13" t="str">
        <x:v>【工伤医疗类】案例标注.xlsx</x:v>
      </x:c>
      <x:c r="D247" s="13" t="str">
        <x:v>样例2</x:v>
      </x:c>
      <x:c r="E247" s="13" t="n">
        <x:v>51</x:v>
      </x:c>
      <x:c r="F247" s="13" t="str">
        <x:v>仲裁结果</x:v>
      </x:c>
      <x:c r="G247" s="13" t="str">
        <x:v>裁决公司支付四项工伤待遇</x:v>
      </x:c>
      <x:c r="H247" s="13" t="str">
        <x:v>必须保留</x:v>
      </x:c>
      <x:c r="I247" s="13" t="str">
        <x:v>仲裁部分</x:v>
      </x:c>
      <x:c r="J247" s="13" t="str">
        <x:v>保留结果，不保留具体编号</x:v>
      </x:c>
      <x:c r="K247" s="9" t="str">
        <x:v>待核验</x:v>
      </x:c>
      <x:c r="L247" s="11" t="str">
        <x:v>B列数字保持原始类型；条件清单不计已出现事实</x:v>
      </x:c>
    </x:row>
    <x:row r="248" ht="44" customHeight="1">
      <x:c r="A248" s="13" t="str">
        <x:v>OLD-GS-002-052</x:v>
      </x:c>
      <x:c r="B248" s="13" t="str">
        <x:v>GS-002</x:v>
      </x:c>
      <x:c r="C248" s="13" t="str">
        <x:v>【工伤医疗类】案例标注.xlsx</x:v>
      </x:c>
      <x:c r="D248" s="13" t="str">
        <x:v>样例2</x:v>
      </x:c>
      <x:c r="E248" s="13" t="n">
        <x:v>52</x:v>
      </x:c>
      <x:c r="F248" s="13" t="str">
        <x:v>公司一审诉讼请求</x:v>
      </x:c>
      <x:c r="G248" s="13" t="str">
        <x:v>请求判决无需支付四项工伤待遇</x:v>
      </x:c>
      <x:c r="H248" s="13" t="str">
        <x:v>必须保留</x:v>
      </x:c>
      <x:c r="I248" s="13" t="str">
        <x:v>一审诉请</x:v>
      </x:c>
      <x:c r="J248" s="13" t="str">
        <x:v>保留四项具体请求及金额</x:v>
      </x:c>
      <x:c r="K248" s="9" t="str">
        <x:v>待核验</x:v>
      </x:c>
      <x:c r="L248" s="11" t="str">
        <x:v>B列数字保持原始类型；条件清单不计已出现事实</x:v>
      </x:c>
    </x:row>
    <x:row r="249" ht="44" customHeight="1">
      <x:c r="A249" s="13" t="str">
        <x:v>OLD-GS-002-053</x:v>
      </x:c>
      <x:c r="B249" s="13" t="str">
        <x:v>GS-002</x:v>
      </x:c>
      <x:c r="C249" s="13" t="str">
        <x:v>【工伤医疗类】案例标注.xlsx</x:v>
      </x:c>
      <x:c r="D249" s="13" t="str">
        <x:v>样例2</x:v>
      </x:c>
      <x:c r="E249" s="13" t="n">
        <x:v>53</x:v>
      </x:c>
      <x:c r="F249" s="13" t="str">
        <x:v>二审上诉请求</x:v>
      </x:c>
      <x:c r="G249" s="13" t="str">
        <x:v>撤销一审判决，改判支持公司全部诉请</x:v>
      </x:c>
      <x:c r="H249" s="13" t="str">
        <x:v>必须保留</x:v>
      </x:c>
      <x:c r="I249" s="13" t="str">
        <x:v>二审上诉</x:v>
      </x:c>
      <x:c r="J249" s="13" t="str">
        <x:v>保留概括即可</x:v>
      </x:c>
      <x:c r="K249" s="9" t="str">
        <x:v>待核验</x:v>
      </x:c>
      <x:c r="L249" s="11" t="str">
        <x:v>B列数字保持原始类型；条件清单不计已出现事实</x:v>
      </x:c>
    </x:row>
    <x:row r="250" ht="44" customHeight="1">
      <x:c r="A250" s="13" t="str">
        <x:v>OLD-GS-002-054</x:v>
      </x:c>
      <x:c r="B250" s="13" t="str">
        <x:v>GS-002</x:v>
      </x:c>
      <x:c r="C250" s="13" t="str">
        <x:v>【工伤医疗类】案例标注.xlsx</x:v>
      </x:c>
      <x:c r="D250" s="13" t="str">
        <x:v>样例2</x:v>
      </x:c>
      <x:c r="E250" s="13" t="n">
        <x:v>54</x:v>
      </x:c>
      <x:c r="F250" s="13" t="str">
        <x:v>二审裁判结果</x:v>
      </x:c>
      <x:c r="G250" s="13" t="str">
        <x:v>驳回上诉，维持原判</x:v>
      </x:c>
      <x:c r="H250" s="13" t="str">
        <x:v>必须保留</x:v>
      </x:c>
      <x:c r="I250" s="13" t="str">
        <x:v>裁判结果</x:v>
      </x:c>
      <x:c r="J250" s="13" t="str">
        <x:v>保留</x:v>
      </x:c>
      <x:c r="K250" s="9" t="str">
        <x:v>待核验</x:v>
      </x:c>
      <x:c r="L250" s="11" t="str">
        <x:v>B列数字保持原始类型；条件清单不计已出现事实</x:v>
      </x:c>
    </x:row>
    <x:row r="251" ht="44" customHeight="1">
      <x:c r="A251" s="13" t="str">
        <x:v>OLD-GS-002-055</x:v>
      </x:c>
      <x:c r="B251" s="13" t="str">
        <x:v>GS-002</x:v>
      </x:c>
      <x:c r="C251" s="13" t="str">
        <x:v>【工伤医疗类】案例标注.xlsx</x:v>
      </x:c>
      <x:c r="D251" s="13" t="str">
        <x:v>样例2</x:v>
      </x:c>
      <x:c r="E251" s="13" t="n">
        <x:v>55</x:v>
      </x:c>
      <x:c r="F251" s="13" t="str">
        <x:v>身份证号</x:v>
      </x:c>
      <x:c r="G251" s="13" t="str">
        <x:v>如原始材料中存在</x:v>
      </x:c>
      <x:c r="H251" s="13" t="str">
        <x:v>禁止外发</x:v>
      </x:c>
      <x:c r="I251" s="13" t="str">
        <x:v>劳动、工伤材料</x:v>
      </x:c>
      <x:c r="J251" s="13" t="str">
        <x:v>完全删除</x:v>
      </x:c>
      <x:c r="K251" s="9" t="str">
        <x:v>待核验</x:v>
      </x:c>
      <x:c r="L251" s="11" t="str">
        <x:v>B列数字保持原始类型；条件清单不计已出现事实</x:v>
      </x:c>
    </x:row>
    <x:row r="252" ht="44" customHeight="1">
      <x:c r="A252" s="13" t="str">
        <x:v>OLD-GS-002-056</x:v>
      </x:c>
      <x:c r="B252" s="13" t="str">
        <x:v>GS-002</x:v>
      </x:c>
      <x:c r="C252" s="13" t="str">
        <x:v>【工伤医疗类】案例标注.xlsx</x:v>
      </x:c>
      <x:c r="D252" s="13" t="str">
        <x:v>样例2</x:v>
      </x:c>
      <x:c r="E252" s="13" t="n">
        <x:v>56</x:v>
      </x:c>
      <x:c r="F252" s="13" t="str">
        <x:v>手机号</x:v>
      </x:c>
      <x:c r="G252" s="13" t="str">
        <x:v>如原始材料中存在</x:v>
      </x:c>
      <x:c r="H252" s="13" t="str">
        <x:v>禁止外发</x:v>
      </x:c>
      <x:c r="I252" s="13" t="str">
        <x:v>原始材料</x:v>
      </x:c>
      <x:c r="J252" s="13" t="str">
        <x:v>完全删除</x:v>
      </x:c>
      <x:c r="K252" s="9" t="str">
        <x:v>待核验</x:v>
      </x:c>
      <x:c r="L252" s="11" t="str">
        <x:v>B列数字保持原始类型；条件清单不计已出现事实</x:v>
      </x:c>
    </x:row>
    <x:row r="253" ht="44" customHeight="1">
      <x:c r="A253" s="13" t="str">
        <x:v>OLD-GS-002-057</x:v>
      </x:c>
      <x:c r="B253" s="13" t="str">
        <x:v>GS-002</x:v>
      </x:c>
      <x:c r="C253" s="13" t="str">
        <x:v>【工伤医疗类】案例标注.xlsx</x:v>
      </x:c>
      <x:c r="D253" s="13" t="str">
        <x:v>样例2</x:v>
      </x:c>
      <x:c r="E253" s="13" t="n">
        <x:v>57</x:v>
      </x:c>
      <x:c r="F253" s="13" t="str">
        <x:v>银行卡号</x:v>
      </x:c>
      <x:c r="G253" s="13" t="str">
        <x:v>如工资表、转账材料中存在</x:v>
      </x:c>
      <x:c r="H253" s="13" t="str">
        <x:v>禁止外发</x:v>
      </x:c>
      <x:c r="I253" s="13" t="str">
        <x:v>工资材料</x:v>
      </x:c>
      <x:c r="J253" s="13" t="str">
        <x:v>删除账户信息，只保留工资金额</x:v>
      </x:c>
      <x:c r="K253" s="9" t="str">
        <x:v>待核验</x:v>
      </x:c>
      <x:c r="L253" s="11" t="str">
        <x:v>B列数字保持原始类型；条件清单不计已出现事实</x:v>
      </x:c>
    </x:row>
    <x:row r="254" ht="44" customHeight="1">
      <x:c r="A254" s="13" t="str">
        <x:v>OLD-GS-002-058</x:v>
      </x:c>
      <x:c r="B254" s="13" t="str">
        <x:v>GS-002</x:v>
      </x:c>
      <x:c r="C254" s="13" t="str">
        <x:v>【工伤医疗类】案例标注.xlsx</x:v>
      </x:c>
      <x:c r="D254" s="13" t="str">
        <x:v>样例2</x:v>
      </x:c>
      <x:c r="E254" s="13" t="n">
        <x:v>58</x:v>
      </x:c>
      <x:c r="F254" s="13" t="str">
        <x:v>详细住址</x:v>
      </x:c>
      <x:c r="G254" s="13" t="str">
        <x:v>如材料中存在</x:v>
      </x:c>
      <x:c r="H254" s="13" t="str">
        <x:v>禁止外发</x:v>
      </x:c>
      <x:c r="I254" s="13" t="str">
        <x:v>原始材料</x:v>
      </x:c>
      <x:c r="J254" s="13" t="str">
        <x:v>删除详细地址</x:v>
      </x:c>
      <x:c r="K254" s="9" t="str">
        <x:v>待核验</x:v>
      </x:c>
      <x:c r="L254" s="11" t="str">
        <x:v>B列数字保持原始类型；条件清单不计已出现事实</x:v>
      </x:c>
    </x:row>
    <x:row r="255" ht="44" customHeight="1">
      <x:c r="A255" s="13" t="str">
        <x:v>OLD-GS-002-059</x:v>
      </x:c>
      <x:c r="B255" s="13" t="str">
        <x:v>GS-002</x:v>
      </x:c>
      <x:c r="C255" s="13" t="str">
        <x:v>【工伤医疗类】案例标注.xlsx</x:v>
      </x:c>
      <x:c r="D255" s="13" t="str">
        <x:v>样例2</x:v>
      </x:c>
      <x:c r="E255" s="13" t="n">
        <x:v>59</x:v>
      </x:c>
      <x:c r="F255" s="13" t="str">
        <x:v>案件受理费</x:v>
      </x:c>
      <x:c r="G255" s="13" t="str">
        <x:v>10元</x:v>
      </x:c>
      <x:c r="H255" s="13" t="str">
        <x:v>默认删除</x:v>
      </x:c>
      <x:c r="I255" s="13" t="str">
        <x:v>裁判结果</x:v>
      </x:c>
      <x:c r="J255" s="13" t="str">
        <x:v>与争议核心无关，删除</x:v>
      </x:c>
      <x:c r="K255" s="9" t="str">
        <x:v>待核验</x:v>
      </x:c>
      <x:c r="L255" s="11" t="str">
        <x:v>B列数字保持原始类型；条件清单不计已出现事实</x:v>
      </x:c>
    </x:row>
    <x:row r="256" ht="44" customHeight="1">
      <x:c r="A256" s="13" t="str">
        <x:v>OLD-GS-003-002</x:v>
      </x:c>
      <x:c r="B256" s="13" t="str">
        <x:v>GS-003</x:v>
      </x:c>
      <x:c r="C256" s="13" t="str">
        <x:v>【工伤医疗类】案例标注.xlsx</x:v>
      </x:c>
      <x:c r="D256" s="13" t="str">
        <x:v>样例3</x:v>
      </x:c>
      <x:c r="E256" s="13" t="n">
        <x:v>2</x:v>
      </x:c>
      <x:c r="F256" s="13" t="str">
        <x:v>劳动者真实姓名</x:v>
      </x:c>
      <x:c r="G256" s="13" t="str">
        <x:v>李某</x:v>
      </x:c>
      <x:c r="H256" s="13" t="str">
        <x:v>假名化保留</x:v>
      </x:c>
      <x:c r="I256" s="13" t="str">
        <x:v>全文</x:v>
      </x:c>
      <x:c r="J256" s="13" t="str">
        <x:v>统一替换为“劳动者B”</x:v>
      </x:c>
      <x:c r="K256" s="9" t="str">
        <x:v>待核验</x:v>
      </x:c>
      <x:c r="L256" s="11" t="str">
        <x:v>B列数字保持原始类型；条件清单不计已出现事实</x:v>
      </x:c>
    </x:row>
    <x:row r="257" ht="44" customHeight="1">
      <x:c r="A257" s="13" t="str">
        <x:v>OLD-GS-003-003</x:v>
      </x:c>
      <x:c r="B257" s="13" t="str">
        <x:v>GS-003</x:v>
      </x:c>
      <x:c r="C257" s="13" t="str">
        <x:v>【工伤医疗类】案例标注.xlsx</x:v>
      </x:c>
      <x:c r="D257" s="13" t="str">
        <x:v>样例3</x:v>
      </x:c>
      <x:c r="E257" s="13" t="n">
        <x:v>3</x:v>
      </x:c>
      <x:c r="F257" s="13" t="str">
        <x:v>用人单位名称</x:v>
      </x:c>
      <x:c r="G257" s="13" t="str">
        <x:v>某公司</x:v>
      </x:c>
      <x:c r="H257" s="13" t="str">
        <x:v>假名化保留</x:v>
      </x:c>
      <x:c r="I257" s="13" t="str">
        <x:v>全文</x:v>
      </x:c>
      <x:c r="J257" s="13" t="str">
        <x:v>统一替换为“公司A”</x:v>
      </x:c>
      <x:c r="K257" s="9" t="str">
        <x:v>待核验</x:v>
      </x:c>
      <x:c r="L257" s="11" t="str">
        <x:v>B列数字保持原始类型；条件清单不计已出现事实</x:v>
      </x:c>
    </x:row>
    <x:row r="258" ht="44" customHeight="1">
      <x:c r="A258" s="13" t="str">
        <x:v>OLD-GS-003-004</x:v>
      </x:c>
      <x:c r="B258" s="13" t="str">
        <x:v>GS-003</x:v>
      </x:c>
      <x:c r="C258" s="13" t="str">
        <x:v>【工伤医疗类】案例标注.xlsx</x:v>
      </x:c>
      <x:c r="D258" s="13" t="str">
        <x:v>样例3</x:v>
      </x:c>
      <x:c r="E258" s="13" t="n">
        <x:v>4</x:v>
      </x:c>
      <x:c r="F258" s="13" t="str">
        <x:v>法定代表人姓名</x:v>
      </x:c>
      <x:c r="G258" s="13" t="str">
        <x:v>N</x:v>
      </x:c>
      <x:c r="H258" s="13" t="str">
        <x:v>默认删除</x:v>
      </x:c>
      <x:c r="I258" s="13" t="str">
        <x:v>案件首部</x:v>
      </x:c>
      <x:c r="J258" s="13" t="str">
        <x:v>与争议无关，删除</x:v>
      </x:c>
      <x:c r="K258" s="9" t="str">
        <x:v>待核验</x:v>
      </x:c>
      <x:c r="L258" s="11" t="str">
        <x:v>B列数字保持原始类型；条件清单不计已出现事实</x:v>
      </x:c>
    </x:row>
    <x:row r="259" ht="44" customHeight="1">
      <x:c r="A259" s="13" t="str">
        <x:v>OLD-GS-003-005</x:v>
      </x:c>
      <x:c r="B259" s="13" t="str">
        <x:v>GS-003</x:v>
      </x:c>
      <x:c r="C259" s="13" t="str">
        <x:v>【工伤医疗类】案例标注.xlsx</x:v>
      </x:c>
      <x:c r="D259" s="13" t="str">
        <x:v>样例3</x:v>
      </x:c>
      <x:c r="E259" s="13" t="n">
        <x:v>5</x:v>
      </x:c>
      <x:c r="F259" s="13" t="str">
        <x:v>委托诉讼代理人姓名</x:v>
      </x:c>
      <x:c r="G259" s="13" t="str">
        <x:v>单某</x:v>
      </x:c>
      <x:c r="H259" s="13" t="str">
        <x:v>默认删除</x:v>
      </x:c>
      <x:c r="I259" s="13" t="str">
        <x:v>案件首部</x:v>
      </x:c>
      <x:c r="J259" s="13" t="str">
        <x:v>删除</x:v>
      </x:c>
      <x:c r="K259" s="9" t="str">
        <x:v>待核验</x:v>
      </x:c>
      <x:c r="L259" s="11" t="str">
        <x:v>B列数字保持原始类型；条件清单不计已出现事实</x:v>
      </x:c>
    </x:row>
    <x:row r="260" ht="44" customHeight="1">
      <x:c r="A260" s="13" t="str">
        <x:v>OLD-GS-003-006</x:v>
      </x:c>
      <x:c r="B260" s="13" t="str">
        <x:v>GS-003</x:v>
      </x:c>
      <x:c r="C260" s="13" t="str">
        <x:v>【工伤医疗类】案例标注.xlsx</x:v>
      </x:c>
      <x:c r="D260" s="13" t="str">
        <x:v>样例3</x:v>
      </x:c>
      <x:c r="E260" s="13" t="n">
        <x:v>6</x:v>
      </x:c>
      <x:c r="F260" s="13" t="str">
        <x:v>审判人员姓名</x:v>
      </x:c>
      <x:c r="G260" s="13" t="str">
        <x:v>文书末尾审判长、审判员姓名</x:v>
      </x:c>
      <x:c r="H260" s="13" t="str">
        <x:v>默认删除</x:v>
      </x:c>
      <x:c r="I260" s="13" t="str">
        <x:v>案件首部</x:v>
      </x:c>
      <x:c r="J260" s="13" t="str">
        <x:v>删除</x:v>
      </x:c>
      <x:c r="K260" s="9" t="str">
        <x:v>待核验</x:v>
      </x:c>
      <x:c r="L260" s="11" t="str">
        <x:v>B列数字保持原始类型；条件清单不计已出现事实</x:v>
      </x:c>
    </x:row>
    <x:row r="261" ht="44" customHeight="1">
      <x:c r="A261" s="13" t="str">
        <x:v>OLD-GS-003-007</x:v>
      </x:c>
      <x:c r="B261" s="13" t="str">
        <x:v>GS-003</x:v>
      </x:c>
      <x:c r="C261" s="13" t="str">
        <x:v>【工伤医疗类】案例标注.xlsx</x:v>
      </x:c>
      <x:c r="D261" s="13" t="str">
        <x:v>样例3</x:v>
      </x:c>
      <x:c r="E261" s="13" t="n">
        <x:v>7</x:v>
      </x:c>
      <x:c r="F261" s="13" t="str">
        <x:v>本案案号</x:v>
      </x:c>
      <x:c r="G261" s="13" t="str">
        <x:v>(2026)京0113民初11766号</x:v>
      </x:c>
      <x:c r="H261" s="13" t="str">
        <x:v>默认删除</x:v>
      </x:c>
      <x:c r="I261" s="13" t="str">
        <x:v>案件首部</x:v>
      </x:c>
      <x:c r="J261" s="13" t="str">
        <x:v>本地案例库留存，外部模型不发送完整案号</x:v>
      </x:c>
      <x:c r="K261" s="9" t="str">
        <x:v>待核验</x:v>
      </x:c>
      <x:c r="L261" s="11" t="str">
        <x:v>B列数字保持原始类型；条件清单不计已出现事实</x:v>
      </x:c>
    </x:row>
    <x:row r="262" ht="44" customHeight="1">
      <x:c r="A262" s="13" t="str">
        <x:v>OLD-GS-003-008</x:v>
      </x:c>
      <x:c r="B262" s="13" t="str">
        <x:v>GS-003</x:v>
      </x:c>
      <x:c r="C262" s="13" t="str">
        <x:v>【工伤医疗类】案例标注.xlsx</x:v>
      </x:c>
      <x:c r="D262" s="13" t="str">
        <x:v>样例3</x:v>
      </x:c>
      <x:c r="E262" s="13" t="n">
        <x:v>8</x:v>
      </x:c>
      <x:c r="F262" s="13" t="str">
        <x:v>法院名称</x:v>
      </x:c>
      <x:c r="G262" s="13" t="str">
        <x:v>北京市顺义区人民法院</x:v>
      </x:c>
      <x:c r="H262" s="13" t="str">
        <x:v>条件保留</x:v>
      </x:c>
      <x:c r="I262" s="13" t="str">
        <x:v>案件首部</x:v>
      </x:c>
      <x:c r="J262" s="13" t="str">
        <x:v>普通法律分析改为“一审法院”；涉及地域规则时可保留“北京市法院”</x:v>
      </x:c>
      <x:c r="K262" s="9" t="str">
        <x:v>待核验</x:v>
      </x:c>
      <x:c r="L262" s="11" t="str">
        <x:v>B列数字保持原始类型；条件清单不计已出现事实</x:v>
      </x:c>
    </x:row>
    <x:row r="263" ht="44" customHeight="1">
      <x:c r="A263" s="13" t="str">
        <x:v>OLD-GS-003-009</x:v>
      </x:c>
      <x:c r="B263" s="13" t="str">
        <x:v>GS-003</x:v>
      </x:c>
      <x:c r="C263" s="13" t="str">
        <x:v>【工伤医疗类】案例标注.xlsx</x:v>
      </x:c>
      <x:c r="D263" s="13" t="str">
        <x:v>样例3</x:v>
      </x:c>
      <x:c r="E263" s="13" t="n">
        <x:v>9</x:v>
      </x:c>
      <x:c r="F263" s="13" t="str">
        <x:v>案件审级</x:v>
      </x:c>
      <x:c r="G263" s="13" t="str">
        <x:v>民事一审</x:v>
      </x:c>
      <x:c r="H263" s="13" t="str">
        <x:v>必须保留</x:v>
      </x:c>
      <x:c r="I263" s="13" t="str">
        <x:v>案件首部</x:v>
      </x:c>
      <x:c r="J263" s="13" t="str">
        <x:v>保留“一审”</x:v>
      </x:c>
      <x:c r="K263" s="9" t="str">
        <x:v>待核验</x:v>
      </x:c>
      <x:c r="L263" s="11" t="str">
        <x:v>B列数字保持原始类型；条件清单不计已出现事实</x:v>
      </x:c>
    </x:row>
    <x:row r="264" ht="44" customHeight="1">
      <x:c r="A264" s="13" t="str">
        <x:v>OLD-GS-003-010</x:v>
      </x:c>
      <x:c r="B264" s="13" t="str">
        <x:v>GS-003</x:v>
      </x:c>
      <x:c r="C264" s="13" t="str">
        <x:v>【工伤医疗类】案例标注.xlsx</x:v>
      </x:c>
      <x:c r="D264" s="13" t="str">
        <x:v>样例3</x:v>
      </x:c>
      <x:c r="E264" s="13" t="n">
        <x:v>10</x:v>
      </x:c>
      <x:c r="F264" s="13" t="str">
        <x:v>劳动者出生日期</x:v>
      </x:c>
      <x:c r="G264" s="13" t="n">
        <x:v>23460</x:v>
      </x:c>
      <x:c r="H264" s="13" t="str">
        <x:v>条件保留</x:v>
      </x:c>
      <x:c r="I264" s="13" t="str">
        <x:v>基本事实</x:v>
      </x:c>
      <x:c r="J264" s="13" t="str">
        <x:v>一般不直接外发出生日期；本案只需保留“2024年3月24日达到法定退休年龄”即可</x:v>
      </x:c>
      <x:c r="K264" s="9" t="str">
        <x:v>待核验</x:v>
      </x:c>
      <x:c r="L264" s="11" t="str">
        <x:v>B列数字保持原始类型；条件清单不计已出现事实</x:v>
      </x:c>
    </x:row>
    <x:row r="265" ht="44" customHeight="1">
      <x:c r="A265" s="13" t="str">
        <x:v>OLD-GS-003-011</x:v>
      </x:c>
      <x:c r="B265" s="13" t="str">
        <x:v>GS-003</x:v>
      </x:c>
      <x:c r="C265" s="13" t="str">
        <x:v>【工伤医疗类】案例标注.xlsx</x:v>
      </x:c>
      <x:c r="D265" s="13" t="str">
        <x:v>样例3</x:v>
      </x:c>
      <x:c r="E265" s="13" t="n">
        <x:v>11</x:v>
      </x:c>
      <x:c r="F265" s="13" t="str">
        <x:v>年龄</x:v>
      </x:c>
      <x:c r="G265" s="13" t="str">
        <x:v>60周岁</x:v>
      </x:c>
      <x:c r="H265" s="13" t="str">
        <x:v>必须保留</x:v>
      </x:c>
      <x:c r="I265" s="13" t="str">
        <x:v>法院认定</x:v>
      </x:c>
      <x:c r="J265" s="13" t="str">
        <x:v>保留“年满60周岁并达到法定退休年龄”</x:v>
      </x:c>
      <x:c r="K265" s="9" t="str">
        <x:v>待核验</x:v>
      </x:c>
      <x:c r="L265" s="11" t="str">
        <x:v>B列数字保持原始类型；条件清单不计已出现事实</x:v>
      </x:c>
    </x:row>
    <x:row r="266" ht="44" customHeight="1">
      <x:c r="A266" s="13" t="str">
        <x:v>OLD-GS-003-012</x:v>
      </x:c>
      <x:c r="B266" s="13" t="str">
        <x:v>GS-003</x:v>
      </x:c>
      <x:c r="C266" s="13" t="str">
        <x:v>【工伤医疗类】案例标注.xlsx</x:v>
      </x:c>
      <x:c r="D266" s="13" t="str">
        <x:v>样例3</x:v>
      </x:c>
      <x:c r="E266" s="13" t="n">
        <x:v>12</x:v>
      </x:c>
      <x:c r="F266" s="13" t="str">
        <x:v>达到法定退休年龄日期</x:v>
      </x:c>
      <x:c r="G266" s="13" t="n">
        <x:v>45375</x:v>
      </x:c>
      <x:c r="H266" s="13" t="str">
        <x:v>必须保留</x:v>
      </x:c>
      <x:c r="I266" s="13" t="str">
        <x:v>基本事实、争议焦点、时效认定</x:v>
      </x:c>
      <x:c r="J266" s="13" t="str">
        <x:v>保留完整日期，是领取资格及仲裁时效判断的核心时间点</x:v>
      </x:c>
      <x:c r="K266" s="9" t="str">
        <x:v>待核验</x:v>
      </x:c>
      <x:c r="L266" s="11" t="str">
        <x:v>B列数字保持原始类型；条件清单不计已出现事实</x:v>
      </x:c>
    </x:row>
    <x:row r="267" ht="44" customHeight="1">
      <x:c r="A267" s="13" t="str">
        <x:v>OLD-GS-003-013</x:v>
      </x:c>
      <x:c r="B267" s="13" t="str">
        <x:v>GS-003</x:v>
      </x:c>
      <x:c r="C267" s="13" t="str">
        <x:v>【工伤医疗类】案例标注.xlsx</x:v>
      </x:c>
      <x:c r="D267" s="13" t="str">
        <x:v>样例3</x:v>
      </x:c>
      <x:c r="E267" s="13" t="n">
        <x:v>13</x:v>
      </x:c>
      <x:c r="F267" s="13" t="str">
        <x:v>工伤发生日期</x:v>
      </x:c>
      <x:c r="G267" s="13" t="n">
        <x:v>39171</x:v>
      </x:c>
      <x:c r="H267" s="13" t="str">
        <x:v>必须保留</x:v>
      </x:c>
      <x:c r="I267" s="13" t="str">
        <x:v>基本事实</x:v>
      </x:c>
      <x:c r="J267" s="13" t="str">
        <x:v>保留；用于说明工伤发生在退休前</x:v>
      </x:c>
      <x:c r="K267" s="9" t="str">
        <x:v>待核验</x:v>
      </x:c>
      <x:c r="L267" s="11" t="str">
        <x:v>B列数字保持原始类型；条件清单不计已出现事实</x:v>
      </x:c>
    </x:row>
    <x:row r="268" ht="44" customHeight="1">
      <x:c r="A268" s="13" t="str">
        <x:v>OLD-GS-003-014</x:v>
      </x:c>
      <x:c r="B268" s="13" t="str">
        <x:v>GS-003</x:v>
      </x:c>
      <x:c r="C268" s="13" t="str">
        <x:v>【工伤医疗类】案例标注.xlsx</x:v>
      </x:c>
      <x:c r="D268" s="13" t="str">
        <x:v>样例3</x:v>
      </x:c>
      <x:c r="E268" s="13" t="n">
        <x:v>14</x:v>
      </x:c>
      <x:c r="F268" s="13" t="str">
        <x:v>工伤认定日期</x:v>
      </x:c>
      <x:c r="G268" s="13" t="n">
        <x:v>39197</x:v>
      </x:c>
      <x:c r="H268" s="13" t="str">
        <x:v>条件保留</x:v>
      </x:c>
      <x:c r="I268" s="13" t="str">
        <x:v>原告诉请、基本事实</x:v>
      </x:c>
      <x:c r="J268" s="13" t="str">
        <x:v>普通资格判断可概括为“2007年被认定为工伤”；需完整时间线时保留日期</x:v>
      </x:c>
      <x:c r="K268" s="9" t="str">
        <x:v>待核验</x:v>
      </x:c>
      <x:c r="L268" s="11" t="str">
        <x:v>B列数字保持原始类型；条件清单不计已出现事实</x:v>
      </x:c>
    </x:row>
    <x:row r="269" ht="44" customHeight="1">
      <x:c r="A269" s="13" t="str">
        <x:v>OLD-GS-003-015</x:v>
      </x:c>
      <x:c r="B269" s="13" t="str">
        <x:v>GS-003</x:v>
      </x:c>
      <x:c r="C269" s="13" t="str">
        <x:v>【工伤医疗类】案例标注.xlsx</x:v>
      </x:c>
      <x:c r="D269" s="13" t="str">
        <x:v>样例3</x:v>
      </x:c>
      <x:c r="E269" s="13" t="n">
        <x:v>15</x:v>
      </x:c>
      <x:c r="F269" s="13" t="str">
        <x:v>工伤认定结果</x:v>
      </x:c>
      <x:c r="G269" s="13" t="str">
        <x:v>被认定为工伤</x:v>
      </x:c>
      <x:c r="H269" s="13" t="str">
        <x:v>必须保留</x:v>
      </x:c>
      <x:c r="I269" s="13" t="str">
        <x:v>基本事实</x:v>
      </x:c>
      <x:c r="J269" s="13" t="str">
        <x:v>保留</x:v>
      </x:c>
      <x:c r="K269" s="9" t="str">
        <x:v>待核验</x:v>
      </x:c>
      <x:c r="L269" s="11" t="str">
        <x:v>B列数字保持原始类型；条件清单不计已出现事实</x:v>
      </x:c>
    </x:row>
    <x:row r="270" ht="44" customHeight="1">
      <x:c r="A270" s="13" t="str">
        <x:v>OLD-GS-003-016</x:v>
      </x:c>
      <x:c r="B270" s="13" t="str">
        <x:v>GS-003</x:v>
      </x:c>
      <x:c r="C270" s="13" t="str">
        <x:v>【工伤医疗类】案例标注.xlsx</x:v>
      </x:c>
      <x:c r="D270" s="13" t="str">
        <x:v>样例3</x:v>
      </x:c>
      <x:c r="E270" s="13" t="n">
        <x:v>16</x:v>
      </x:c>
      <x:c r="F270" s="13" t="str">
        <x:v>劳动能力鉴定日期</x:v>
      </x:c>
      <x:c r="G270" s="13" t="n">
        <x:v>39646</x:v>
      </x:c>
      <x:c r="H270" s="13" t="str">
        <x:v>条件保留</x:v>
      </x:c>
      <x:c r="I270" s="13" t="str">
        <x:v>基本事实</x:v>
      </x:c>
      <x:c r="J270" s="13" t="str">
        <x:v>可概括为“2008年经劳动能力鉴定”</x:v>
      </x:c>
      <x:c r="K270" s="9" t="str">
        <x:v>待核验</x:v>
      </x:c>
      <x:c r="L270" s="11" t="str">
        <x:v>B列数字保持原始类型；条件清单不计已出现事实</x:v>
      </x:c>
    </x:row>
    <x:row r="271" ht="44" customHeight="1">
      <x:c r="A271" s="13" t="str">
        <x:v>OLD-GS-003-017</x:v>
      </x:c>
      <x:c r="B271" s="13" t="str">
        <x:v>GS-003</x:v>
      </x:c>
      <x:c r="C271" s="13" t="str">
        <x:v>【工伤医疗类】案例标注.xlsx</x:v>
      </x:c>
      <x:c r="D271" s="13" t="str">
        <x:v>样例3</x:v>
      </x:c>
      <x:c r="E271" s="13" t="n">
        <x:v>17</x:v>
      </x:c>
      <x:c r="F271" s="13" t="str">
        <x:v>伤残等级</x:v>
      </x:c>
      <x:c r="G271" s="13" t="str">
        <x:v>十级</x:v>
      </x:c>
      <x:c r="H271" s="13" t="str">
        <x:v>必须保留</x:v>
      </x:c>
      <x:c r="I271" s="13" t="str">
        <x:v>基本事实、补助资格</x:v>
      </x:c>
      <x:c r="J271" s="13" t="str">
        <x:v>保留“工伤十级”</x:v>
      </x:c>
      <x:c r="K271" s="9" t="str">
        <x:v>待核验</x:v>
      </x:c>
      <x:c r="L271" s="11" t="str">
        <x:v>B列数字保持原始类型；条件清单不计已出现事实</x:v>
      </x:c>
    </x:row>
    <x:row r="272" ht="44" customHeight="1">
      <x:c r="A272" s="13" t="str">
        <x:v>OLD-GS-003-018</x:v>
      </x:c>
      <x:c r="B272" s="13" t="str">
        <x:v>GS-003</x:v>
      </x:c>
      <x:c r="C272" s="13" t="str">
        <x:v>【工伤医疗类】案例标注.xlsx</x:v>
      </x:c>
      <x:c r="D272" s="13" t="str">
        <x:v>样例3</x:v>
      </x:c>
      <x:c r="E272" s="13" t="n">
        <x:v>18</x:v>
      </x:c>
      <x:c r="F272" s="13" t="str">
        <x:v>解除劳动关系日期</x:v>
      </x:c>
      <x:c r="G272" s="13" t="n">
        <x:v>45376</x:v>
      </x:c>
      <x:c r="H272" s="13" t="str">
        <x:v>必须保留</x:v>
      </x:c>
      <x:c r="I272" s="13" t="str">
        <x:v>解除劳动关系协议</x:v>
      </x:c>
      <x:c r="J272" s="13" t="str">
        <x:v>保留完整日期，与退休、关系终止及补助请求密切相关</x:v>
      </x:c>
      <x:c r="K272" s="9" t="str">
        <x:v>待核验</x:v>
      </x:c>
      <x:c r="L272" s="11" t="str">
        <x:v>B列数字保持原始类型；条件清单不计已出现事实</x:v>
      </x:c>
    </x:row>
    <x:row r="273" ht="44" customHeight="1">
      <x:c r="A273" s="13" t="str">
        <x:v>OLD-GS-003-019</x:v>
      </x:c>
      <x:c r="B273" s="13" t="str">
        <x:v>GS-003</x:v>
      </x:c>
      <x:c r="C273" s="13" t="str">
        <x:v>【工伤医疗类】案例标注.xlsx</x:v>
      </x:c>
      <x:c r="D273" s="13" t="str">
        <x:v>样例3</x:v>
      </x:c>
      <x:c r="E273" s="13" t="n">
        <x:v>19</x:v>
      </x:c>
      <x:c r="F273" s="13" t="str">
        <x:v>解除劳动关系协议</x:v>
      </x:c>
      <x:c r="G273" s="13" t="str">
        <x:v>达到法定退休年龄后签订解除劳动关系协议</x:v>
      </x:c>
      <x:c r="H273" s="13" t="str">
        <x:v>必须保留</x:v>
      </x:c>
      <x:c r="I273" s="13" t="str">
        <x:v>基本事实</x:v>
      </x:c>
      <x:c r="J273" s="13" t="str">
        <x:v>保留协议性质及解除结果；不发送完整协议原件</x:v>
      </x:c>
      <x:c r="K273" s="9" t="str">
        <x:v>待核验</x:v>
      </x:c>
      <x:c r="L273" s="11" t="str">
        <x:v>B列数字保持原始类型；条件清单不计已出现事实</x:v>
      </x:c>
    </x:row>
    <x:row r="274" ht="44" customHeight="1">
      <x:c r="A274" s="13" t="str">
        <x:v>OLD-GS-003-020</x:v>
      </x:c>
      <x:c r="B274" s="13" t="str">
        <x:v>GS-003</x:v>
      </x:c>
      <x:c r="C274" s="13" t="str">
        <x:v>【工伤医疗类】案例标注.xlsx</x:v>
      </x:c>
      <x:c r="D274" s="13" t="str">
        <x:v>样例3</x:v>
      </x:c>
      <x:c r="E274" s="13" t="n">
        <x:v>20</x:v>
      </x:c>
      <x:c r="F274" s="13" t="str">
        <x:v>解除劳动关系协议原件</x:v>
      </x:c>
      <x:c r="G274" s="13" t="str">
        <x:v>原始协议书</x:v>
      </x:c>
      <x:c r="H274" s="13" t="str">
        <x:v>转人工</x:v>
      </x:c>
      <x:c r="I274" s="13" t="str">
        <x:v>证据材料</x:v>
      </x:c>
      <x:c r="J274" s="13" t="str">
        <x:v>仅提取解除日期、解除原因及退休事实；删除签名、身份证号、地址等</x:v>
      </x:c>
      <x:c r="K274" s="9" t="str">
        <x:v>待核验</x:v>
      </x:c>
      <x:c r="L274" s="11" t="str">
        <x:v>B列数字保持原始类型；条件清单不计已出现事实</x:v>
      </x:c>
    </x:row>
    <x:row r="275" ht="44" customHeight="1">
      <x:c r="A275" s="13" t="str">
        <x:v>OLD-GS-003-021</x:v>
      </x:c>
      <x:c r="B275" s="13" t="str">
        <x:v>GS-003</x:v>
      </x:c>
      <x:c r="C275" s="13" t="str">
        <x:v>【工伤医疗类】案例标注.xlsx</x:v>
      </x:c>
      <x:c r="D275" s="13" t="str">
        <x:v>样例3</x:v>
      </x:c>
      <x:c r="E275" s="13" t="n">
        <x:v>21</x:v>
      </x:c>
      <x:c r="F275" s="13" t="str">
        <x:v>退休后继续提供劳务</x:v>
      </x:c>
      <x:c r="G275" s="13" t="str">
        <x:v>退休后继续在某公司工作至2026年1月15日</x:v>
      </x:c>
      <x:c r="H275" s="13" t="str">
        <x:v>必须保留</x:v>
      </x:c>
      <x:c r="I275" s="13" t="str">
        <x:v>李某主张、法院认定</x:v>
      </x:c>
      <x:c r="J275" s="13" t="str">
        <x:v>改为“劳动者B退休后继续向公司A提供劳务至2026年1月15日”</x:v>
      </x:c>
      <x:c r="K275" s="9" t="str">
        <x:v>待核验</x:v>
      </x:c>
      <x:c r="L275" s="11" t="str">
        <x:v>B列数字保持原始类型；条件清单不计已出现事实</x:v>
      </x:c>
    </x:row>
    <x:row r="276" ht="44" customHeight="1">
      <x:c r="A276" s="13" t="str">
        <x:v>OLD-GS-003-022</x:v>
      </x:c>
      <x:c r="B276" s="13" t="str">
        <x:v>GS-003</x:v>
      </x:c>
      <x:c r="C276" s="13" t="str">
        <x:v>【工伤医疗类】案例标注.xlsx</x:v>
      </x:c>
      <x:c r="D276" s="13" t="str">
        <x:v>样例3</x:v>
      </x:c>
      <x:c r="E276" s="13" t="n">
        <x:v>22</x:v>
      </x:c>
      <x:c r="F276" s="13" t="str">
        <x:v>退休后关系性质</x:v>
      </x:c>
      <x:c r="G276" s="13" t="str">
        <x:v>退休后不再构成劳动关系</x:v>
      </x:c>
      <x:c r="H276" s="13" t="str">
        <x:v>必须保留</x:v>
      </x:c>
      <x:c r="I276" s="13" t="str">
        <x:v>法院说理</x:v>
      </x:c>
      <x:c r="J276" s="13" t="str">
        <x:v>保留，是核心法律判断</x:v>
      </x:c>
      <x:c r="K276" s="9" t="str">
        <x:v>待核验</x:v>
      </x:c>
      <x:c r="L276" s="11" t="str">
        <x:v>B列数字保持原始类型；条件清单不计已出现事实</x:v>
      </x:c>
    </x:row>
    <x:row r="277" ht="44" customHeight="1">
      <x:c r="A277" s="13" t="str">
        <x:v>OLD-GS-003-023</x:v>
      </x:c>
      <x:c r="B277" s="13" t="str">
        <x:v>GS-003</x:v>
      </x:c>
      <x:c r="C277" s="13" t="str">
        <x:v>【工伤医疗类】案例标注.xlsx</x:v>
      </x:c>
      <x:c r="D277" s="13" t="str">
        <x:v>样例3</x:v>
      </x:c>
      <x:c r="E277" s="13" t="n">
        <x:v>23</x:v>
      </x:c>
      <x:c r="F277" s="13" t="str">
        <x:v>社会保险缴费情况</x:v>
      </x:c>
      <x:c r="G277" s="13" t="str">
        <x:v>社会保险未达到缴费年限</x:v>
      </x:c>
      <x:c r="H277" s="13" t="str">
        <x:v>条件保留</x:v>
      </x:c>
      <x:c r="I277" s="13" t="str">
        <x:v>李某主张</x:v>
      </x:c>
      <x:c r="J277" s="13" t="str">
        <x:v>可概括为“因社会保险缴费年限不足继续工作”，无需保留账户、具体缴费记录</x:v>
      </x:c>
      <x:c r="K277" s="9" t="str">
        <x:v>待核验</x:v>
      </x:c>
      <x:c r="L277" s="11" t="str">
        <x:v>B列数字保持原始类型；条件清单不计已出现事实</x:v>
      </x:c>
    </x:row>
    <x:row r="278" ht="44" customHeight="1">
      <x:c r="A278" s="13" t="str">
        <x:v>OLD-GS-003-024</x:v>
      </x:c>
      <x:c r="B278" s="13" t="str">
        <x:v>GS-003</x:v>
      </x:c>
      <x:c r="C278" s="13" t="str">
        <x:v>【工伤医疗类】案例标注.xlsx</x:v>
      </x:c>
      <x:c r="D278" s="13" t="str">
        <x:v>样例3</x:v>
      </x:c>
      <x:c r="E278" s="13" t="n">
        <x:v>24</x:v>
      </x:c>
      <x:c r="F278" s="13" t="str">
        <x:v>社保账号、个人编号</x:v>
      </x:c>
      <x:c r="G278" s="13" t="str">
        <x:v>如材料中存在</x:v>
      </x:c>
      <x:c r="H278" s="13" t="str">
        <x:v>禁止外发</x:v>
      </x:c>
      <x:c r="I278" s="13" t="str">
        <x:v>社保材料</x:v>
      </x:c>
      <x:c r="J278" s="13" t="str">
        <x:v>完全删除</x:v>
      </x:c>
      <x:c r="K278" s="9" t="str">
        <x:v>待核验</x:v>
      </x:c>
      <x:c r="L278" s="11" t="str">
        <x:v>B列数字保持原始类型；条件清单不计已出现事实</x:v>
      </x:c>
    </x:row>
    <x:row r="279" ht="44" customHeight="1">
      <x:c r="A279" s="13" t="str">
        <x:v>OLD-GS-003-025</x:v>
      </x:c>
      <x:c r="B279" s="13" t="str">
        <x:v>GS-003</x:v>
      </x:c>
      <x:c r="C279" s="13" t="str">
        <x:v>【工伤医疗类】案例标注.xlsx</x:v>
      </x:c>
      <x:c r="D279" s="13" t="str">
        <x:v>样例3</x:v>
      </x:c>
      <x:c r="E279" s="13" t="n">
        <x:v>25</x:v>
      </x:c>
      <x:c r="F279" s="13" t="str">
        <x:v>继续工作截止日期</x:v>
      </x:c>
      <x:c r="G279" s="13" t="n">
        <x:v>46037</x:v>
      </x:c>
      <x:c r="H279" s="13" t="str">
        <x:v>条件保留</x:v>
      </x:c>
      <x:c r="I279" s="13" t="str">
        <x:v>李某主张</x:v>
      </x:c>
      <x:c r="J279" s="13" t="str">
        <x:v>涉及“退休后继续用工”事实时保留；对补助资格本身不是决定性时间点</x:v>
      </x:c>
      <x:c r="K279" s="9" t="str">
        <x:v>待核验</x:v>
      </x:c>
      <x:c r="L279" s="11" t="str">
        <x:v>B列数字保持原始类型；条件清单不计已出现事实</x:v>
      </x:c>
    </x:row>
    <x:row r="280" ht="44" customHeight="1">
      <x:c r="A280" s="13" t="str">
        <x:v>OLD-GS-003-026</x:v>
      </x:c>
      <x:c r="B280" s="13" t="str">
        <x:v>GS-003</x:v>
      </x:c>
      <x:c r="C280" s="13" t="str">
        <x:v>【工伤医疗类】案例标注.xlsx</x:v>
      </x:c>
      <x:c r="D280" s="13" t="str">
        <x:v>样例3</x:v>
      </x:c>
      <x:c r="E280" s="13" t="n">
        <x:v>26</x:v>
      </x:c>
      <x:c r="F280" s="13" t="str">
        <x:v>一次性伤残就业补助金</x:v>
      </x:c>
      <x:c r="G280" s="13" t="str">
        <x:v>35649元</x:v>
      </x:c>
      <x:c r="H280" s="13" t="str">
        <x:v>必须保留</x:v>
      </x:c>
      <x:c r="I280" s="13" t="str">
        <x:v>诉讼请求、争议焦点</x:v>
      </x:c>
      <x:c r="J280" s="13" t="str">
        <x:v>保留精确金额</x:v>
      </x:c>
      <x:c r="K280" s="9" t="str">
        <x:v>待核验</x:v>
      </x:c>
      <x:c r="L280" s="11" t="str">
        <x:v>B列数字保持原始类型；条件清单不计已出现事实</x:v>
      </x:c>
    </x:row>
    <x:row r="281" ht="44" customHeight="1">
      <x:c r="A281" s="13" t="str">
        <x:v>OLD-GS-003-027</x:v>
      </x:c>
      <x:c r="B281" s="13" t="str">
        <x:v>GS-003</x:v>
      </x:c>
      <x:c r="C281" s="13" t="str">
        <x:v>【工伤医疗类】案例标注.xlsx</x:v>
      </x:c>
      <x:c r="D281" s="13" t="str">
        <x:v>样例3</x:v>
      </x:c>
      <x:c r="E281" s="13" t="n">
        <x:v>27</x:v>
      </x:c>
      <x:c r="F281" s="13" t="str">
        <x:v>补助金计算基数</x:v>
      </x:c>
      <x:c r="G281" s="13" t="str">
        <x:v>11883元</x:v>
      </x:c>
      <x:c r="H281" s="13" t="str">
        <x:v>必须保留</x:v>
      </x:c>
      <x:c r="I281" s="13" t="str">
        <x:v>李某主张</x:v>
      </x:c>
      <x:c r="J281" s="13" t="str">
        <x:v>保留精确金额，用于说明35649元的计算方式</x:v>
      </x:c>
      <x:c r="K281" s="9" t="str">
        <x:v>待核验</x:v>
      </x:c>
      <x:c r="L281" s="11" t="str">
        <x:v>B列数字保持原始类型；条件清单不计已出现事实</x:v>
      </x:c>
    </x:row>
    <x:row r="282" ht="44" customHeight="1">
      <x:c r="A282" s="13" t="str">
        <x:v>OLD-GS-003-028</x:v>
      </x:c>
      <x:c r="B282" s="13" t="str">
        <x:v>GS-003</x:v>
      </x:c>
      <x:c r="C282" s="13" t="str">
        <x:v>【工伤医疗类】案例标注.xlsx</x:v>
      </x:c>
      <x:c r="D282" s="13" t="str">
        <x:v>样例3</x:v>
      </x:c>
      <x:c r="E282" s="13" t="n">
        <x:v>28</x:v>
      </x:c>
      <x:c r="F282" s="13" t="str">
        <x:v>补助金计算月数</x:v>
      </x:c>
      <x:c r="G282" s="13" t="str">
        <x:v>3个月</x:v>
      </x:c>
      <x:c r="H282" s="13" t="str">
        <x:v>必须保留</x:v>
      </x:c>
      <x:c r="I282" s="13" t="str">
        <x:v>李某主张</x:v>
      </x:c>
      <x:c r="J282" s="13" t="str">
        <x:v>保留，与计算金额直接相关</x:v>
      </x:c>
      <x:c r="K282" s="9" t="str">
        <x:v>待核验</x:v>
      </x:c>
      <x:c r="L282" s="11" t="str">
        <x:v>B列数字保持原始类型；条件清单不计已出现事实</x:v>
      </x:c>
    </x:row>
    <x:row r="283" ht="44" customHeight="1">
      <x:c r="A283" s="13" t="str">
        <x:v>OLD-GS-003-029</x:v>
      </x:c>
      <x:c r="B283" s="13" t="str">
        <x:v>GS-003</x:v>
      </x:c>
      <x:c r="C283" s="13" t="str">
        <x:v>【工伤医疗类】案例标注.xlsx</x:v>
      </x:c>
      <x:c r="D283" s="13" t="str">
        <x:v>样例3</x:v>
      </x:c>
      <x:c r="E283" s="13" t="n">
        <x:v>29</x:v>
      </x:c>
      <x:c r="F283" s="13" t="str">
        <x:v>补助金计算关系</x:v>
      </x:c>
      <x:c r="G283" s="13" t="str">
        <x:v>11883元×3个月=35649元</x:v>
      </x:c>
      <x:c r="H283" s="13" t="str">
        <x:v>必须保留</x:v>
      </x:c>
      <x:c r="I283" s="13" t="str">
        <x:v>李某主张</x:v>
      </x:c>
      <x:c r="J283" s="13" t="str">
        <x:v>保留计算逻辑</x:v>
      </x:c>
      <x:c r="K283" s="9" t="str">
        <x:v>待核验</x:v>
      </x:c>
      <x:c r="L283" s="11" t="str">
        <x:v>B列数字保持原始类型；条件清单不计已出现事实</x:v>
      </x:c>
    </x:row>
    <x:row r="284" ht="44" customHeight="1">
      <x:c r="A284" s="13" t="str">
        <x:v>OLD-GS-003-030</x:v>
      </x:c>
      <x:c r="B284" s="13" t="str">
        <x:v>GS-003</x:v>
      </x:c>
      <x:c r="C284" s="13" t="str">
        <x:v>【工伤医疗类】案例标注.xlsx</x:v>
      </x:c>
      <x:c r="D284" s="13" t="str">
        <x:v>样例3</x:v>
      </x:c>
      <x:c r="E284" s="13" t="n">
        <x:v>30</x:v>
      </x:c>
      <x:c r="F284" s="13" t="str">
        <x:v>李某领取补助金主张</x:v>
      </x:c>
      <x:c r="G284" s="13" t="str">
        <x:v>工伤十级且达到相关条件，应支付一次性伤残就业补助金</x:v>
      </x:c>
      <x:c r="H284" s="13" t="str">
        <x:v>必须保留</x:v>
      </x:c>
      <x:c r="I284" s="13" t="str">
        <x:v>原告诉称</x:v>
      </x:c>
      <x:c r="J284" s="13" t="str">
        <x:v>保留核心主张</x:v>
      </x:c>
      <x:c r="K284" s="9" t="str">
        <x:v>待核验</x:v>
      </x:c>
      <x:c r="L284" s="11" t="str">
        <x:v>B列数字保持原始类型；条件清单不计已出现事实</x:v>
      </x:c>
    </x:row>
    <x:row r="285" ht="44" customHeight="1">
      <x:c r="A285" s="13" t="str">
        <x:v>OLD-GS-003-031</x:v>
      </x:c>
      <x:c r="B285" s="13" t="str">
        <x:v>GS-003</x:v>
      </x:c>
      <x:c r="C285" s="13" t="str">
        <x:v>【工伤医疗类】案例标注.xlsx</x:v>
      </x:c>
      <x:c r="D285" s="13" t="str">
        <x:v>样例3</x:v>
      </x:c>
      <x:c r="E285" s="13" t="n">
        <x:v>31</x:v>
      </x:c>
      <x:c r="F285" s="13" t="str">
        <x:v>公司资格抗辩</x:v>
      </x:c>
      <x:c r="G285" s="13" t="str">
        <x:v>达到退休年龄后不再符合一次性伤残就业补助金领取条件</x:v>
      </x:c>
      <x:c r="H285" s="13" t="str">
        <x:v>必须保留</x:v>
      </x:c>
      <x:c r="I285" s="13" t="str">
        <x:v>公司抗辩</x:v>
      </x:c>
      <x:c r="J285" s="13" t="str">
        <x:v>保留</x:v>
      </x:c>
      <x:c r="K285" s="9" t="str">
        <x:v>待核验</x:v>
      </x:c>
      <x:c r="L285" s="11" t="str">
        <x:v>B列数字保持原始类型；条件清单不计已出现事实</x:v>
      </x:c>
    </x:row>
    <x:row r="286" ht="44" customHeight="1">
      <x:c r="A286" s="13" t="str">
        <x:v>OLD-GS-003-032</x:v>
      </x:c>
      <x:c r="B286" s="13" t="str">
        <x:v>GS-003</x:v>
      </x:c>
      <x:c r="C286" s="13" t="str">
        <x:v>【工伤医疗类】案例标注.xlsx</x:v>
      </x:c>
      <x:c r="D286" s="13" t="str">
        <x:v>样例3</x:v>
      </x:c>
      <x:c r="E286" s="13" t="n">
        <x:v>32</x:v>
      </x:c>
      <x:c r="F286" s="13" t="str">
        <x:v>法院资格认定</x:v>
      </x:c>
      <x:c r="G286" s="13" t="str">
        <x:v>超过法定退休年龄后，即便能够认定工伤、享受其他工伤待遇，也不再享受一次性伤残就业补助金</x:v>
      </x:c>
      <x:c r="H286" s="13" t="str">
        <x:v>必须保留</x:v>
      </x:c>
      <x:c r="I286" s="13" t="str">
        <x:v>法院说理</x:v>
      </x:c>
      <x:c r="J286" s="13" t="str">
        <x:v>保留核心法律结论</x:v>
      </x:c>
      <x:c r="K286" s="9" t="str">
        <x:v>待核验</x:v>
      </x:c>
      <x:c r="L286" s="11" t="str">
        <x:v>B列数字保持原始类型；条件清单不计已出现事实</x:v>
      </x:c>
    </x:row>
    <x:row r="287" ht="44" customHeight="1">
      <x:c r="A287" s="13" t="str">
        <x:v>OLD-GS-003-033</x:v>
      </x:c>
      <x:c r="B287" s="13" t="str">
        <x:v>GS-003</x:v>
      </x:c>
      <x:c r="C287" s="13" t="str">
        <x:v>【工伤医疗类】案例标注.xlsx</x:v>
      </x:c>
      <x:c r="D287" s="13" t="str">
        <x:v>样例3</x:v>
      </x:c>
      <x:c r="E287" s="13" t="n">
        <x:v>33</x:v>
      </x:c>
      <x:c r="F287" s="13" t="str">
        <x:v>仲裁申请日期</x:v>
      </x:c>
      <x:c r="G287" s="13" t="n">
        <x:v>46041</x:v>
      </x:c>
      <x:c r="H287" s="13" t="str">
        <x:v>必须保留</x:v>
      </x:c>
      <x:c r="I287" s="13" t="str">
        <x:v>仲裁程序、时效争议</x:v>
      </x:c>
      <x:c r="J287" s="13" t="str">
        <x:v>保留完整日期，因为要与2024年3月24日比较判断一年时效</x:v>
      </x:c>
      <x:c r="K287" s="9" t="str">
        <x:v>待核验</x:v>
      </x:c>
      <x:c r="L287" s="11" t="str">
        <x:v>B列数字保持原始类型；条件清单不计已出现事实</x:v>
      </x:c>
    </x:row>
    <x:row r="288" ht="44" customHeight="1">
      <x:c r="A288" s="13" t="str">
        <x:v>OLD-GS-003-034</x:v>
      </x:c>
      <x:c r="B288" s="13" t="str">
        <x:v>GS-003</x:v>
      </x:c>
      <x:c r="C288" s="13" t="str">
        <x:v>【工伤医疗类】案例标注.xlsx</x:v>
      </x:c>
      <x:c r="D288" s="13" t="str">
        <x:v>样例3</x:v>
      </x:c>
      <x:c r="E288" s="13" t="n">
        <x:v>34</x:v>
      </x:c>
      <x:c r="F288" s="13" t="str">
        <x:v>仲裁裁决日期</x:v>
      </x:c>
      <x:c r="G288" s="13" t="n">
        <x:v>46107</x:v>
      </x:c>
      <x:c r="H288" s="13" t="str">
        <x:v>条件保留</x:v>
      </x:c>
      <x:c r="I288" s="13" t="str">
        <x:v>程序部分</x:v>
      </x:c>
      <x:c r="J288" s="13" t="str">
        <x:v>普通实体分析可删除；需要完整程序线时保留</x:v>
      </x:c>
      <x:c r="K288" s="9" t="str">
        <x:v>待核验</x:v>
      </x:c>
      <x:c r="L288" s="11" t="str">
        <x:v>B列数字保持原始类型；条件清单不计已出现事实</x:v>
      </x:c>
    </x:row>
    <x:row r="289" ht="44" customHeight="1">
      <x:c r="A289" s="13" t="str">
        <x:v>OLD-GS-003-035</x:v>
      </x:c>
      <x:c r="B289" s="13" t="str">
        <x:v>GS-003</x:v>
      </x:c>
      <x:c r="C289" s="13" t="str">
        <x:v>【工伤医疗类】案例标注.xlsx</x:v>
      </x:c>
      <x:c r="D289" s="13" t="str">
        <x:v>样例3</x:v>
      </x:c>
      <x:c r="E289" s="13" t="n">
        <x:v>35</x:v>
      </x:c>
      <x:c r="F289" s="13" t="str">
        <x:v>仲裁案号</x:v>
      </x:c>
      <x:c r="G289" s="13" t="str">
        <x:v>京顺劳人仲字〔2026〕第3234号</x:v>
      </x:c>
      <x:c r="H289" s="13" t="str">
        <x:v>默认删除</x:v>
      </x:c>
      <x:c r="I289" s="13" t="str">
        <x:v>程序部分</x:v>
      </x:c>
      <x:c r="J289" s="13" t="str">
        <x:v>删除具体编号，仅保留“仲裁裁决驳回请求”</x:v>
      </x:c>
      <x:c r="K289" s="9" t="str">
        <x:v>待核验</x:v>
      </x:c>
      <x:c r="L289" s="11" t="str">
        <x:v>B列数字保持原始类型；条件清单不计已出现事实</x:v>
      </x:c>
    </x:row>
    <x:row r="290" ht="44" customHeight="1">
      <x:c r="A290" s="13" t="str">
        <x:v>OLD-GS-003-036</x:v>
      </x:c>
      <x:c r="B290" s="13" t="str">
        <x:v>GS-003</x:v>
      </x:c>
      <x:c r="C290" s="13" t="str">
        <x:v>【工伤医疗类】案例标注.xlsx</x:v>
      </x:c>
      <x:c r="D290" s="13" t="str">
        <x:v>样例3</x:v>
      </x:c>
      <x:c r="E290" s="13" t="n">
        <x:v>36</x:v>
      </x:c>
      <x:c r="F290" s="13" t="str">
        <x:v>仲裁结果</x:v>
      </x:c>
      <x:c r="G290" s="13" t="str">
        <x:v>驳回李某要求支付35649元补助金的请求</x:v>
      </x:c>
      <x:c r="H290" s="13" t="str">
        <x:v>必须保留</x:v>
      </x:c>
      <x:c r="I290" s="13" t="str">
        <x:v>程序部分</x:v>
      </x:c>
      <x:c r="J290" s="13" t="str">
        <x:v>保留结果，不保留具体仲裁编号</x:v>
      </x:c>
      <x:c r="K290" s="9" t="str">
        <x:v>待核验</x:v>
      </x:c>
      <x:c r="L290" s="11" t="str">
        <x:v>B列数字保持原始类型；条件清单不计已出现事实</x:v>
      </x:c>
    </x:row>
    <x:row r="291" ht="44" customHeight="1">
      <x:c r="A291" s="13" t="str">
        <x:v>OLD-GS-003-037</x:v>
      </x:c>
      <x:c r="B291" s="13" t="str">
        <x:v>GS-003</x:v>
      </x:c>
      <x:c r="C291" s="13" t="str">
        <x:v>【工伤医疗类】案例标注.xlsx</x:v>
      </x:c>
      <x:c r="D291" s="13" t="str">
        <x:v>样例3</x:v>
      </x:c>
      <x:c r="E291" s="13" t="n">
        <x:v>37</x:v>
      </x:c>
      <x:c r="F291" s="13" t="str">
        <x:v>仲裁时效</x:v>
      </x:c>
      <x:c r="G291" s="13" t="str">
        <x:v>一年</x:v>
      </x:c>
      <x:c r="H291" s="13" t="str">
        <x:v>必须保留</x:v>
      </x:c>
      <x:c r="I291" s="13" t="str">
        <x:v>争议焦点二、法院说理</x:v>
      </x:c>
      <x:c r="J291" s="13" t="str">
        <x:v>保留</x:v>
      </x:c>
      <x:c r="K291" s="9" t="str">
        <x:v>待核验</x:v>
      </x:c>
      <x:c r="L291" s="11" t="str">
        <x:v>B列数字保持原始类型；条件清单不计已出现事实</x:v>
      </x:c>
    </x:row>
    <x:row r="292" ht="44" customHeight="1">
      <x:c r="A292" s="13" t="str">
        <x:v>OLD-GS-003-038</x:v>
      </x:c>
      <x:c r="B292" s="13" t="str">
        <x:v>GS-003</x:v>
      </x:c>
      <x:c r="C292" s="13" t="str">
        <x:v>【工伤医疗类】案例标注.xlsx</x:v>
      </x:c>
      <x:c r="D292" s="13" t="str">
        <x:v>样例3</x:v>
      </x:c>
      <x:c r="E292" s="13" t="n">
        <x:v>38</x:v>
      </x:c>
      <x:c r="F292" s="13" t="str">
        <x:v>公司时效抗辩</x:v>
      </x:c>
      <x:c r="G292" s="13" t="str">
        <x:v>2026年1月19日申请仲裁已超过一年</x:v>
      </x:c>
      <x:c r="H292" s="13" t="str">
        <x:v>必须保留</x:v>
      </x:c>
      <x:c r="I292" s="13" t="str">
        <x:v>公司抗辩</x:v>
      </x:c>
      <x:c r="J292" s="13" t="str">
        <x:v>保留</x:v>
      </x:c>
      <x:c r="K292" s="9" t="str">
        <x:v>待核验</x:v>
      </x:c>
      <x:c r="L292" s="11" t="str">
        <x:v>B列数字保持原始类型；条件清单不计已出现事实</x:v>
      </x:c>
    </x:row>
    <x:row r="293" ht="44" customHeight="1">
      <x:c r="A293" s="13" t="str">
        <x:v>OLD-GS-003-039</x:v>
      </x:c>
      <x:c r="B293" s="13" t="str">
        <x:v>GS-003</x:v>
      </x:c>
      <x:c r="C293" s="13" t="str">
        <x:v>【工伤医疗类】案例标注.xlsx</x:v>
      </x:c>
      <x:c r="D293" s="13" t="str">
        <x:v>样例3</x:v>
      </x:c>
      <x:c r="E293" s="13" t="n">
        <x:v>39</x:v>
      </x:c>
      <x:c r="F293" s="13" t="str">
        <x:v>法院时效认定</x:v>
      </x:c>
      <x:c r="G293" s="13" t="str">
        <x:v>自2024年3月24日起至2026年1月19日，已超过仲裁时效</x:v>
      </x:c>
      <x:c r="H293" s="13" t="str">
        <x:v>必须保留</x:v>
      </x:c>
      <x:c r="I293" s="13" t="str">
        <x:v>法院说理</x:v>
      </x:c>
      <x:c r="J293" s="13" t="str">
        <x:v>保留起算点、申请时间及“超过一年”的结论</x:v>
      </x:c>
      <x:c r="K293" s="9" t="str">
        <x:v>待核验</x:v>
      </x:c>
      <x:c r="L293" s="11" t="str">
        <x:v>B列数字保持原始类型；条件清单不计已出现事实</x:v>
      </x:c>
    </x:row>
    <x:row r="294" ht="44" customHeight="1">
      <x:c r="A294" s="13" t="str">
        <x:v>OLD-GS-003-040</x:v>
      </x:c>
      <x:c r="B294" s="13" t="str">
        <x:v>GS-003</x:v>
      </x:c>
      <x:c r="C294" s="13" t="str">
        <x:v>【工伤医疗类】案例标注.xlsx</x:v>
      </x:c>
      <x:c r="D294" s="13" t="str">
        <x:v>样例3</x:v>
      </x:c>
      <x:c r="E294" s="13" t="n">
        <x:v>40</x:v>
      </x:c>
      <x:c r="F294" s="13" t="str">
        <x:v>当事人陈述</x:v>
      </x:c>
      <x:c r="G294" s="13" t="str">
        <x:v>李某、某公司的相关陈述</x:v>
      </x:c>
      <x:c r="H294" s="13" t="str">
        <x:v>转人工</x:v>
      </x:c>
      <x:c r="I294" s="13" t="str">
        <x:v>证据部分</x:v>
      </x:c>
      <x:c r="J294" s="13" t="str">
        <x:v>不外发完整笔录，仅提炼与退休、继续用工、补助资格及仲裁时效有关的陈述</x:v>
      </x:c>
      <x:c r="K294" s="9" t="str">
        <x:v>待核验</x:v>
      </x:c>
      <x:c r="L294" s="11" t="str">
        <x:v>B列数字保持原始类型；条件清单不计已出现事实</x:v>
      </x:c>
    </x:row>
    <x:row r="295" ht="44" customHeight="1">
      <x:c r="A295" s="13" t="str">
        <x:v>OLD-GS-003-041</x:v>
      </x:c>
      <x:c r="B295" s="13" t="str">
        <x:v>GS-003</x:v>
      </x:c>
      <x:c r="C295" s="13" t="str">
        <x:v>【工伤医疗类】案例标注.xlsx</x:v>
      </x:c>
      <x:c r="D295" s="13" t="str">
        <x:v>样例3</x:v>
      </x:c>
      <x:c r="E295" s="13" t="n">
        <x:v>41</x:v>
      </x:c>
      <x:c r="F295" s="13" t="str">
        <x:v>仲裁裁决书原件</x:v>
      </x:c>
      <x:c r="G295" s="13" t="str">
        <x:v>原始裁决书</x:v>
      </x:c>
      <x:c r="H295" s="13" t="str">
        <x:v>转人工</x:v>
      </x:c>
      <x:c r="I295" s="13" t="str">
        <x:v>证据材料</x:v>
      </x:c>
      <x:c r="J295" s="13" t="str">
        <x:v>仅提取请求、日期、裁决结果；删除个人标识及无关信息</x:v>
      </x:c>
      <x:c r="K295" s="9" t="str">
        <x:v>待核验</x:v>
      </x:c>
      <x:c r="L295" s="11" t="str">
        <x:v>B列数字保持原始类型；条件清单不计已出现事实</x:v>
      </x:c>
    </x:row>
    <x:row r="296" ht="44" customHeight="1">
      <x:c r="A296" s="13" t="str">
        <x:v>OLD-GS-003-042</x:v>
      </x:c>
      <x:c r="B296" s="13" t="str">
        <x:v>GS-003</x:v>
      </x:c>
      <x:c r="C296" s="13" t="str">
        <x:v>【工伤医疗类】案例标注.xlsx</x:v>
      </x:c>
      <x:c r="D296" s="13" t="str">
        <x:v>样例3</x:v>
      </x:c>
      <x:c r="E296" s="13" t="n">
        <x:v>42</x:v>
      </x:c>
      <x:c r="F296" s="13" t="str">
        <x:v>身份证号</x:v>
      </x:c>
      <x:c r="G296" s="13" t="str">
        <x:v>如材料中存在</x:v>
      </x:c>
      <x:c r="H296" s="13" t="str">
        <x:v>禁止外发</x:v>
      </x:c>
      <x:c r="I296" s="13" t="str">
        <x:v>劳动、社保材料</x:v>
      </x:c>
      <x:c r="J296" s="13" t="str">
        <x:v>完全删除</x:v>
      </x:c>
      <x:c r="K296" s="9" t="str">
        <x:v>待核验</x:v>
      </x:c>
      <x:c r="L296" s="11" t="str">
        <x:v>B列数字保持原始类型；条件清单不计已出现事实</x:v>
      </x:c>
    </x:row>
    <x:row r="297" ht="44" customHeight="1">
      <x:c r="A297" s="13" t="str">
        <x:v>OLD-GS-003-043</x:v>
      </x:c>
      <x:c r="B297" s="13" t="str">
        <x:v>GS-003</x:v>
      </x:c>
      <x:c r="C297" s="13" t="str">
        <x:v>【工伤医疗类】案例标注.xlsx</x:v>
      </x:c>
      <x:c r="D297" s="13" t="str">
        <x:v>样例3</x:v>
      </x:c>
      <x:c r="E297" s="13" t="n">
        <x:v>43</x:v>
      </x:c>
      <x:c r="F297" s="13" t="str">
        <x:v>手机号</x:v>
      </x:c>
      <x:c r="G297" s="13" t="str">
        <x:v>如材料中存在</x:v>
      </x:c>
      <x:c r="H297" s="13" t="str">
        <x:v>禁止外发</x:v>
      </x:c>
      <x:c r="I297" s="13" t="str">
        <x:v>原始材料</x:v>
      </x:c>
      <x:c r="J297" s="13" t="str">
        <x:v>完全删除</x:v>
      </x:c>
      <x:c r="K297" s="9" t="str">
        <x:v>待核验</x:v>
      </x:c>
      <x:c r="L297" s="11" t="str">
        <x:v>B列数字保持原始类型；条件清单不计已出现事实</x:v>
      </x:c>
    </x:row>
    <x:row r="298" ht="44" customHeight="1">
      <x:c r="A298" s="13" t="str">
        <x:v>OLD-GS-003-044</x:v>
      </x:c>
      <x:c r="B298" s="13" t="str">
        <x:v>GS-003</x:v>
      </x:c>
      <x:c r="C298" s="13" t="str">
        <x:v>【工伤医疗类】案例标注.xlsx</x:v>
      </x:c>
      <x:c r="D298" s="13" t="str">
        <x:v>样例3</x:v>
      </x:c>
      <x:c r="E298" s="13" t="n">
        <x:v>44</x:v>
      </x:c>
      <x:c r="F298" s="13" t="str">
        <x:v>详细住所</x:v>
      </x:c>
      <x:c r="G298" s="13" t="str">
        <x:v>如材料中存在</x:v>
      </x:c>
      <x:c r="H298" s="13" t="str">
        <x:v>禁止外发</x:v>
      </x:c>
      <x:c r="I298" s="13" t="str">
        <x:v>原始材料</x:v>
      </x:c>
      <x:c r="J298" s="13" t="str">
        <x:v>删除详细地址</x:v>
      </x:c>
      <x:c r="K298" s="9" t="str">
        <x:v>待核验</x:v>
      </x:c>
      <x:c r="L298" s="11" t="str">
        <x:v>B列数字保持原始类型；条件清单不计已出现事实</x:v>
      </x:c>
    </x:row>
    <x:row r="299" ht="44" customHeight="1">
      <x:c r="A299" s="13" t="str">
        <x:v>OLD-GS-003-045</x:v>
      </x:c>
      <x:c r="B299" s="13" t="str">
        <x:v>GS-003</x:v>
      </x:c>
      <x:c r="C299" s="13" t="str">
        <x:v>【工伤医疗类】案例标注.xlsx</x:v>
      </x:c>
      <x:c r="D299" s="13" t="str">
        <x:v>样例3</x:v>
      </x:c>
      <x:c r="E299" s="13" t="n">
        <x:v>45</x:v>
      </x:c>
      <x:c r="F299" s="13" t="str">
        <x:v>裁判结果</x:v>
      </x:c>
      <x:c r="G299" s="13" t="str">
        <x:v>驳回李某要求公司支付35649元一次性伤残就业补助金的诉讼请求</x:v>
      </x:c>
      <x:c r="H299" s="13" t="str">
        <x:v>必须保留</x:v>
      </x:c>
      <x:c r="I299" s="13" t="str">
        <x:v>判决结果</x:v>
      </x:c>
      <x:c r="J299" s="13" t="str">
        <x:v>保留</x:v>
      </x:c>
      <x:c r="K299" s="9" t="str">
        <x:v>待核验</x:v>
      </x:c>
      <x:c r="L299" s="11" t="str">
        <x:v>B列数字保持原始类型；条件清单不计已出现事实</x:v>
      </x:c>
    </x:row>
    <x:row r="300" ht="44" customHeight="1">
      <x:c r="A300" s="13" t="str">
        <x:v>OLD-GS-003-046</x:v>
      </x:c>
      <x:c r="B300" s="13" t="str">
        <x:v>GS-003</x:v>
      </x:c>
      <x:c r="C300" s="13" t="str">
        <x:v>【工伤医疗类】案例标注.xlsx</x:v>
      </x:c>
      <x:c r="D300" s="13" t="str">
        <x:v>样例3</x:v>
      </x:c>
      <x:c r="E300" s="13" t="n">
        <x:v>46</x:v>
      </x:c>
      <x:c r="F300" s="13" t="str">
        <x:v>案件受理费</x:v>
      </x:c>
      <x:c r="G300" s="13" t="str">
        <x:v>10元</x:v>
      </x:c>
      <x:c r="H300" s="13" t="str">
        <x:v>默认删除</x:v>
      </x:c>
      <x:c r="I300" s="13" t="str">
        <x:v>裁判结果</x:v>
      </x:c>
      <x:c r="J300" s="13" t="str">
        <x:v>与核心劳动争议无关，删除</x:v>
      </x:c>
      <x:c r="K300" s="9" t="str">
        <x:v>待核验</x:v>
      </x:c>
      <x:c r="L300" s="11" t="str">
        <x:v>B列数字保持原始类型；条件清单不计已出现事实</x:v>
      </x:c>
    </x:row>
    <x:row r="301" ht="44" customHeight="1">
      <x:c r="A301" s="13" t="str">
        <x:v>OLD-GS-004-002</x:v>
      </x:c>
      <x:c r="B301" s="13" t="str">
        <x:v>GS-004</x:v>
      </x:c>
      <x:c r="C301" s="13" t="str">
        <x:v>【工伤医疗类】案例标注.xlsx</x:v>
      </x:c>
      <x:c r="D301" s="13" t="str">
        <x:v>样例4</x:v>
      </x:c>
      <x:c r="E301" s="13" t="n">
        <x:v>2</x:v>
      </x:c>
      <x:c r="F301" s="13" t="str">
        <x:v>劳动者真实姓名</x:v>
      </x:c>
      <x:c r="G301" s="13" t="str">
        <x:v>孙某</x:v>
      </x:c>
      <x:c r="H301" s="13" t="str">
        <x:v>假名化保留</x:v>
      </x:c>
      <x:c r="I301" s="13" t="str">
        <x:v>全文</x:v>
      </x:c>
      <x:c r="J301" s="13" t="str">
        <x:v>统一替换为“劳动者B”</x:v>
      </x:c>
      <x:c r="K301" s="9" t="str">
        <x:v>待核验</x:v>
      </x:c>
      <x:c r="L301" s="11" t="str">
        <x:v>B列数字保持原始类型；条件清单不计已出现事实</x:v>
      </x:c>
    </x:row>
    <x:row r="302" ht="44" customHeight="1">
      <x:c r="A302" s="13" t="str">
        <x:v>OLD-GS-004-003</x:v>
      </x:c>
      <x:c r="B302" s="13" t="str">
        <x:v>GS-004</x:v>
      </x:c>
      <x:c r="C302" s="13" t="str">
        <x:v>【工伤医疗类】案例标注.xlsx</x:v>
      </x:c>
      <x:c r="D302" s="13" t="str">
        <x:v>样例4</x:v>
      </x:c>
      <x:c r="E302" s="13" t="n">
        <x:v>3</x:v>
      </x:c>
      <x:c r="F302" s="13" t="str">
        <x:v>用人单位名称</x:v>
      </x:c>
      <x:c r="G302" s="13" t="str">
        <x:v>某公司</x:v>
      </x:c>
      <x:c r="H302" s="13" t="str">
        <x:v>假名化保留</x:v>
      </x:c>
      <x:c r="I302" s="13" t="str">
        <x:v>全文</x:v>
      </x:c>
      <x:c r="J302" s="13" t="str">
        <x:v>统一替换为“公司A”</x:v>
      </x:c>
      <x:c r="K302" s="9" t="str">
        <x:v>待核验</x:v>
      </x:c>
      <x:c r="L302" s="11" t="str">
        <x:v>B列数字保持原始类型；条件清单不计已出现事实</x:v>
      </x:c>
    </x:row>
    <x:row r="303" ht="44" customHeight="1">
      <x:c r="A303" s="13" t="str">
        <x:v>OLD-GS-004-004</x:v>
      </x:c>
      <x:c r="B303" s="13" t="str">
        <x:v>GS-004</x:v>
      </x:c>
      <x:c r="C303" s="13" t="str">
        <x:v>【工伤医疗类】案例标注.xlsx</x:v>
      </x:c>
      <x:c r="D303" s="13" t="str">
        <x:v>样例4</x:v>
      </x:c>
      <x:c r="E303" s="13" t="n">
        <x:v>4</x:v>
      </x:c>
      <x:c r="F303" s="13" t="str">
        <x:v>二审法院名称</x:v>
      </x:c>
      <x:c r="G303" s="13" t="str">
        <x:v>北京市第三中级人民法院</x:v>
      </x:c>
      <x:c r="H303" s="13" t="str">
        <x:v>条件保留</x:v>
      </x:c>
      <x:c r="I303" s="13" t="str">
        <x:v>案件来源、程序部分</x:v>
      </x:c>
      <x:c r="J303" s="13" t="str">
        <x:v>普通案件分析改为“二审法院”；需要分析地域性裁判规则时可保留“北京市法院”层级</x:v>
      </x:c>
      <x:c r="K303" s="9" t="str">
        <x:v>待核验</x:v>
      </x:c>
      <x:c r="L303" s="11" t="str">
        <x:v>B列数字保持原始类型；条件清单不计已出现事实</x:v>
      </x:c>
    </x:row>
    <x:row r="304" ht="44" customHeight="1">
      <x:c r="A304" s="13" t="str">
        <x:v>OLD-GS-004-005</x:v>
      </x:c>
      <x:c r="B304" s="13" t="str">
        <x:v>GS-004</x:v>
      </x:c>
      <x:c r="C304" s="13" t="str">
        <x:v>【工伤医疗类】案例标注.xlsx</x:v>
      </x:c>
      <x:c r="D304" s="13" t="str">
        <x:v>样例4</x:v>
      </x:c>
      <x:c r="E304" s="13" t="n">
        <x:v>5</x:v>
      </x:c>
      <x:c r="F304" s="13" t="str">
        <x:v>本案案号</x:v>
      </x:c>
      <x:c r="G304" s="13" t="str">
        <x:v>(2026)京03民终12491号</x:v>
      </x:c>
      <x:c r="H304" s="13" t="str">
        <x:v>默认删除</x:v>
      </x:c>
      <x:c r="I304" s="13" t="str">
        <x:v>案件首部</x:v>
      </x:c>
      <x:c r="J304" s="13" t="str">
        <x:v>本地案例库保存，外部模型不发送完整案号</x:v>
      </x:c>
      <x:c r="K304" s="9" t="str">
        <x:v>待核验</x:v>
      </x:c>
      <x:c r="L304" s="11" t="str">
        <x:v>B列数字保持原始类型；条件清单不计已出现事实</x:v>
      </x:c>
    </x:row>
    <x:row r="305" ht="44" customHeight="1">
      <x:c r="A305" s="13" t="str">
        <x:v>OLD-GS-004-006</x:v>
      </x:c>
      <x:c r="B305" s="13" t="str">
        <x:v>GS-004</x:v>
      </x:c>
      <x:c r="C305" s="13" t="str">
        <x:v>【工伤医疗类】案例标注.xlsx</x:v>
      </x:c>
      <x:c r="D305" s="13" t="str">
        <x:v>样例4</x:v>
      </x:c>
      <x:c r="E305" s="13" t="n">
        <x:v>6</x:v>
      </x:c>
      <x:c r="F305" s="13" t="str">
        <x:v>前案生效判决案号</x:v>
      </x:c>
      <x:c r="G305" s="13" t="str">
        <x:v>(2025)京03民终2161号</x:v>
      </x:c>
      <x:c r="H305" s="13" t="str">
        <x:v>默认删除</x:v>
      </x:c>
      <x:c r="I305" s="13" t="str">
        <x:v>劳动关系认定部分</x:v>
      </x:c>
      <x:c r="J305" s="13" t="str">
        <x:v>外发时仅保留“此前生效判决已确认双方存在劳动关系”</x:v>
      </x:c>
      <x:c r="K305" s="9" t="str">
        <x:v>待核验</x:v>
      </x:c>
      <x:c r="L305" s="11" t="str">
        <x:v>B列数字保持原始类型；条件清单不计已出现事实</x:v>
      </x:c>
    </x:row>
    <x:row r="306" ht="44" customHeight="1">
      <x:c r="A306" s="13" t="str">
        <x:v>OLD-GS-004-007</x:v>
      </x:c>
      <x:c r="B306" s="13" t="str">
        <x:v>GS-004</x:v>
      </x:c>
      <x:c r="C306" s="13" t="str">
        <x:v>【工伤医疗类】案例标注.xlsx</x:v>
      </x:c>
      <x:c r="D306" s="13" t="str">
        <x:v>样例4</x:v>
      </x:c>
      <x:c r="E306" s="13" t="n">
        <x:v>7</x:v>
      </x:c>
      <x:c r="F306" s="13" t="str">
        <x:v>仲裁案件编号</x:v>
      </x:c>
      <x:c r="G306" s="13" t="str">
        <x:v>京门劳人仲字[2023]第932-2号</x:v>
      </x:c>
      <x:c r="H306" s="13" t="str">
        <x:v>默认删除</x:v>
      </x:c>
      <x:c r="I306" s="13" t="str">
        <x:v>程序部分</x:v>
      </x:c>
      <x:c r="J306" s="13" t="str">
        <x:v>删除具体编号，仅保留“首次仲裁裁决”</x:v>
      </x:c>
      <x:c r="K306" s="9" t="str">
        <x:v>待核验</x:v>
      </x:c>
      <x:c r="L306" s="11" t="str">
        <x:v>B列数字保持原始类型；条件清单不计已出现事实</x:v>
      </x:c>
    </x:row>
    <x:row r="307" ht="44" customHeight="1">
      <x:c r="A307" s="13" t="str">
        <x:v>OLD-GS-004-008</x:v>
      </x:c>
      <x:c r="B307" s="13" t="str">
        <x:v>GS-004</x:v>
      </x:c>
      <x:c r="C307" s="13" t="str">
        <x:v>【工伤医疗类】案例标注.xlsx</x:v>
      </x:c>
      <x:c r="D307" s="13" t="str">
        <x:v>样例4</x:v>
      </x:c>
      <x:c r="E307" s="13" t="n">
        <x:v>8</x:v>
      </x:c>
      <x:c r="F307" s="13" t="str">
        <x:v>撤销仲裁裁决案号</x:v>
      </x:c>
      <x:c r="G307" s="13" t="str">
        <x:v>(2023)京01民特243号</x:v>
      </x:c>
      <x:c r="H307" s="13" t="str">
        <x:v>默认删除</x:v>
      </x:c>
      <x:c r="I307" s="13" t="str">
        <x:v>程序部分</x:v>
      </x:c>
      <x:c r="J307" s="13" t="str">
        <x:v>删除具体案号，仅保留“法院撤销原仲裁裁决”</x:v>
      </x:c>
      <x:c r="K307" s="9" t="str">
        <x:v>待核验</x:v>
      </x:c>
      <x:c r="L307" s="11" t="str">
        <x:v>B列数字保持原始类型；条件清单不计已出现事实</x:v>
      </x:c>
    </x:row>
    <x:row r="308" ht="44" customHeight="1">
      <x:c r="A308" s="13" t="str">
        <x:v>OLD-GS-004-009</x:v>
      </x:c>
      <x:c r="B308" s="13" t="str">
        <x:v>GS-004</x:v>
      </x:c>
      <x:c r="C308" s="13" t="str">
        <x:v>【工伤医疗类】案例标注.xlsx</x:v>
      </x:c>
      <x:c r="D308" s="13" t="str">
        <x:v>样例4</x:v>
      </x:c>
      <x:c r="E308" s="13" t="n">
        <x:v>9</x:v>
      </x:c>
      <x:c r="F308" s="13" t="str">
        <x:v>再次仲裁编号</x:v>
      </x:c>
      <x:c r="G308" s="13" t="str">
        <x:v>京门劳人仲不字[2024]第37号</x:v>
      </x:c>
      <x:c r="H308" s="13" t="str">
        <x:v>默认删除</x:v>
      </x:c>
      <x:c r="I308" s="13" t="str">
        <x:v>程序部分</x:v>
      </x:c>
      <x:c r="J308" s="13" t="str">
        <x:v>删除编号，仅保留“再次仲裁后作出不予受理通知”</x:v>
      </x:c>
      <x:c r="K308" s="9" t="str">
        <x:v>待核验</x:v>
      </x:c>
      <x:c r="L308" s="11" t="str">
        <x:v>B列数字保持原始类型；条件清单不计已出现事实</x:v>
      </x:c>
    </x:row>
    <x:row r="309" ht="44" customHeight="1">
      <x:c r="A309" s="13" t="str">
        <x:v>OLD-GS-004-010</x:v>
      </x:c>
      <x:c r="B309" s="13" t="str">
        <x:v>GS-004</x:v>
      </x:c>
      <x:c r="C309" s="13" t="str">
        <x:v>【工伤医疗类】案例标注.xlsx</x:v>
      </x:c>
      <x:c r="D309" s="13" t="str">
        <x:v>样例4</x:v>
      </x:c>
      <x:c r="E309" s="13" t="n">
        <x:v>10</x:v>
      </x:c>
      <x:c r="F309" s="13" t="str">
        <x:v>审判人员姓名</x:v>
      </x:c>
      <x:c r="G309" s="13" t="str">
        <x:v>文书末尾审判长、审判员姓名</x:v>
      </x:c>
      <x:c r="H309" s="13" t="str">
        <x:v>默认删除</x:v>
      </x:c>
      <x:c r="I309" s="13" t="str">
        <x:v>案件首部</x:v>
      </x:c>
      <x:c r="J309" s="13" t="str">
        <x:v>删除</x:v>
      </x:c>
      <x:c r="K309" s="9" t="str">
        <x:v>待核验</x:v>
      </x:c>
      <x:c r="L309" s="11" t="str">
        <x:v>B列数字保持原始类型；条件清单不计已出现事实</x:v>
      </x:c>
    </x:row>
    <x:row r="310" ht="44" customHeight="1">
      <x:c r="A310" s="13" t="str">
        <x:v>OLD-GS-004-011</x:v>
      </x:c>
      <x:c r="B310" s="13" t="str">
        <x:v>GS-004</x:v>
      </x:c>
      <x:c r="C310" s="13" t="str">
        <x:v>【工伤医疗类】案例标注.xlsx</x:v>
      </x:c>
      <x:c r="D310" s="13" t="str">
        <x:v>样例4</x:v>
      </x:c>
      <x:c r="E310" s="13" t="n">
        <x:v>11</x:v>
      </x:c>
      <x:c r="F310" s="13" t="str">
        <x:v>劳动关系</x:v>
      </x:c>
      <x:c r="G310" s="13" t="str">
        <x:v>孙某与某公司存在劳动关系</x:v>
      </x:c>
      <x:c r="H310" s="13" t="str">
        <x:v>必须保留</x:v>
      </x:c>
      <x:c r="I310" s="13" t="str">
        <x:v>基本事实、前案判决</x:v>
      </x:c>
      <x:c r="J310" s="13" t="str">
        <x:v>改为“劳动者B与公司A存在劳动关系”</x:v>
      </x:c>
      <x:c r="K310" s="9" t="str">
        <x:v>待核验</x:v>
      </x:c>
      <x:c r="L310" s="11" t="str">
        <x:v>B列数字保持原始类型；条件清单不计已出现事实</x:v>
      </x:c>
    </x:row>
    <x:row r="311" ht="44" customHeight="1">
      <x:c r="A311" s="13" t="str">
        <x:v>OLD-GS-004-012</x:v>
      </x:c>
      <x:c r="B311" s="13" t="str">
        <x:v>GS-004</x:v>
      </x:c>
      <x:c r="C311" s="13" t="str">
        <x:v>【工伤医疗类】案例标注.xlsx</x:v>
      </x:c>
      <x:c r="D311" s="13" t="str">
        <x:v>样例4</x:v>
      </x:c>
      <x:c r="E311" s="13" t="n">
        <x:v>12</x:v>
      </x:c>
      <x:c r="F311" s="13" t="str">
        <x:v>入职时间</x:v>
      </x:c>
      <x:c r="G311" s="13" t="n">
        <x:v>44808</x:v>
      </x:c>
      <x:c r="H311" s="13" t="str">
        <x:v>必须保留</x:v>
      </x:c>
      <x:c r="I311" s="13" t="str">
        <x:v>劳动关系基本事实</x:v>
      </x:c>
      <x:c r="J311" s="13" t="str">
        <x:v>保留完整日期</x:v>
      </x:c>
      <x:c r="K311" s="9" t="str">
        <x:v>待核验</x:v>
      </x:c>
      <x:c r="L311" s="11" t="str">
        <x:v>B列数字保持原始类型；条件清单不计已出现事实</x:v>
      </x:c>
    </x:row>
    <x:row r="312" ht="44" customHeight="1">
      <x:c r="A312" s="13" t="str">
        <x:v>OLD-GS-004-013</x:v>
      </x:c>
      <x:c r="B312" s="13" t="str">
        <x:v>GS-004</x:v>
      </x:c>
      <x:c r="C312" s="13" t="str">
        <x:v>【工伤医疗类】案例标注.xlsx</x:v>
      </x:c>
      <x:c r="D312" s="13" t="str">
        <x:v>样例4</x:v>
      </x:c>
      <x:c r="E312" s="13" t="n">
        <x:v>13</x:v>
      </x:c>
      <x:c r="F312" s="13" t="str">
        <x:v>工作岗位</x:v>
      </x:c>
      <x:c r="G312" s="13" t="str">
        <x:v>钢筋工</x:v>
      </x:c>
      <x:c r="H312" s="13" t="str">
        <x:v>必须保留</x:v>
      </x:c>
      <x:c r="I312" s="13" t="str">
        <x:v>劳动关系基本事实</x:v>
      </x:c>
      <x:c r="J312" s="13" t="str">
        <x:v>保留“钢筋工”</x:v>
      </x:c>
      <x:c r="K312" s="9" t="str">
        <x:v>待核验</x:v>
      </x:c>
      <x:c r="L312" s="11" t="str">
        <x:v>B列数字保持原始类型；条件清单不计已出现事实</x:v>
      </x:c>
    </x:row>
    <x:row r="313" ht="44" customHeight="1">
      <x:c r="A313" s="13" t="str">
        <x:v>OLD-GS-004-014</x:v>
      </x:c>
      <x:c r="B313" s="13" t="str">
        <x:v>GS-004</x:v>
      </x:c>
      <x:c r="C313" s="13" t="str">
        <x:v>【工伤医疗类】案例标注.xlsx</x:v>
      </x:c>
      <x:c r="D313" s="13" t="str">
        <x:v>样例4</x:v>
      </x:c>
      <x:c r="E313" s="13" t="n">
        <x:v>14</x:v>
      </x:c>
      <x:c r="F313" s="13" t="str">
        <x:v>劳动合同类型</x:v>
      </x:c>
      <x:c r="G313" s="13" t="str">
        <x:v>以完成一定工作任务为期限</x:v>
      </x:c>
      <x:c r="H313" s="13" t="str">
        <x:v>条件保留</x:v>
      </x:c>
      <x:c r="I313" s="13" t="str">
        <x:v>劳动合同</x:v>
      </x:c>
      <x:c r="J313" s="13" t="str">
        <x:v>普通工伤待遇分析可概括为“双方签订劳动合同”；涉及劳动关系期限时保留合同类型</x:v>
      </x:c>
      <x:c r="K313" s="9" t="str">
        <x:v>待核验</x:v>
      </x:c>
      <x:c r="L313" s="11" t="str">
        <x:v>B列数字保持原始类型；条件清单不计已出现事实</x:v>
      </x:c>
    </x:row>
    <x:row r="314" ht="44" customHeight="1">
      <x:c r="A314" s="13" t="str">
        <x:v>OLD-GS-004-015</x:v>
      </x:c>
      <x:c r="B314" s="13" t="str">
        <x:v>GS-004</x:v>
      </x:c>
      <x:c r="C314" s="13" t="str">
        <x:v>【工伤医疗类】案例标注.xlsx</x:v>
      </x:c>
      <x:c r="D314" s="13" t="str">
        <x:v>样例4</x:v>
      </x:c>
      <x:c r="E314" s="13" t="n">
        <x:v>15</x:v>
      </x:c>
      <x:c r="F314" s="13" t="str">
        <x:v>工伤发生时间</x:v>
      </x:c>
      <x:c r="G314" s="13" t="n">
        <x:v>44868</x:v>
      </x:c>
      <x:c r="H314" s="13" t="str">
        <x:v>必须保留</x:v>
      </x:c>
      <x:c r="I314" s="13" t="str">
        <x:v>基本事实</x:v>
      </x:c>
      <x:c r="J314" s="13" t="str">
        <x:v>保留完整日期</x:v>
      </x:c>
      <x:c r="K314" s="9" t="str">
        <x:v>待核验</x:v>
      </x:c>
      <x:c r="L314" s="11" t="str">
        <x:v>B列数字保持原始类型；条件清单不计已出现事实</x:v>
      </x:c>
    </x:row>
    <x:row r="315" ht="44" customHeight="1">
      <x:c r="A315" s="13" t="str">
        <x:v>OLD-GS-004-016</x:v>
      </x:c>
      <x:c r="B315" s="13" t="str">
        <x:v>GS-004</x:v>
      </x:c>
      <x:c r="C315" s="13" t="str">
        <x:v>【工伤医疗类】案例标注.xlsx</x:v>
      </x:c>
      <x:c r="D315" s="13" t="str">
        <x:v>样例4</x:v>
      </x:c>
      <x:c r="E315" s="13" t="n">
        <x:v>16</x:v>
      </x:c>
      <x:c r="F315" s="13" t="str">
        <x:v>工伤发生情况</x:v>
      </x:c>
      <x:c r="G315" s="13" t="str">
        <x:v>工作过程中受伤</x:v>
      </x:c>
      <x:c r="H315" s="13" t="str">
        <x:v>必须保留</x:v>
      </x:c>
      <x:c r="I315" s="13" t="str">
        <x:v>基本事实</x:v>
      </x:c>
      <x:c r="J315" s="13" t="str">
        <x:v>保留事实概述，无需保留无关场所细节</x:v>
      </x:c>
      <x:c r="K315" s="9" t="str">
        <x:v>待核验</x:v>
      </x:c>
      <x:c r="L315" s="11" t="str">
        <x:v>B列数字保持原始类型；条件清单不计已出现事实</x:v>
      </x:c>
    </x:row>
    <x:row r="316" ht="44" customHeight="1">
      <x:c r="A316" s="13" t="str">
        <x:v>OLD-GS-004-017</x:v>
      </x:c>
      <x:c r="B316" s="13" t="str">
        <x:v>GS-004</x:v>
      </x:c>
      <x:c r="C316" s="13" t="str">
        <x:v>【工伤医疗类】案例标注.xlsx</x:v>
      </x:c>
      <x:c r="D316" s="13" t="str">
        <x:v>样例4</x:v>
      </x:c>
      <x:c r="E316" s="13" t="n">
        <x:v>17</x:v>
      </x:c>
      <x:c r="F316" s="13" t="str">
        <x:v>具体伤情</x:v>
      </x:c>
      <x:c r="G316" s="13" t="str">
        <x:v>胸部损伤；左侧第7、8肋骨骨折；右侧第10肋骨骨折</x:v>
      </x:c>
      <x:c r="H316" s="13" t="str">
        <x:v>必须保留</x:v>
      </x:c>
      <x:c r="I316" s="13" t="str">
        <x:v>工伤证、停工留薪期争议</x:v>
      </x:c>
      <x:c r="J316" s="13" t="str">
        <x:v>保留与停工留薪期判断直接相关的伤情；删除无关诊疗信息</x:v>
      </x:c>
      <x:c r="K316" s="9" t="str">
        <x:v>待核验</x:v>
      </x:c>
      <x:c r="L316" s="11" t="str">
        <x:v>B列数字保持原始类型；条件清单不计已出现事实</x:v>
      </x:c>
    </x:row>
    <x:row r="317" ht="44" customHeight="1">
      <x:c r="A317" s="13" t="str">
        <x:v>OLD-GS-004-018</x:v>
      </x:c>
      <x:c r="B317" s="13" t="str">
        <x:v>GS-004</x:v>
      </x:c>
      <x:c r="C317" s="13" t="str">
        <x:v>【工伤医疗类】案例标注.xlsx</x:v>
      </x:c>
      <x:c r="D317" s="13" t="str">
        <x:v>样例4</x:v>
      </x:c>
      <x:c r="E317" s="13" t="n">
        <x:v>18</x:v>
      </x:c>
      <x:c r="F317" s="13" t="str">
        <x:v>伤残等级</x:v>
      </x:c>
      <x:c r="G317" s="13" t="str">
        <x:v>九级</x:v>
      </x:c>
      <x:c r="H317" s="13" t="str">
        <x:v>必须保留</x:v>
      </x:c>
      <x:c r="I317" s="13" t="str">
        <x:v>劳动能力鉴定</x:v>
      </x:c>
      <x:c r="J317" s="13" t="str">
        <x:v>保留“工伤九级”</x:v>
      </x:c>
      <x:c r="K317" s="9" t="str">
        <x:v>待核验</x:v>
      </x:c>
      <x:c r="L317" s="11" t="str">
        <x:v>B列数字保持原始类型；条件清单不计已出现事实</x:v>
      </x:c>
    </x:row>
    <x:row r="318" ht="44" customHeight="1">
      <x:c r="A318" s="13" t="str">
        <x:v>OLD-GS-004-019</x:v>
      </x:c>
      <x:c r="B318" s="13" t="str">
        <x:v>GS-004</x:v>
      </x:c>
      <x:c r="C318" s="13" t="str">
        <x:v>【工伤医疗类】案例标注.xlsx</x:v>
      </x:c>
      <x:c r="D318" s="13" t="str">
        <x:v>样例4</x:v>
      </x:c>
      <x:c r="E318" s="13" t="n">
        <x:v>19</x:v>
      </x:c>
      <x:c r="F318" s="13" t="str">
        <x:v>工资标准</x:v>
      </x:c>
      <x:c r="G318" s="13" t="str">
        <x:v>260元/天</x:v>
      </x:c>
      <x:c r="H318" s="13" t="str">
        <x:v>必须保留</x:v>
      </x:c>
      <x:c r="I318" s="13" t="str">
        <x:v>基本事实、停工留薪期计算</x:v>
      </x:c>
      <x:c r="J318" s="13" t="str">
        <x:v>保留精确标准</x:v>
      </x:c>
      <x:c r="K318" s="9" t="str">
        <x:v>待核验</x:v>
      </x:c>
      <x:c r="L318" s="11" t="str">
        <x:v>B列数字保持原始类型；条件清单不计已出现事实</x:v>
      </x:c>
    </x:row>
    <x:row r="319" ht="44" customHeight="1">
      <x:c r="A319" s="13" t="str">
        <x:v>OLD-GS-004-020</x:v>
      </x:c>
      <x:c r="B319" s="13" t="str">
        <x:v>GS-004</x:v>
      </x:c>
      <x:c r="C319" s="13" t="str">
        <x:v>【工伤医疗类】案例标注.xlsx</x:v>
      </x:c>
      <x:c r="D319" s="13" t="str">
        <x:v>样例4</x:v>
      </x:c>
      <x:c r="E319" s="13" t="n">
        <x:v>20</x:v>
      </x:c>
      <x:c r="F319" s="13" t="str">
        <x:v>工资支付周期</x:v>
      </x:c>
      <x:c r="G319" s="13" t="str">
        <x:v>每月25日发放上一自然月工资</x:v>
      </x:c>
      <x:c r="H319" s="13" t="str">
        <x:v>条件保留</x:v>
      </x:c>
      <x:c r="I319" s="13" t="str">
        <x:v>一审事实</x:v>
      </x:c>
      <x:c r="J319" s="13" t="str">
        <x:v>普通停工留薪期计算任务可删除；涉及工资支付争议时保留</x:v>
      </x:c>
      <x:c r="K319" s="9" t="str">
        <x:v>待核验</x:v>
      </x:c>
      <x:c r="L319" s="11" t="str">
        <x:v>B列数字保持原始类型；条件清单不计已出现事实</x:v>
      </x:c>
    </x:row>
    <x:row r="320" ht="44" customHeight="1">
      <x:c r="A320" s="13" t="str">
        <x:v>OLD-GS-004-021</x:v>
      </x:c>
      <x:c r="B320" s="13" t="str">
        <x:v>GS-004</x:v>
      </x:c>
      <x:c r="C320" s="13" t="str">
        <x:v>【工伤医疗类】案例标注.xlsx</x:v>
      </x:c>
      <x:c r="D320" s="13" t="str">
        <x:v>样例4</x:v>
      </x:c>
      <x:c r="E320" s="13" t="n">
        <x:v>21</x:v>
      </x:c>
      <x:c r="F320" s="13" t="str">
        <x:v>停工留薪期长度</x:v>
      </x:c>
      <x:c r="G320" s="13" t="str">
        <x:v>公司主张3个月，法院认定4个月</x:v>
      </x:c>
      <x:c r="H320" s="13" t="str">
        <x:v>必须保留</x:v>
      </x:c>
      <x:c r="I320" s="13" t="str">
        <x:v>争议焦点一</x:v>
      </x:c>
      <x:c r="J320" s="13" t="str">
        <x:v>保留双方不同主张及法院结论</x:v>
      </x:c>
      <x:c r="K320" s="9" t="str">
        <x:v>待核验</x:v>
      </x:c>
      <x:c r="L320" s="11" t="str">
        <x:v>B列数字保持原始类型；条件清单不计已出现事实</x:v>
      </x:c>
    </x:row>
    <x:row r="321" ht="44" customHeight="1">
      <x:c r="A321" s="13" t="str">
        <x:v>OLD-GS-004-022</x:v>
      </x:c>
      <x:c r="B321" s="13" t="str">
        <x:v>GS-004</x:v>
      </x:c>
      <x:c r="C321" s="13" t="str">
        <x:v>【工伤医疗类】案例标注.xlsx</x:v>
      </x:c>
      <x:c r="D321" s="13" t="str">
        <x:v>样例4</x:v>
      </x:c>
      <x:c r="E321" s="13" t="n">
        <x:v>22</x:v>
      </x:c>
      <x:c r="F321" s="13" t="str">
        <x:v>停工留薪期起止时间</x:v>
      </x:c>
      <x:c r="G321" s="13" t="str">
        <x:v>2022年11月3日至2023年3月2日</x:v>
      </x:c>
      <x:c r="H321" s="13" t="str">
        <x:v>必须保留</x:v>
      </x:c>
      <x:c r="I321" s="13" t="str">
        <x:v>争议焦点一</x:v>
      </x:c>
      <x:c r="J321" s="13" t="str">
        <x:v>保留完整期间</x:v>
      </x:c>
      <x:c r="K321" s="9" t="str">
        <x:v>待核验</x:v>
      </x:c>
      <x:c r="L321" s="11" t="str">
        <x:v>B列数字保持原始类型；条件清单不计已出现事实</x:v>
      </x:c>
    </x:row>
    <x:row r="322" ht="44" customHeight="1">
      <x:c r="A322" s="13" t="str">
        <x:v>OLD-GS-004-023</x:v>
      </x:c>
      <x:c r="B322" s="13" t="str">
        <x:v>GS-004</x:v>
      </x:c>
      <x:c r="C322" s="13" t="str">
        <x:v>【工伤医疗类】案例标注.xlsx</x:v>
      </x:c>
      <x:c r="D322" s="13" t="str">
        <x:v>样例4</x:v>
      </x:c>
      <x:c r="E322" s="13" t="n">
        <x:v>23</x:v>
      </x:c>
      <x:c r="F322" s="13" t="str">
        <x:v>停工留薪期月标准</x:v>
      </x:c>
      <x:c r="G322" s="13" t="str">
        <x:v>5655元/月</x:v>
      </x:c>
      <x:c r="H322" s="13" t="str">
        <x:v>必须保留</x:v>
      </x:c>
      <x:c r="I322" s="13" t="str">
        <x:v>孙某主张</x:v>
      </x:c>
      <x:c r="J322" s="13" t="str">
        <x:v>保留，作为22620元计算依据</x:v>
      </x:c>
      <x:c r="K322" s="9" t="str">
        <x:v>待核验</x:v>
      </x:c>
      <x:c r="L322" s="11" t="str">
        <x:v>B列数字保持原始类型；条件清单不计已出现事实</x:v>
      </x:c>
    </x:row>
    <x:row r="323" ht="44" customHeight="1">
      <x:c r="A323" s="13" t="str">
        <x:v>OLD-GS-004-024</x:v>
      </x:c>
      <x:c r="B323" s="13" t="str">
        <x:v>GS-004</x:v>
      </x:c>
      <x:c r="C323" s="13" t="str">
        <x:v>【工伤医疗类】案例标注.xlsx</x:v>
      </x:c>
      <x:c r="D323" s="13" t="str">
        <x:v>样例4</x:v>
      </x:c>
      <x:c r="E323" s="13" t="n">
        <x:v>24</x:v>
      </x:c>
      <x:c r="F323" s="13" t="str">
        <x:v>停工留薪期工资</x:v>
      </x:c>
      <x:c r="G323" s="13" t="str">
        <x:v>22620元</x:v>
      </x:c>
      <x:c r="H323" s="13" t="str">
        <x:v>必须保留</x:v>
      </x:c>
      <x:c r="I323" s="13" t="str">
        <x:v>诉讼请求、裁判结果</x:v>
      </x:c>
      <x:c r="J323" s="13" t="str">
        <x:v>保留精确金额</x:v>
      </x:c>
      <x:c r="K323" s="9" t="str">
        <x:v>待核验</x:v>
      </x:c>
      <x:c r="L323" s="11" t="str">
        <x:v>B列数字保持原始类型；条件清单不计已出现事实</x:v>
      </x:c>
    </x:row>
    <x:row r="324" ht="44" customHeight="1">
      <x:c r="A324" s="13" t="str">
        <x:v>OLD-GS-004-025</x:v>
      </x:c>
      <x:c r="B324" s="13" t="str">
        <x:v>GS-004</x:v>
      </x:c>
      <x:c r="C324" s="13" t="str">
        <x:v>【工伤医疗类】案例标注.xlsx</x:v>
      </x:c>
      <x:c r="D324" s="13" t="str">
        <x:v>样例4</x:v>
      </x:c>
      <x:c r="E324" s="13" t="n">
        <x:v>25</x:v>
      </x:c>
      <x:c r="F324" s="13" t="str">
        <x:v>停工留薪期目录分类</x:v>
      </x:c>
      <x:c r="G324" s="13" t="str">
        <x:v>公司主张适用“S22.3肋骨骨折”</x:v>
      </x:c>
      <x:c r="H324" s="13" t="str">
        <x:v>必须保留</x:v>
      </x:c>
      <x:c r="I324" s="13" t="str">
        <x:v>公司抗辩</x:v>
      </x:c>
      <x:c r="J324" s="13" t="str">
        <x:v>保留“S22.3肋骨骨折”及“3个月”的主张，因为属于核心法律争议</x:v>
      </x:c>
      <x:c r="K324" s="9" t="str">
        <x:v>待核验</x:v>
      </x:c>
      <x:c r="L324" s="11" t="str">
        <x:v>B列数字保持原始类型；条件清单不计已出现事实</x:v>
      </x:c>
    </x:row>
    <x:row r="325" ht="44" customHeight="1">
      <x:c r="A325" s="13" t="str">
        <x:v>OLD-GS-004-026</x:v>
      </x:c>
      <x:c r="B325" s="13" t="str">
        <x:v>GS-004</x:v>
      </x:c>
      <x:c r="C325" s="13" t="str">
        <x:v>【工伤医疗类】案例标注.xlsx</x:v>
      </x:c>
      <x:c r="D325" s="13" t="str">
        <x:v>样例4</x:v>
      </x:c>
      <x:c r="E325" s="13" t="n">
        <x:v>26</x:v>
      </x:c>
      <x:c r="F325" s="13" t="str">
        <x:v>工伤认定决定书</x:v>
      </x:c>
      <x:c r="G325" s="13" t="str">
        <x:v>原始工伤认定材料</x:v>
      </x:c>
      <x:c r="H325" s="13" t="str">
        <x:v>转人工</x:v>
      </x:c>
      <x:c r="I325" s="13" t="str">
        <x:v>证据材料</x:v>
      </x:c>
      <x:c r="J325" s="13" t="str">
        <x:v>不外发完整原件；仅提取工伤认定结果、事故时间、必要伤情等信息</x:v>
      </x:c>
      <x:c r="K325" s="9" t="str">
        <x:v>待核验</x:v>
      </x:c>
      <x:c r="L325" s="11" t="str">
        <x:v>B列数字保持原始类型；条件清单不计已出现事实</x:v>
      </x:c>
    </x:row>
    <x:row r="326" ht="44" customHeight="1">
      <x:c r="A326" s="13" t="str">
        <x:v>OLD-GS-004-027</x:v>
      </x:c>
      <x:c r="B326" s="13" t="str">
        <x:v>GS-004</x:v>
      </x:c>
      <x:c r="C326" s="13" t="str">
        <x:v>【工伤医疗类】案例标注.xlsx</x:v>
      </x:c>
      <x:c r="D326" s="13" t="str">
        <x:v>样例4</x:v>
      </x:c>
      <x:c r="E326" s="13" t="n">
        <x:v>27</x:v>
      </x:c>
      <x:c r="F326" s="13" t="str">
        <x:v>劳动能力鉴定材料</x:v>
      </x:c>
      <x:c r="G326" s="13" t="str">
        <x:v>劳动能力鉴定、确认结论通知书</x:v>
      </x:c>
      <x:c r="H326" s="13" t="str">
        <x:v>转人工</x:v>
      </x:c>
      <x:c r="I326" s="13" t="str">
        <x:v>证据材料</x:v>
      </x:c>
      <x:c r="J326" s="13" t="str">
        <x:v>仅保留“九级伤残”及与争议相关内容，不发送完整鉴定材料</x:v>
      </x:c>
      <x:c r="K326" s="9" t="str">
        <x:v>待核验</x:v>
      </x:c>
      <x:c r="L326" s="11" t="str">
        <x:v>B列数字保持原始类型；条件清单不计已出现事实</x:v>
      </x:c>
    </x:row>
    <x:row r="327" ht="44" customHeight="1">
      <x:c r="A327" s="13" t="str">
        <x:v>OLD-GS-004-028</x:v>
      </x:c>
      <x:c r="B327" s="13" t="str">
        <x:v>GS-004</x:v>
      </x:c>
      <x:c r="C327" s="13" t="str">
        <x:v>【工伤医疗类】案例标注.xlsx</x:v>
      </x:c>
      <x:c r="D327" s="13" t="str">
        <x:v>样例4</x:v>
      </x:c>
      <x:c r="E327" s="13" t="n">
        <x:v>28</x:v>
      </x:c>
      <x:c r="F327" s="13" t="str">
        <x:v>工伤证</x:v>
      </x:c>
      <x:c r="G327" s="13" t="str">
        <x:v>包含具体伤情的工伤证</x:v>
      </x:c>
      <x:c r="H327" s="13" t="str">
        <x:v>转人工</x:v>
      </x:c>
      <x:c r="I327" s="13" t="str">
        <x:v>停工留薪期证据</x:v>
      </x:c>
      <x:c r="J327" s="13" t="str">
        <x:v>仅摘取“胸部损伤、肋骨骨折”等与停工留薪期有关的内容</x:v>
      </x:c>
      <x:c r="K327" s="9" t="str">
        <x:v>待核验</x:v>
      </x:c>
      <x:c r="L327" s="11" t="str">
        <x:v>B列数字保持原始类型；条件清单不计已出现事实</x:v>
      </x:c>
    </x:row>
    <x:row r="328" ht="44" customHeight="1">
      <x:c r="A328" s="13" t="str">
        <x:v>OLD-GS-004-029</x:v>
      </x:c>
      <x:c r="B328" s="13" t="str">
        <x:v>GS-004</x:v>
      </x:c>
      <x:c r="C328" s="13" t="str">
        <x:v>【工伤医疗类】案例标注.xlsx</x:v>
      </x:c>
      <x:c r="D328" s="13" t="str">
        <x:v>样例4</x:v>
      </x:c>
      <x:c r="E328" s="13" t="n">
        <x:v>29</x:v>
      </x:c>
      <x:c r="F328" s="13" t="str">
        <x:v>医疗费金额</x:v>
      </x:c>
      <x:c r="G328" s="13" t="str">
        <x:v>293元</x:v>
      </x:c>
      <x:c r="H328" s="13" t="str">
        <x:v>必须保留</x:v>
      </x:c>
      <x:c r="I328" s="13" t="str">
        <x:v>争议焦点二</x:v>
      </x:c>
      <x:c r="J328" s="13" t="str">
        <x:v>保留精确金额</x:v>
      </x:c>
      <x:c r="K328" s="9" t="str">
        <x:v>待核验</x:v>
      </x:c>
      <x:c r="L328" s="11" t="str">
        <x:v>B列数字保持原始类型；条件清单不计已出现事实</x:v>
      </x:c>
    </x:row>
    <x:row r="329" ht="44" customHeight="1">
      <x:c r="A329" s="13" t="str">
        <x:v>OLD-GS-004-030</x:v>
      </x:c>
      <x:c r="B329" s="13" t="str">
        <x:v>GS-004</x:v>
      </x:c>
      <x:c r="C329" s="13" t="str">
        <x:v>【工伤医疗类】案例标注.xlsx</x:v>
      </x:c>
      <x:c r="D329" s="13" t="str">
        <x:v>样例4</x:v>
      </x:c>
      <x:c r="E329" s="13" t="n">
        <x:v>30</x:v>
      </x:c>
      <x:c r="F329" s="13" t="str">
        <x:v>诊断证明书</x:v>
      </x:c>
      <x:c r="G329" s="13" t="str">
        <x:v>孙某提交的诊断证明</x:v>
      </x:c>
      <x:c r="H329" s="13" t="str">
        <x:v>转人工</x:v>
      </x:c>
      <x:c r="I329" s="13" t="str">
        <x:v>医疗费证据</x:v>
      </x:c>
      <x:c r="J329" s="13" t="str">
        <x:v>不发送完整诊断材料；仅保留证明本次工伤治疗及争议医疗费用所需内容</x:v>
      </x:c>
      <x:c r="K329" s="9" t="str">
        <x:v>待核验</x:v>
      </x:c>
      <x:c r="L329" s="11" t="str">
        <x:v>B列数字保持原始类型；条件清单不计已出现事实</x:v>
      </x:c>
    </x:row>
    <x:row r="330" ht="44" customHeight="1">
      <x:c r="A330" s="13" t="str">
        <x:v>OLD-GS-004-031</x:v>
      </x:c>
      <x:c r="B330" s="13" t="str">
        <x:v>GS-004</x:v>
      </x:c>
      <x:c r="C330" s="13" t="str">
        <x:v>【工伤医疗类】案例标注.xlsx</x:v>
      </x:c>
      <x:c r="D330" s="13" t="str">
        <x:v>样例4</x:v>
      </x:c>
      <x:c r="E330" s="13" t="n">
        <x:v>31</x:v>
      </x:c>
      <x:c r="F330" s="13" t="str">
        <x:v>门诊收费票据</x:v>
      </x:c>
      <x:c r="G330" s="13" t="str">
        <x:v>孙某提交的医疗费票据</x:v>
      </x:c>
      <x:c r="H330" s="13" t="str">
        <x:v>转人工</x:v>
      </x:c>
      <x:c r="I330" s="13" t="str">
        <x:v>医疗费证据</x:v>
      </x:c>
      <x:c r="J330" s="13" t="str">
        <x:v>删除姓名、就诊号、医保号等标识，只保留费用金额、日期及与本案有关的收费项目</x:v>
      </x:c>
      <x:c r="K330" s="9" t="str">
        <x:v>待核验</x:v>
      </x:c>
      <x:c r="L330" s="11" t="str">
        <x:v>B列数字保持原始类型；条件清单不计已出现事实</x:v>
      </x:c>
    </x:row>
    <x:row r="331" ht="44" customHeight="1">
      <x:c r="A331" s="13" t="str">
        <x:v>OLD-GS-004-032</x:v>
      </x:c>
      <x:c r="B331" s="13" t="str">
        <x:v>GS-004</x:v>
      </x:c>
      <x:c r="C331" s="13" t="str">
        <x:v>【工伤医疗类】案例标注.xlsx</x:v>
      </x:c>
      <x:c r="D331" s="13" t="str">
        <x:v>样例4</x:v>
      </x:c>
      <x:c r="E331" s="13" t="n">
        <x:v>32</x:v>
      </x:c>
      <x:c r="F331" s="13" t="str">
        <x:v>社保部门医疗费审核结果</x:v>
      </x:c>
      <x:c r="G331" s="13" t="str">
        <x:v>符合工伤保险医疗费报销标准的金额为293元</x:v>
      </x:c>
      <x:c r="H331" s="13" t="str">
        <x:v>必须保留</x:v>
      </x:c>
      <x:c r="I331" s="13" t="str">
        <x:v>医疗费认定</x:v>
      </x:c>
      <x:c r="J331" s="13" t="str">
        <x:v>保留审核结果；机构名称可泛化为“社会保险经办机构”</x:v>
      </x:c>
      <x:c r="K331" s="9" t="str">
        <x:v>待核验</x:v>
      </x:c>
      <x:c r="L331" s="11" t="str">
        <x:v>B列数字保持原始类型；条件清单不计已出现事实</x:v>
      </x:c>
    </x:row>
    <x:row r="332" ht="44" customHeight="1">
      <x:c r="A332" s="13" t="str">
        <x:v>OLD-GS-004-033</x:v>
      </x:c>
      <x:c r="B332" s="13" t="str">
        <x:v>GS-004</x:v>
      </x:c>
      <x:c r="C332" s="13" t="str">
        <x:v>【工伤医疗类】案例标注.xlsx</x:v>
      </x:c>
      <x:c r="D332" s="13" t="str">
        <x:v>样例4</x:v>
      </x:c>
      <x:c r="E332" s="13" t="n">
        <x:v>33</x:v>
      </x:c>
      <x:c r="F332" s="13" t="str">
        <x:v>社保机构名称</x:v>
      </x:c>
      <x:c r="G332" s="13" t="str">
        <x:v>北京市门头沟区社会保险事业管理中心</x:v>
      </x:c>
      <x:c r="H332" s="13" t="str">
        <x:v>条件保留</x:v>
      </x:c>
      <x:c r="I332" s="13" t="str">
        <x:v>医疗费认定</x:v>
      </x:c>
      <x:c r="J332" s="13" t="str">
        <x:v>普通分析改为“当地社会保险经办机构”</x:v>
      </x:c>
      <x:c r="K332" s="9" t="str">
        <x:v>待核验</x:v>
      </x:c>
      <x:c r="L332" s="11" t="str">
        <x:v>B列数字保持原始类型；条件清单不计已出现事实</x:v>
      </x:c>
    </x:row>
    <x:row r="333" ht="44" customHeight="1">
      <x:c r="A333" s="13" t="str">
        <x:v>OLD-GS-004-034</x:v>
      </x:c>
      <x:c r="B333" s="13" t="str">
        <x:v>GS-004</x:v>
      </x:c>
      <x:c r="C333" s="13" t="str">
        <x:v>【工伤医疗类】案例标注.xlsx</x:v>
      </x:c>
      <x:c r="D333" s="13" t="str">
        <x:v>样例4</x:v>
      </x:c>
      <x:c r="E333" s="13" t="n">
        <x:v>34</x:v>
      </x:c>
      <x:c r="F333" s="13" t="str">
        <x:v>公司曾垫付医疗费的主张</x:v>
      </x:c>
      <x:c r="G333" s="13" t="str">
        <x:v>公司主张此前垫付过部分医疗费</x:v>
      </x:c>
      <x:c r="H333" s="13" t="str">
        <x:v>必须保留</x:v>
      </x:c>
      <x:c r="I333" s="13" t="str">
        <x:v>医疗费争议</x:v>
      </x:c>
      <x:c r="J333" s="13" t="str">
        <x:v>保留“公司主张曾垫付”这一抗辩事实</x:v>
      </x:c>
      <x:c r="K333" s="9" t="str">
        <x:v>待核验</x:v>
      </x:c>
      <x:c r="L333" s="11" t="str">
        <x:v>B列数字保持原始类型；条件清单不计已出现事实</x:v>
      </x:c>
    </x:row>
    <x:row r="334" ht="44" customHeight="1">
      <x:c r="A334" s="13" t="str">
        <x:v>OLD-GS-004-035</x:v>
      </x:c>
      <x:c r="B334" s="13" t="str">
        <x:v>GS-004</x:v>
      </x:c>
      <x:c r="C334" s="13" t="str">
        <x:v>【工伤医疗类】案例标注.xlsx</x:v>
      </x:c>
      <x:c r="D334" s="13" t="str">
        <x:v>样例4</x:v>
      </x:c>
      <x:c r="E334" s="13" t="n">
        <x:v>35</x:v>
      </x:c>
      <x:c r="F334" s="13" t="str">
        <x:v>公司垫付医疗费证据情况</x:v>
      </x:c>
      <x:c r="G334" s="13" t="str">
        <x:v>公司无法提供支付记录</x:v>
      </x:c>
      <x:c r="H334" s="13" t="str">
        <x:v>必须保留</x:v>
      </x:c>
      <x:c r="I334" s="13" t="str">
        <x:v>医疗费争议</x:v>
      </x:c>
      <x:c r="J334" s="13" t="str">
        <x:v>保留，是法院分配举证责任和判决293元的重要依据</x:v>
      </x:c>
      <x:c r="K334" s="9" t="str">
        <x:v>待核验</x:v>
      </x:c>
      <x:c r="L334" s="11" t="str">
        <x:v>B列数字保持原始类型；条件清单不计已出现事实</x:v>
      </x:c>
    </x:row>
    <x:row r="335" ht="44" customHeight="1">
      <x:c r="A335" s="13" t="str">
        <x:v>OLD-GS-004-036</x:v>
      </x:c>
      <x:c r="B335" s="13" t="str">
        <x:v>GS-004</x:v>
      </x:c>
      <x:c r="C335" s="13" t="str">
        <x:v>【工伤医疗类】案例标注.xlsx</x:v>
      </x:c>
      <x:c r="D335" s="13" t="str">
        <x:v>样例4</x:v>
      </x:c>
      <x:c r="E335" s="13" t="n">
        <x:v>36</x:v>
      </x:c>
      <x:c r="F335" s="13" t="str">
        <x:v>公司未缴纳社会保险</x:v>
      </x:c>
      <x:c r="G335" s="13" t="str">
        <x:v>某公司未为孙某缴纳社保</x:v>
      </x:c>
      <x:c r="H335" s="13" t="str">
        <x:v>必须保留</x:v>
      </x:c>
      <x:c r="I335" s="13" t="str">
        <x:v>医疗费认定</x:v>
      </x:c>
      <x:c r="J335" s="13" t="str">
        <x:v>保留，是公司承担293元医疗费的重要事实</x:v>
      </x:c>
      <x:c r="K335" s="9" t="str">
        <x:v>待核验</x:v>
      </x:c>
      <x:c r="L335" s="11" t="str">
        <x:v>B列数字保持原始类型；条件清单不计已出现事实</x:v>
      </x:c>
    </x:row>
    <x:row r="336" ht="44" customHeight="1">
      <x:c r="A336" s="13" t="str">
        <x:v>OLD-GS-004-037</x:v>
      </x:c>
      <x:c r="B336" s="13" t="str">
        <x:v>GS-004</x:v>
      </x:c>
      <x:c r="C336" s="13" t="str">
        <x:v>【工伤医疗类】案例标注.xlsx</x:v>
      </x:c>
      <x:c r="D336" s="13" t="str">
        <x:v>样例4</x:v>
      </x:c>
      <x:c r="E336" s="13" t="n">
        <x:v>37</x:v>
      </x:c>
      <x:c r="F336" s="13" t="str">
        <x:v>劳动合同原件</x:v>
      </x:c>
      <x:c r="G336" s="13" t="str">
        <x:v>劳动合同书</x:v>
      </x:c>
      <x:c r="H336" s="13" t="str">
        <x:v>转人工</x:v>
      </x:c>
      <x:c r="I336" s="13" t="str">
        <x:v>劳动关系证据</x:v>
      </x:c>
      <x:c r="J336" s="13" t="str">
        <x:v>外部模型只接收主体关系、入职时间、岗位及合同类型；删除签名、身份证号、地址等</x:v>
      </x:c>
      <x:c r="K336" s="9" t="str">
        <x:v>待核验</x:v>
      </x:c>
      <x:c r="L336" s="11" t="str">
        <x:v>B列数字保持原始类型；条件清单不计已出现事实</x:v>
      </x:c>
    </x:row>
    <x:row r="337" ht="44" customHeight="1">
      <x:c r="A337" s="13" t="str">
        <x:v>OLD-GS-004-038</x:v>
      </x:c>
      <x:c r="B337" s="13" t="str">
        <x:v>GS-004</x:v>
      </x:c>
      <x:c r="C337" s="13" t="str">
        <x:v>【工伤医疗类】案例标注.xlsx</x:v>
      </x:c>
      <x:c r="D337" s="13" t="str">
        <x:v>样例4</x:v>
      </x:c>
      <x:c r="E337" s="13" t="n">
        <x:v>38</x:v>
      </x:c>
      <x:c r="F337" s="13" t="str">
        <x:v>银行代发工资记录</x:v>
      </x:c>
      <x:c r="G337" s="13" t="str">
        <x:v>孙某提交银行工资记录</x:v>
      </x:c>
      <x:c r="H337" s="13" t="str">
        <x:v>转人工</x:v>
      </x:c>
      <x:c r="I337" s="13" t="str">
        <x:v>劳动关系证据</x:v>
      </x:c>
      <x:c r="J337" s="13" t="str">
        <x:v>仅保留工资发放事实、金额和必要日期；删除银行卡号、交易流水号等</x:v>
      </x:c>
      <x:c r="K337" s="9" t="str">
        <x:v>待核验</x:v>
      </x:c>
      <x:c r="L337" s="11" t="str">
        <x:v>B列数字保持原始类型；条件清单不计已出现事实</x:v>
      </x:c>
    </x:row>
    <x:row r="338" ht="44" customHeight="1">
      <x:c r="A338" s="13" t="str">
        <x:v>OLD-GS-004-039</x:v>
      </x:c>
      <x:c r="B338" s="13" t="str">
        <x:v>GS-004</x:v>
      </x:c>
      <x:c r="C338" s="13" t="str">
        <x:v>【工伤医疗类】案例标注.xlsx</x:v>
      </x:c>
      <x:c r="D338" s="13" t="str">
        <x:v>样例4</x:v>
      </x:c>
      <x:c r="E338" s="13" t="n">
        <x:v>39</x:v>
      </x:c>
      <x:c r="F338" s="13" t="str">
        <x:v>银行卡号</x:v>
      </x:c>
      <x:c r="G338" s="13" t="str">
        <x:v>如工资记录中存在</x:v>
      </x:c>
      <x:c r="H338" s="13" t="str">
        <x:v>禁止外发</x:v>
      </x:c>
      <x:c r="I338" s="13" t="str">
        <x:v>银行记录</x:v>
      </x:c>
      <x:c r="J338" s="13" t="str">
        <x:v>完全删除</x:v>
      </x:c>
      <x:c r="K338" s="9" t="str">
        <x:v>待核验</x:v>
      </x:c>
      <x:c r="L338" s="11" t="str">
        <x:v>B列数字保持原始类型；条件清单不计已出现事实</x:v>
      </x:c>
    </x:row>
    <x:row r="339" ht="44" customHeight="1">
      <x:c r="A339" s="13" t="str">
        <x:v>OLD-GS-004-040</x:v>
      </x:c>
      <x:c r="B339" s="13" t="str">
        <x:v>GS-004</x:v>
      </x:c>
      <x:c r="C339" s="13" t="str">
        <x:v>【工伤医疗类】案例标注.xlsx</x:v>
      </x:c>
      <x:c r="D339" s="13" t="str">
        <x:v>样例4</x:v>
      </x:c>
      <x:c r="E339" s="13" t="n">
        <x:v>40</x:v>
      </x:c>
      <x:c r="F339" s="13" t="str">
        <x:v>身份证号</x:v>
      </x:c>
      <x:c r="G339" s="13" t="str">
        <x:v>如劳动合同、医疗材料中存在</x:v>
      </x:c>
      <x:c r="H339" s="13" t="str">
        <x:v>禁止外发</x:v>
      </x:c>
      <x:c r="I339" s="13" t="str">
        <x:v>原始材料</x:v>
      </x:c>
      <x:c r="J339" s="13" t="str">
        <x:v>完全删除</x:v>
      </x:c>
      <x:c r="K339" s="9" t="str">
        <x:v>待核验</x:v>
      </x:c>
      <x:c r="L339" s="11" t="str">
        <x:v>B列数字保持原始类型；条件清单不计已出现事实</x:v>
      </x:c>
    </x:row>
    <x:row r="340" ht="44" customHeight="1">
      <x:c r="A340" s="13" t="str">
        <x:v>OLD-GS-004-041</x:v>
      </x:c>
      <x:c r="B340" s="13" t="str">
        <x:v>GS-004</x:v>
      </x:c>
      <x:c r="C340" s="13" t="str">
        <x:v>【工伤医疗类】案例标注.xlsx</x:v>
      </x:c>
      <x:c r="D340" s="13" t="str">
        <x:v>样例4</x:v>
      </x:c>
      <x:c r="E340" s="13" t="n">
        <x:v>41</x:v>
      </x:c>
      <x:c r="F340" s="13" t="str">
        <x:v>手机号</x:v>
      </x:c>
      <x:c r="G340" s="13" t="str">
        <x:v>如劳动合同、医疗材料中存在</x:v>
      </x:c>
      <x:c r="H340" s="13" t="str">
        <x:v>禁止外发</x:v>
      </x:c>
      <x:c r="I340" s="13" t="str">
        <x:v>原始材料</x:v>
      </x:c>
      <x:c r="J340" s="13" t="str">
        <x:v>完全删除</x:v>
      </x:c>
      <x:c r="K340" s="9" t="str">
        <x:v>待核验</x:v>
      </x:c>
      <x:c r="L340" s="11" t="str">
        <x:v>B列数字保持原始类型；条件清单不计已出现事实</x:v>
      </x:c>
    </x:row>
    <x:row r="341" ht="44" customHeight="1">
      <x:c r="A341" s="13" t="str">
        <x:v>OLD-GS-004-042</x:v>
      </x:c>
      <x:c r="B341" s="13" t="str">
        <x:v>GS-004</x:v>
      </x:c>
      <x:c r="C341" s="13" t="str">
        <x:v>【工伤医疗类】案例标注.xlsx</x:v>
      </x:c>
      <x:c r="D341" s="13" t="str">
        <x:v>样例4</x:v>
      </x:c>
      <x:c r="E341" s="13" t="n">
        <x:v>42</x:v>
      </x:c>
      <x:c r="F341" s="13" t="str">
        <x:v>详细住址</x:v>
      </x:c>
      <x:c r="G341" s="13" t="str">
        <x:v>如劳动合同等材料中存在</x:v>
      </x:c>
      <x:c r="H341" s="13" t="str">
        <x:v>禁止外发</x:v>
      </x:c>
      <x:c r="I341" s="13" t="str">
        <x:v>原始材料</x:v>
      </x:c>
      <x:c r="J341" s="13" t="str">
        <x:v>删除详细住址；如确有地域分析需要最多泛化至城市</x:v>
      </x:c>
      <x:c r="K341" s="9" t="str">
        <x:v>待核验</x:v>
      </x:c>
      <x:c r="L341" s="11" t="str">
        <x:v>B列数字保持原始类型；条件清单不计已出现事实</x:v>
      </x:c>
    </x:row>
    <x:row r="342" ht="44" customHeight="1">
      <x:c r="A342" s="13" t="str">
        <x:v>OLD-GS-004-043</x:v>
      </x:c>
      <x:c r="B342" s="13" t="str">
        <x:v>GS-004</x:v>
      </x:c>
      <x:c r="C342" s="13" t="str">
        <x:v>【工伤医疗类】案例标注.xlsx</x:v>
      </x:c>
      <x:c r="D342" s="13" t="str">
        <x:v>样例4</x:v>
      </x:c>
      <x:c r="E342" s="13" t="n">
        <x:v>43</x:v>
      </x:c>
      <x:c r="F342" s="13" t="str">
        <x:v>首次仲裁日期</x:v>
      </x:c>
      <x:c r="G342" s="13" t="n">
        <x:v>45180</x:v>
      </x:c>
      <x:c r="H342" s="13" t="str">
        <x:v>必须保留</x:v>
      </x:c>
      <x:c r="I342" s="13" t="str">
        <x:v>程序性抗辩</x:v>
      </x:c>
      <x:c r="J342" s="13" t="str">
        <x:v>保留完整日期</x:v>
      </x:c>
      <x:c r="K342" s="9" t="str">
        <x:v>待核验</x:v>
      </x:c>
      <x:c r="L342" s="11" t="str">
        <x:v>B列数字保持原始类型；条件清单不计已出现事实</x:v>
      </x:c>
    </x:row>
    <x:row r="343" ht="44" customHeight="1">
      <x:c r="A343" s="13" t="str">
        <x:v>OLD-GS-004-044</x:v>
      </x:c>
      <x:c r="B343" s="13" t="str">
        <x:v>GS-004</x:v>
      </x:c>
      <x:c r="C343" s="13" t="str">
        <x:v>【工伤医疗类】案例标注.xlsx</x:v>
      </x:c>
      <x:c r="D343" s="13" t="str">
        <x:v>样例4</x:v>
      </x:c>
      <x:c r="E343" s="13" t="n">
        <x:v>44</x:v>
      </x:c>
      <x:c r="F343" s="13" t="str">
        <x:v>撤销仲裁裁决日期</x:v>
      </x:c>
      <x:c r="G343" s="13" t="n">
        <x:v>45252</x:v>
      </x:c>
      <x:c r="H343" s="13" t="str">
        <x:v>必须保留</x:v>
      </x:c>
      <x:c r="I343" s="13" t="str">
        <x:v>程序性抗辩</x:v>
      </x:c>
      <x:c r="J343" s="13" t="str">
        <x:v>保留完整日期</x:v>
      </x:c>
      <x:c r="K343" s="9" t="str">
        <x:v>待核验</x:v>
      </x:c>
      <x:c r="L343" s="11" t="str">
        <x:v>B列数字保持原始类型；条件清单不计已出现事实</x:v>
      </x:c>
    </x:row>
    <x:row r="344" ht="44" customHeight="1">
      <x:c r="A344" s="13" t="str">
        <x:v>OLD-GS-004-045</x:v>
      </x:c>
      <x:c r="B344" s="13" t="str">
        <x:v>GS-004</x:v>
      </x:c>
      <x:c r="C344" s="13" t="str">
        <x:v>【工伤医疗类】案例标注.xlsx</x:v>
      </x:c>
      <x:c r="D344" s="13" t="str">
        <x:v>样例4</x:v>
      </x:c>
      <x:c r="E344" s="13" t="n">
        <x:v>45</x:v>
      </x:c>
      <x:c r="F344" s="13" t="str">
        <x:v>再次仲裁不予受理日期</x:v>
      </x:c>
      <x:c r="G344" s="13" t="n">
        <x:v>45320</x:v>
      </x:c>
      <x:c r="H344" s="13" t="str">
        <x:v>必须保留</x:v>
      </x:c>
      <x:c r="I344" s="13" t="str">
        <x:v>程序性抗辩</x:v>
      </x:c>
      <x:c r="J344" s="13" t="str">
        <x:v>保留完整日期</x:v>
      </x:c>
      <x:c r="K344" s="9" t="str">
        <x:v>待核验</x:v>
      </x:c>
      <x:c r="L344" s="11" t="str">
        <x:v>B列数字保持原始类型；条件清单不计已出现事实</x:v>
      </x:c>
    </x:row>
    <x:row r="345" ht="44" customHeight="1">
      <x:c r="A345" s="13" t="str">
        <x:v>OLD-GS-004-046</x:v>
      </x:c>
      <x:c r="B345" s="13" t="str">
        <x:v>GS-004</x:v>
      </x:c>
      <x:c r="C345" s="13" t="str">
        <x:v>【工伤医疗类】案例标注.xlsx</x:v>
      </x:c>
      <x:c r="D345" s="13" t="str">
        <x:v>样例4</x:v>
      </x:c>
      <x:c r="E345" s="13" t="n">
        <x:v>46</x:v>
      </x:c>
      <x:c r="F345" s="13" t="str">
        <x:v>再次起诉立案日期</x:v>
      </x:c>
      <x:c r="G345" s="13" t="n">
        <x:v>45371</x:v>
      </x:c>
      <x:c r="H345" s="13" t="str">
        <x:v>必须保留</x:v>
      </x:c>
      <x:c r="I345" s="13" t="str">
        <x:v>程序性抗辩</x:v>
      </x:c>
      <x:c r="J345" s="13" t="str">
        <x:v>保留，因为“是否超过15日”是公司核心抗辩</x:v>
      </x:c>
      <x:c r="K345" s="9" t="str">
        <x:v>待核验</x:v>
      </x:c>
      <x:c r="L345" s="11" t="str">
        <x:v>B列数字保持原始类型；条件清单不计已出现事实</x:v>
      </x:c>
    </x:row>
    <x:row r="346" ht="44" customHeight="1">
      <x:c r="A346" s="13" t="str">
        <x:v>OLD-GS-004-047</x:v>
      </x:c>
      <x:c r="B346" s="13" t="str">
        <x:v>GS-004</x:v>
      </x:c>
      <x:c r="C346" s="13" t="str">
        <x:v>【工伤医疗类】案例标注.xlsx</x:v>
      </x:c>
      <x:c r="D346" s="13" t="str">
        <x:v>样例4</x:v>
      </x:c>
      <x:c r="E346" s="13" t="n">
        <x:v>47</x:v>
      </x:c>
      <x:c r="F346" s="13" t="str">
        <x:v>案件移送时间</x:v>
      </x:c>
      <x:c r="G346" s="13" t="n">
        <x:v>45383</x:v>
      </x:c>
      <x:c r="H346" s="13" t="str">
        <x:v>条件保留</x:v>
      </x:c>
      <x:c r="I346" s="13" t="str">
        <x:v>程序过程</x:v>
      </x:c>
      <x:c r="J346" s="13" t="str">
        <x:v>涉及程序完整性分析时保留，否则可删除</x:v>
      </x:c>
      <x:c r="K346" s="9" t="str">
        <x:v>待核验</x:v>
      </x:c>
      <x:c r="L346" s="11" t="str">
        <x:v>B列数字保持原始类型；条件清单不计已出现事实</x:v>
      </x:c>
    </x:row>
    <x:row r="347" ht="44" customHeight="1">
      <x:c r="A347" s="13" t="str">
        <x:v>OLD-GS-004-048</x:v>
      </x:c>
      <x:c r="B347" s="13" t="str">
        <x:v>GS-004</x:v>
      </x:c>
      <x:c r="C347" s="13" t="str">
        <x:v>【工伤医疗类】案例标注.xlsx</x:v>
      </x:c>
      <x:c r="D347" s="13" t="str">
        <x:v>样例4</x:v>
      </x:c>
      <x:c r="E347" s="13" t="n">
        <x:v>48</x:v>
      </x:c>
      <x:c r="F347" s="13" t="str">
        <x:v>公司程序抗辩</x:v>
      </x:c>
      <x:c r="G347" s="13" t="str">
        <x:v>原裁决被撤销后，孙某未在15日内直接起诉，认为后续起诉不合法</x:v>
      </x:c>
      <x:c r="H347" s="13" t="str">
        <x:v>必须保留</x:v>
      </x:c>
      <x:c r="I347" s="13" t="str">
        <x:v>程序性抗辩</x:v>
      </x:c>
      <x:c r="J347" s="13" t="str">
        <x:v>保留核心主张，无需保留大段法律原文</x:v>
      </x:c>
      <x:c r="K347" s="9" t="str">
        <x:v>待核验</x:v>
      </x:c>
      <x:c r="L347" s="11" t="str">
        <x:v>B列数字保持原始类型；条件清单不计已出现事实</x:v>
      </x:c>
    </x:row>
    <x:row r="348" ht="44" customHeight="1">
      <x:c r="A348" s="13" t="str">
        <x:v>OLD-GS-004-049</x:v>
      </x:c>
      <x:c r="B348" s="13" t="str">
        <x:v>GS-004</x:v>
      </x:c>
      <x:c r="C348" s="13" t="str">
        <x:v>【工伤医疗类】案例标注.xlsx</x:v>
      </x:c>
      <x:c r="D348" s="13" t="str">
        <x:v>样例4</x:v>
      </x:c>
      <x:c r="E348" s="13" t="n">
        <x:v>49</x:v>
      </x:c>
      <x:c r="F348" s="13" t="str">
        <x:v>孙某程序抗辩</x:v>
      </x:c>
      <x:c r="G348" s="13" t="str">
        <x:v>撤销系程序问题，实体争议未解决；法律未规定未在15日内起诉即丧失实体权利</x:v>
      </x:c>
      <x:c r="H348" s="13" t="str">
        <x:v>必须保留</x:v>
      </x:c>
      <x:c r="I348" s="13" t="str">
        <x:v>程序性抗辩</x:v>
      </x:c>
      <x:c r="J348" s="13" t="str">
        <x:v>保留核心抗辩</x:v>
      </x:c>
      <x:c r="K348" s="9" t="str">
        <x:v>待核验</x:v>
      </x:c>
      <x:c r="L348" s="11" t="str">
        <x:v>B列数字保持原始类型；条件清单不计已出现事实</x:v>
      </x:c>
    </x:row>
    <x:row r="349" ht="44" customHeight="1">
      <x:c r="A349" s="13" t="str">
        <x:v>OLD-GS-004-050</x:v>
      </x:c>
      <x:c r="B349" s="13" t="str">
        <x:v>GS-004</x:v>
      </x:c>
      <x:c r="C349" s="13" t="str">
        <x:v>【工伤医疗类】案例标注.xlsx</x:v>
      </x:c>
      <x:c r="D349" s="13" t="str">
        <x:v>样例4</x:v>
      </x:c>
      <x:c r="E349" s="13" t="n">
        <x:v>50</x:v>
      </x:c>
      <x:c r="F349" s="13" t="str">
        <x:v>法院程序认定</x:v>
      </x:c>
      <x:c r="G349" s="13" t="str">
        <x:v>一审审理程序并无不当</x:v>
      </x:c>
      <x:c r="H349" s="13" t="str">
        <x:v>必须保留</x:v>
      </x:c>
      <x:c r="I349" s="13" t="str">
        <x:v>二审认定</x:v>
      </x:c>
      <x:c r="J349" s="13" t="str">
        <x:v>保留</x:v>
      </x:c>
      <x:c r="K349" s="9" t="str">
        <x:v>待核验</x:v>
      </x:c>
      <x:c r="L349" s="11" t="str">
        <x:v>B列数字保持原始类型；条件清单不计已出现事实</x:v>
      </x:c>
    </x:row>
    <x:row r="350" ht="44" customHeight="1">
      <x:c r="A350" s="13" t="str">
        <x:v>OLD-GS-004-051</x:v>
      </x:c>
      <x:c r="B350" s="13" t="str">
        <x:v>GS-004</x:v>
      </x:c>
      <x:c r="C350" s="13" t="str">
        <x:v>【工伤医疗类】案例标注.xlsx</x:v>
      </x:c>
      <x:c r="D350" s="13" t="str">
        <x:v>样例4</x:v>
      </x:c>
      <x:c r="E350" s="13" t="n">
        <x:v>51</x:v>
      </x:c>
      <x:c r="F350" s="13" t="str">
        <x:v>二审裁判结果</x:v>
      </x:c>
      <x:c r="G350" s="13" t="str">
        <x:v>驳回上诉，维持原判</x:v>
      </x:c>
      <x:c r="H350" s="13" t="str">
        <x:v>必须保留</x:v>
      </x:c>
      <x:c r="I350" s="13" t="str">
        <x:v>裁判结果</x:v>
      </x:c>
      <x:c r="J350" s="13" t="str">
        <x:v>保留</x:v>
      </x:c>
      <x:c r="K350" s="9" t="str">
        <x:v>待核验</x:v>
      </x:c>
      <x:c r="L350" s="11" t="str">
        <x:v>B列数字保持原始类型；条件清单不计已出现事实</x:v>
      </x:c>
    </x:row>
    <x:row r="351" ht="44" customHeight="1">
      <x:c r="A351" s="13" t="str">
        <x:v>OLD-GS-004-052</x:v>
      </x:c>
      <x:c r="B351" s="13" t="str">
        <x:v>GS-004</x:v>
      </x:c>
      <x:c r="C351" s="13" t="str">
        <x:v>【工伤医疗类】案例标注.xlsx</x:v>
      </x:c>
      <x:c r="D351" s="13" t="str">
        <x:v>样例4</x:v>
      </x:c>
      <x:c r="E351" s="13" t="n">
        <x:v>52</x:v>
      </x:c>
      <x:c r="F351" s="13" t="str">
        <x:v>二审案件受理费</x:v>
      </x:c>
      <x:c r="G351" s="13" t="str">
        <x:v>10元</x:v>
      </x:c>
      <x:c r="H351" s="13" t="str">
        <x:v>默认删除</x:v>
      </x:c>
      <x:c r="I351" s="13" t="str">
        <x:v>裁判结果</x:v>
      </x:c>
      <x:c r="J351" s="13" t="str">
        <x:v>与本案劳动法律争点无实质关系，可删除</x:v>
      </x:c>
      <x:c r="K351" s="9" t="str">
        <x:v>待核验</x:v>
      </x:c>
      <x:c r="L351" s="11" t="str">
        <x:v>B列数字保持原始类型；条件清单不计已出现事实</x:v>
      </x:c>
    </x:row>
    <x:row r="352" ht="44" customHeight="1">
      <x:c r="A352" s="13" t="str">
        <x:v>OLD-GS-005-002</x:v>
      </x:c>
      <x:c r="B352" s="13" t="str">
        <x:v>GS-005</x:v>
      </x:c>
      <x:c r="C352" s="13" t="str">
        <x:v>【工伤医疗类】案例标注.xlsx</x:v>
      </x:c>
      <x:c r="D352" s="13" t="str">
        <x:v>样例5</x:v>
      </x:c>
      <x:c r="E352" s="13" t="n">
        <x:v>2</x:v>
      </x:c>
      <x:c r="F352" s="13" t="str">
        <x:v>当事人真实姓名</x:v>
      </x:c>
      <x:c r="G352" s="13" t="str">
        <x:v>沈某</x:v>
      </x:c>
      <x:c r="H352" s="13" t="str">
        <x:v>假名化保留</x:v>
      </x:c>
      <x:c r="I352" s="13" t="str">
        <x:v>全文多处</x:v>
      </x:c>
      <x:c r="J352" s="13" t="str">
        <x:v>改为“劳动者B”，不向外部模型发送真实姓名</x:v>
      </x:c>
      <x:c r="K352" s="9" t="str">
        <x:v>待核验</x:v>
      </x:c>
      <x:c r="L352" s="11" t="str">
        <x:v>B列数字保持原始类型；条件清单不计已出现事实</x:v>
      </x:c>
    </x:row>
    <x:row r="353" ht="44" customHeight="1">
      <x:c r="A353" s="13" t="str">
        <x:v>OLD-GS-005-003</x:v>
      </x:c>
      <x:c r="B353" s="13" t="str">
        <x:v>GS-005</x:v>
      </x:c>
      <x:c r="C353" s="13" t="str">
        <x:v>【工伤医疗类】案例标注.xlsx</x:v>
      </x:c>
      <x:c r="D353" s="13" t="str">
        <x:v>样例5</x:v>
      </x:c>
      <x:c r="E353" s="13" t="n">
        <x:v>3</x:v>
      </x:c>
      <x:c r="F353" s="13" t="str">
        <x:v>用人单位名称</x:v>
      </x:c>
      <x:c r="G353" s="13" t="str">
        <x:v>北京某装饰艺术有限责任公司</x:v>
      </x:c>
      <x:c r="H353" s="13" t="str">
        <x:v>假名化保留</x:v>
      </x:c>
      <x:c r="I353" s="13" t="str">
        <x:v>全文多处</x:v>
      </x:c>
      <x:c r="J353" s="13" t="str">
        <x:v>改为“公司A”</x:v>
      </x:c>
      <x:c r="K353" s="9" t="str">
        <x:v>待核验</x:v>
      </x:c>
      <x:c r="L353" s="11" t="str">
        <x:v>B列数字保持原始类型；条件清单不计已出现事实</x:v>
      </x:c>
    </x:row>
    <x:row r="354" ht="44" customHeight="1">
      <x:c r="A354" s="13" t="str">
        <x:v>OLD-GS-005-004</x:v>
      </x:c>
      <x:c r="B354" s="13" t="str">
        <x:v>GS-005</x:v>
      </x:c>
      <x:c r="C354" s="13" t="str">
        <x:v>【工伤医疗类】案例标注.xlsx</x:v>
      </x:c>
      <x:c r="D354" s="13" t="str">
        <x:v>样例5</x:v>
      </x:c>
      <x:c r="E354" s="13" t="n">
        <x:v>4</x:v>
      </x:c>
      <x:c r="F354" s="13" t="str">
        <x:v>关联劳务公司名称</x:v>
      </x:c>
      <x:c r="G354" s="13" t="str">
        <x:v>某乙公司</x:v>
      </x:c>
      <x:c r="H354" s="13" t="str">
        <x:v>假名化保留</x:v>
      </x:c>
      <x:c r="I354" s="13" t="str">
        <x:v>公司上诉理由</x:v>
      </x:c>
      <x:c r="J354" s="13" t="str">
        <x:v>改为“劳务公司C”</x:v>
      </x:c>
      <x:c r="K354" s="9" t="str">
        <x:v>待核验</x:v>
      </x:c>
      <x:c r="L354" s="11" t="str">
        <x:v>B列数字保持原始类型；条件清单不计已出现事实</x:v>
      </x:c>
    </x:row>
    <x:row r="355" ht="44" customHeight="1">
      <x:c r="A355" s="13" t="str">
        <x:v>OLD-GS-005-005</x:v>
      </x:c>
      <x:c r="B355" s="13" t="str">
        <x:v>GS-005</x:v>
      </x:c>
      <x:c r="C355" s="13" t="str">
        <x:v>【工伤医疗类】案例标注.xlsx</x:v>
      </x:c>
      <x:c r="D355" s="13" t="str">
        <x:v>样例5</x:v>
      </x:c>
      <x:c r="E355" s="13" t="n">
        <x:v>5</x:v>
      </x:c>
      <x:c r="F355" s="13" t="str">
        <x:v>代理人姓名</x:v>
      </x:c>
      <x:c r="G355" s="13" t="str">
        <x:v>委托诉讼代理人等</x:v>
      </x:c>
      <x:c r="H355" s="13" t="str">
        <x:v>默认删除</x:v>
      </x:c>
      <x:c r="I355" s="13" t="str">
        <x:v>首部</x:v>
      </x:c>
      <x:c r="J355" s="13" t="str">
        <x:v>删除，仅保留“双方代理人参加诉讼”</x:v>
      </x:c>
      <x:c r="K355" s="9" t="str">
        <x:v>待核验</x:v>
      </x:c>
      <x:c r="L355" s="11" t="str">
        <x:v>B列数字保持原始类型；条件清单不计已出现事实</x:v>
      </x:c>
    </x:row>
    <x:row r="356" ht="44" customHeight="1">
      <x:c r="A356" s="13" t="str">
        <x:v>OLD-GS-005-006</x:v>
      </x:c>
      <x:c r="B356" s="13" t="str">
        <x:v>GS-005</x:v>
      </x:c>
      <x:c r="C356" s="13" t="str">
        <x:v>【工伤医疗类】案例标注.xlsx</x:v>
      </x:c>
      <x:c r="D356" s="13" t="str">
        <x:v>样例5</x:v>
      </x:c>
      <x:c r="E356" s="13" t="n">
        <x:v>6</x:v>
      </x:c>
      <x:c r="F356" s="13" t="str">
        <x:v>审判人员姓名</x:v>
      </x:c>
      <x:c r="G356" s="13" t="str">
        <x:v>文书末尾审判长、审判员姓名</x:v>
      </x:c>
      <x:c r="H356" s="13" t="str">
        <x:v>默认删除</x:v>
      </x:c>
      <x:c r="I356" s="13" t="str">
        <x:v>首部/落款</x:v>
      </x:c>
      <x:c r="J356" s="13" t="str">
        <x:v>删除</x:v>
      </x:c>
      <x:c r="K356" s="9" t="str">
        <x:v>待核验</x:v>
      </x:c>
      <x:c r="L356" s="11" t="str">
        <x:v>B列数字保持原始类型；条件清单不计已出现事实</x:v>
      </x:c>
    </x:row>
    <x:row r="357" ht="44" customHeight="1">
      <x:c r="A357" s="13" t="str">
        <x:v>OLD-GS-005-007</x:v>
      </x:c>
      <x:c r="B357" s="13" t="str">
        <x:v>GS-005</x:v>
      </x:c>
      <x:c r="C357" s="13" t="str">
        <x:v>【工伤医疗类】案例标注.xlsx</x:v>
      </x:c>
      <x:c r="D357" s="13" t="str">
        <x:v>样例5</x:v>
      </x:c>
      <x:c r="E357" s="13" t="n">
        <x:v>7</x:v>
      </x:c>
      <x:c r="F357" s="13" t="str">
        <x:v>案号</x:v>
      </x:c>
      <x:c r="G357" s="13" t="str">
        <x:v>(2026)京01民终6872号</x:v>
      </x:c>
      <x:c r="H357" s="13" t="str">
        <x:v>默认删除</x:v>
      </x:c>
      <x:c r="I357" s="13" t="str">
        <x:v>首部</x:v>
      </x:c>
      <x:c r="J357" s="13" t="str">
        <x:v>案例库本地保存，外部模型不发送</x:v>
      </x:c>
      <x:c r="K357" s="9" t="str">
        <x:v>待核验</x:v>
      </x:c>
      <x:c r="L357" s="11" t="str">
        <x:v>B列数字保持原始类型；条件清单不计已出现事实</x:v>
      </x:c>
    </x:row>
    <x:row r="358" ht="44" customHeight="1">
      <x:c r="A358" s="13" t="str">
        <x:v>OLD-GS-005-008</x:v>
      </x:c>
      <x:c r="B358" s="13" t="str">
        <x:v>GS-005</x:v>
      </x:c>
      <x:c r="C358" s="13" t="str">
        <x:v>【工伤医疗类】案例标注.xlsx</x:v>
      </x:c>
      <x:c r="D358" s="13" t="str">
        <x:v>样例5</x:v>
      </x:c>
      <x:c r="E358" s="13" t="n">
        <x:v>8</x:v>
      </x:c>
      <x:c r="F358" s="13" t="str">
        <x:v>法院名称</x:v>
      </x:c>
      <x:c r="G358" s="13" t="str">
        <x:v>北京市第一中级人民法院等</x:v>
      </x:c>
      <x:c r="H358" s="13" t="str">
        <x:v>条件保留</x:v>
      </x:c>
      <x:c r="I358" s="13" t="str">
        <x:v>首部及程序部分</x:v>
      </x:c>
      <x:c r="J358" s="13" t="str">
        <x:v>一般改为“一审法院”“二审法院”；程序分析需要时可保留层级</x:v>
      </x:c>
      <x:c r="K358" s="9" t="str">
        <x:v>待核验</x:v>
      </x:c>
      <x:c r="L358" s="11" t="str">
        <x:v>B列数字保持原始类型；条件清单不计已出现事实</x:v>
      </x:c>
    </x:row>
    <x:row r="359" ht="44" customHeight="1">
      <x:c r="A359" s="13" t="str">
        <x:v>OLD-GS-005-009</x:v>
      </x:c>
      <x:c r="B359" s="13" t="str">
        <x:v>GS-005</x:v>
      </x:c>
      <x:c r="C359" s="13" t="str">
        <x:v>【工伤医疗类】案例标注.xlsx</x:v>
      </x:c>
      <x:c r="D359" s="13" t="str">
        <x:v>样例5</x:v>
      </x:c>
      <x:c r="E359" s="13" t="n">
        <x:v>9</x:v>
      </x:c>
      <x:c r="F359" s="13" t="str">
        <x:v>审级</x:v>
      </x:c>
      <x:c r="G359" s="13" t="str">
        <x:v>民事二审</x:v>
      </x:c>
      <x:c r="H359" s="13" t="str">
        <x:v>必须保留</x:v>
      </x:c>
      <x:c r="I359" s="13" t="str">
        <x:v>首部</x:v>
      </x:c>
      <x:c r="J359" s="13" t="str">
        <x:v>保留“二审”</x:v>
      </x:c>
      <x:c r="K359" s="9" t="str">
        <x:v>待核验</x:v>
      </x:c>
      <x:c r="L359" s="11" t="str">
        <x:v>B列数字保持原始类型；条件清单不计已出现事实</x:v>
      </x:c>
    </x:row>
    <x:row r="360" ht="44" customHeight="1">
      <x:c r="A360" s="13" t="str">
        <x:v>OLD-GS-005-010</x:v>
      </x:c>
      <x:c r="B360" s="13" t="str">
        <x:v>GS-005</x:v>
      </x:c>
      <x:c r="C360" s="13" t="str">
        <x:v>【工伤医疗类】案例标注.xlsx</x:v>
      </x:c>
      <x:c r="D360" s="13" t="str">
        <x:v>样例5</x:v>
      </x:c>
      <x:c r="E360" s="13" t="n">
        <x:v>10</x:v>
      </x:c>
      <x:c r="F360" s="13" t="str">
        <x:v>劳动关系起始时间</x:v>
      </x:c>
      <x:c r="G360" s="13" t="n">
        <x:v>44614</x:v>
      </x:c>
      <x:c r="H360" s="13" t="str">
        <x:v>必须保留</x:v>
      </x:c>
      <x:c r="I360" s="13" t="str">
        <x:v>生效判决认定</x:v>
      </x:c>
      <x:c r="J360" s="13" t="str">
        <x:v>保留完整日期</x:v>
      </x:c>
      <x:c r="K360" s="9" t="str">
        <x:v>待核验</x:v>
      </x:c>
      <x:c r="L360" s="11" t="str">
        <x:v>B列数字保持原始类型；条件清单不计已出现事实</x:v>
      </x:c>
    </x:row>
    <x:row r="361" ht="44" customHeight="1">
      <x:c r="A361" s="13" t="str">
        <x:v>OLD-GS-005-011</x:v>
      </x:c>
      <x:c r="B361" s="13" t="str">
        <x:v>GS-005</x:v>
      </x:c>
      <x:c r="C361" s="13" t="str">
        <x:v>【工伤医疗类】案例标注.xlsx</x:v>
      </x:c>
      <x:c r="D361" s="13" t="str">
        <x:v>样例5</x:v>
      </x:c>
      <x:c r="E361" s="13" t="n">
        <x:v>11</x:v>
      </x:c>
      <x:c r="F361" s="13" t="str">
        <x:v>劳动关系认定结果</x:v>
      </x:c>
      <x:c r="G361" s="13" t="str">
        <x:v>沈某与某甲公司存在劳动关系</x:v>
      </x:c>
      <x:c r="H361" s="13" t="str">
        <x:v>必须保留</x:v>
      </x:c>
      <x:c r="I361" s="13" t="str">
        <x:v>生效判决、一二审说理</x:v>
      </x:c>
      <x:c r="J361" s="13" t="str">
        <x:v>改为“劳动者B与公司A自2022年2月22日起存在劳动关系”</x:v>
      </x:c>
      <x:c r="K361" s="9" t="str">
        <x:v>待核验</x:v>
      </x:c>
      <x:c r="L361" s="11" t="str">
        <x:v>B列数字保持原始类型；条件清单不计已出现事实</x:v>
      </x:c>
    </x:row>
    <x:row r="362" ht="44" customHeight="1">
      <x:c r="A362" s="13" t="str">
        <x:v>OLD-GS-005-012</x:v>
      </x:c>
      <x:c r="B362" s="13" t="str">
        <x:v>GS-005</x:v>
      </x:c>
      <x:c r="C362" s="13" t="str">
        <x:v>【工伤医疗类】案例标注.xlsx</x:v>
      </x:c>
      <x:c r="D362" s="13" t="str">
        <x:v>样例5</x:v>
      </x:c>
      <x:c r="E362" s="13" t="n">
        <x:v>12</x:v>
      </x:c>
      <x:c r="F362" s="13" t="str">
        <x:v>工伤发生时间</x:v>
      </x:c>
      <x:c r="G362" s="13" t="n">
        <x:v>44641</x:v>
      </x:c>
      <x:c r="H362" s="13" t="str">
        <x:v>必须保留</x:v>
      </x:c>
      <x:c r="I362" s="13" t="str">
        <x:v>工伤认定及查明事实</x:v>
      </x:c>
      <x:c r="J362" s="13" t="str">
        <x:v>保留完整日期</x:v>
      </x:c>
      <x:c r="K362" s="9" t="str">
        <x:v>待核验</x:v>
      </x:c>
      <x:c r="L362" s="11" t="str">
        <x:v>B列数字保持原始类型；条件清单不计已出现事实</x:v>
      </x:c>
    </x:row>
    <x:row r="363" ht="44" customHeight="1">
      <x:c r="A363" s="13" t="str">
        <x:v>OLD-GS-005-013</x:v>
      </x:c>
      <x:c r="B363" s="13" t="str">
        <x:v>GS-005</x:v>
      </x:c>
      <x:c r="C363" s="13" t="str">
        <x:v>【工伤医疗类】案例标注.xlsx</x:v>
      </x:c>
      <x:c r="D363" s="13" t="str">
        <x:v>样例5</x:v>
      </x:c>
      <x:c r="E363" s="13" t="n">
        <x:v>13</x:v>
      </x:c>
      <x:c r="F363" s="13" t="str">
        <x:v>工伤事实</x:v>
      </x:c>
      <x:c r="G363" s="13" t="str">
        <x:v>工作过程中受伤</x:v>
      </x:c>
      <x:c r="H363" s="13" t="str">
        <x:v>必须保留</x:v>
      </x:c>
      <x:c r="I363" s="13" t="str">
        <x:v>查明事实、工伤认定</x:v>
      </x:c>
      <x:c r="J363" s="13" t="str">
        <x:v>保留概括事实</x:v>
      </x:c>
      <x:c r="K363" s="9" t="str">
        <x:v>待核验</x:v>
      </x:c>
      <x:c r="L363" s="11" t="str">
        <x:v>B列数字保持原始类型；条件清单不计已出现事实</x:v>
      </x:c>
    </x:row>
    <x:row r="364" ht="44" customHeight="1">
      <x:c r="A364" s="13" t="str">
        <x:v>OLD-GS-005-014</x:v>
      </x:c>
      <x:c r="B364" s="13" t="str">
        <x:v>GS-005</x:v>
      </x:c>
      <x:c r="C364" s="13" t="str">
        <x:v>【工伤医疗类】案例标注.xlsx</x:v>
      </x:c>
      <x:c r="D364" s="13" t="str">
        <x:v>样例5</x:v>
      </x:c>
      <x:c r="E364" s="13" t="n">
        <x:v>14</x:v>
      </x:c>
      <x:c r="F364" s="13" t="str">
        <x:v>具体伤情</x:v>
      </x:c>
      <x:c r="G364" s="13" t="str">
        <x:v>工伤认定材料记载的伤情</x:v>
      </x:c>
      <x:c r="H364" s="13" t="str">
        <x:v>必须保留</x:v>
      </x:c>
      <x:c r="I364" s="13" t="str">
        <x:v>工伤认定、劳动能力鉴定</x:v>
      </x:c>
      <x:c r="J364" s="13" t="str">
        <x:v>仅保留与工伤待遇及停工留薪期有关的伤情概述，不发送无关诊疗信息</x:v>
      </x:c>
      <x:c r="K364" s="9" t="str">
        <x:v>待核验</x:v>
      </x:c>
      <x:c r="L364" s="11" t="str">
        <x:v>B列数字保持原始类型；条件清单不计已出现事实</x:v>
      </x:c>
    </x:row>
    <x:row r="365" ht="44" customHeight="1">
      <x:c r="A365" s="13" t="str">
        <x:v>OLD-GS-005-015</x:v>
      </x:c>
      <x:c r="B365" s="13" t="str">
        <x:v>GS-005</x:v>
      </x:c>
      <x:c r="C365" s="13" t="str">
        <x:v>【工伤医疗类】案例标注.xlsx</x:v>
      </x:c>
      <x:c r="D365" s="13" t="str">
        <x:v>样例5</x:v>
      </x:c>
      <x:c r="E365" s="13" t="n">
        <x:v>15</x:v>
      </x:c>
      <x:c r="F365" s="13" t="str">
        <x:v>伤残等级</x:v>
      </x:c>
      <x:c r="G365" s="13" t="str">
        <x:v>X级</x:v>
      </x:c>
      <x:c r="H365" s="13" t="str">
        <x:v>必须保留</x:v>
      </x:c>
      <x:c r="I365" s="13" t="str">
        <x:v>劳动能力鉴定</x:v>
      </x:c>
      <x:c r="J365" s="13" t="str">
        <x:v>保留伤残等级</x:v>
      </x:c>
      <x:c r="K365" s="9" t="str">
        <x:v>待核验</x:v>
      </x:c>
      <x:c r="L365" s="11" t="str">
        <x:v>B列数字保持原始类型；条件清单不计已出现事实</x:v>
      </x:c>
    </x:row>
    <x:row r="366" ht="44" customHeight="1">
      <x:c r="A366" s="13" t="str">
        <x:v>OLD-GS-005-016</x:v>
      </x:c>
      <x:c r="B366" s="13" t="str">
        <x:v>GS-005</x:v>
      </x:c>
      <x:c r="C366" s="13" t="str">
        <x:v>【工伤医疗类】案例标注.xlsx</x:v>
      </x:c>
      <x:c r="D366" s="13" t="str">
        <x:v>样例5</x:v>
      </x:c>
      <x:c r="E366" s="13" t="n">
        <x:v>16</x:v>
      </x:c>
      <x:c r="F366" s="13" t="str">
        <x:v>未缴纳社会保险</x:v>
      </x:c>
      <x:c r="G366" s="13" t="str">
        <x:v>公司未为沈某缴纳社会保险</x:v>
      </x:c>
      <x:c r="H366" s="13" t="str">
        <x:v>必须保留</x:v>
      </x:c>
      <x:c r="I366" s="13" t="str">
        <x:v>查明事实、法院说理</x:v>
      </x:c>
      <x:c r="J366" s="13" t="str">
        <x:v>保留，是公司承担工伤责任及经济补偿的重要事实</x:v>
      </x:c>
      <x:c r="K366" s="9" t="str">
        <x:v>待核验</x:v>
      </x:c>
      <x:c r="L366" s="11" t="str">
        <x:v>B列数字保持原始类型；条件清单不计已出现事实</x:v>
      </x:c>
    </x:row>
    <x:row r="367" ht="44" customHeight="1">
      <x:c r="A367" s="13" t="str">
        <x:v>OLD-GS-005-017</x:v>
      </x:c>
      <x:c r="B367" s="13" t="str">
        <x:v>GS-005</x:v>
      </x:c>
      <x:c r="C367" s="13" t="str">
        <x:v>【工伤医疗类】案例标注.xlsx</x:v>
      </x:c>
      <x:c r="D367" s="13" t="str">
        <x:v>样例5</x:v>
      </x:c>
      <x:c r="E367" s="13" t="n">
        <x:v>17</x:v>
      </x:c>
      <x:c r="F367" s="13" t="str">
        <x:v>未签订书面劳动合同</x:v>
      </x:c>
      <x:c r="G367" s="13" t="str">
        <x:v>未签订</x:v>
      </x:c>
      <x:c r="H367" s="13" t="str">
        <x:v>条件保留</x:v>
      </x:c>
      <x:c r="I367" s="13" t="str">
        <x:v>查明事实、解除通知</x:v>
      </x:c>
      <x:c r="J367" s="13" t="str">
        <x:v>涉及解除原因时保留，否则普通工伤待遇任务可删除</x:v>
      </x:c>
      <x:c r="K367" s="9" t="str">
        <x:v>待核验</x:v>
      </x:c>
      <x:c r="L367" s="11" t="str">
        <x:v>B列数字保持原始类型；条件清单不计已出现事实</x:v>
      </x:c>
    </x:row>
    <x:row r="368" ht="44" customHeight="1">
      <x:c r="A368" s="13" t="str">
        <x:v>OLD-GS-005-018</x:v>
      </x:c>
      <x:c r="B368" s="13" t="str">
        <x:v>GS-005</x:v>
      </x:c>
      <x:c r="C368" s="13" t="str">
        <x:v>【工伤医疗类】案例标注.xlsx</x:v>
      </x:c>
      <x:c r="D368" s="13" t="str">
        <x:v>样例5</x:v>
      </x:c>
      <x:c r="E368" s="13" t="n">
        <x:v>18</x:v>
      </x:c>
      <x:c r="F368" s="13" t="str">
        <x:v>解除通知日期</x:v>
      </x:c>
      <x:c r="G368" s="13" t="n">
        <x:v>45525</x:v>
      </x:c>
      <x:c r="H368" s="13" t="str">
        <x:v>必须保留</x:v>
      </x:c>
      <x:c r="I368" s="13" t="str">
        <x:v>查明事实</x:v>
      </x:c>
      <x:c r="J368" s="13" t="str">
        <x:v>保留完整日期</x:v>
      </x:c>
      <x:c r="K368" s="9" t="str">
        <x:v>待核验</x:v>
      </x:c>
      <x:c r="L368" s="11" t="str">
        <x:v>B列数字保持原始类型；条件清单不计已出现事实</x:v>
      </x:c>
    </x:row>
    <x:row r="369" ht="44" customHeight="1">
      <x:c r="A369" s="13" t="str">
        <x:v>OLD-GS-005-019</x:v>
      </x:c>
      <x:c r="B369" s="13" t="str">
        <x:v>GS-005</x:v>
      </x:c>
      <x:c r="C369" s="13" t="str">
        <x:v>【工伤医疗类】案例标注.xlsx</x:v>
      </x:c>
      <x:c r="D369" s="13" t="str">
        <x:v>样例5</x:v>
      </x:c>
      <x:c r="E369" s="13" t="n">
        <x:v>19</x:v>
      </x:c>
      <x:c r="F369" s="13" t="str">
        <x:v>解除原因</x:v>
      </x:c>
      <x:c r="G369" s="13" t="str">
        <x:v>未支付停工留薪期工资、未缴社保、未签劳动合同</x:v>
      </x:c>
      <x:c r="H369" s="13" t="str">
        <x:v>必须保留</x:v>
      </x:c>
      <x:c r="I369" s="13" t="str">
        <x:v>解除劳动关系通知书</x:v>
      </x:c>
      <x:c r="J369" s="13" t="str">
        <x:v>保留原因概括，不发送通知书原文</x:v>
      </x:c>
      <x:c r="K369" s="9" t="str">
        <x:v>待核验</x:v>
      </x:c>
      <x:c r="L369" s="11" t="str">
        <x:v>B列数字保持原始类型；条件清单不计已出现事实</x:v>
      </x:c>
    </x:row>
    <x:row r="370" ht="44" customHeight="1">
      <x:c r="A370" s="13" t="str">
        <x:v>OLD-GS-005-020</x:v>
      </x:c>
      <x:c r="B370" s="13" t="str">
        <x:v>GS-005</x:v>
      </x:c>
      <x:c r="C370" s="13" t="str">
        <x:v>【工伤医疗类】案例标注.xlsx</x:v>
      </x:c>
      <x:c r="D370" s="13" t="str">
        <x:v>样例5</x:v>
      </x:c>
      <x:c r="E370" s="13" t="n">
        <x:v>20</x:v>
      </x:c>
      <x:c r="F370" s="13" t="str">
        <x:v>日工资标准</x:v>
      </x:c>
      <x:c r="G370" s="13" t="str">
        <x:v>450元/日</x:v>
      </x:c>
      <x:c r="H370" s="13" t="str">
        <x:v>必须保留</x:v>
      </x:c>
      <x:c r="I370" s="13" t="str">
        <x:v>沈某主张、法院认定</x:v>
      </x:c>
      <x:c r="J370" s="13" t="str">
        <x:v>保留精确金额并说明工资标准</x:v>
      </x:c>
      <x:c r="K370" s="9" t="str">
        <x:v>待核验</x:v>
      </x:c>
      <x:c r="L370" s="11" t="str">
        <x:v>B列数字保持原始类型；条件清单不计已出现事实</x:v>
      </x:c>
    </x:row>
    <x:row r="371" ht="44" customHeight="1">
      <x:c r="A371" s="13" t="str">
        <x:v>OLD-GS-005-021</x:v>
      </x:c>
      <x:c r="B371" s="13" t="str">
        <x:v>GS-005</x:v>
      </x:c>
      <x:c r="C371" s="13" t="str">
        <x:v>【工伤医疗类】案例标注.xlsx</x:v>
      </x:c>
      <x:c r="D371" s="13" t="str">
        <x:v>样例5</x:v>
      </x:c>
      <x:c r="E371" s="13" t="n">
        <x:v>21</x:v>
      </x:c>
      <x:c r="F371" s="13" t="str">
        <x:v>停工留薪期</x:v>
      </x:c>
      <x:c r="G371" s="13" t="str">
        <x:v>2022年3月22日至2022年7月20日，4个月</x:v>
      </x:c>
      <x:c r="H371" s="13" t="str">
        <x:v>必须保留</x:v>
      </x:c>
      <x:c r="I371" s="13" t="str">
        <x:v>法院说理</x:v>
      </x:c>
      <x:c r="J371" s="13" t="str">
        <x:v>保留期间及4个月结论</x:v>
      </x:c>
      <x:c r="K371" s="9" t="str">
        <x:v>待核验</x:v>
      </x:c>
      <x:c r="L371" s="11" t="str">
        <x:v>B列数字保持原始类型；条件清单不计已出现事实</x:v>
      </x:c>
    </x:row>
    <x:row r="372" ht="44" customHeight="1">
      <x:c r="A372" s="13" t="str">
        <x:v>OLD-GS-005-022</x:v>
      </x:c>
      <x:c r="B372" s="13" t="str">
        <x:v>GS-005</x:v>
      </x:c>
      <x:c r="C372" s="13" t="str">
        <x:v>【工伤医疗类】案例标注.xlsx</x:v>
      </x:c>
      <x:c r="D372" s="13" t="str">
        <x:v>样例5</x:v>
      </x:c>
      <x:c r="E372" s="13" t="n">
        <x:v>22</x:v>
      </x:c>
      <x:c r="F372" s="13" t="str">
        <x:v>停工留薪期工资</x:v>
      </x:c>
      <x:c r="G372" s="13" t="str">
        <x:v>38700元</x:v>
      </x:c>
      <x:c r="H372" s="13" t="str">
        <x:v>必须保留</x:v>
      </x:c>
      <x:c r="I372" s="13" t="str">
        <x:v>仲裁、一审判决</x:v>
      </x:c>
      <x:c r="J372" s="13" t="str">
        <x:v>保留精确金额</x:v>
      </x:c>
      <x:c r="K372" s="9" t="str">
        <x:v>待核验</x:v>
      </x:c>
      <x:c r="L372" s="11" t="str">
        <x:v>B列数字保持原始类型；条件清单不计已出现事实</x:v>
      </x:c>
    </x:row>
    <x:row r="373" ht="44" customHeight="1">
      <x:c r="A373" s="13" t="str">
        <x:v>OLD-GS-005-023</x:v>
      </x:c>
      <x:c r="B373" s="13" t="str">
        <x:v>GS-005</x:v>
      </x:c>
      <x:c r="C373" s="13" t="str">
        <x:v>【工伤医疗类】案例标注.xlsx</x:v>
      </x:c>
      <x:c r="D373" s="13" t="str">
        <x:v>样例5</x:v>
      </x:c>
      <x:c r="E373" s="13" t="n">
        <x:v>23</x:v>
      </x:c>
      <x:c r="F373" s="13" t="str">
        <x:v>一次性伤残补助金</x:v>
      </x:c>
      <x:c r="G373" s="13" t="str">
        <x:v>88087.5元</x:v>
      </x:c>
      <x:c r="H373" s="13" t="str">
        <x:v>必须保留</x:v>
      </x:c>
      <x:c r="I373" s="13" t="str">
        <x:v>仲裁、一审判决</x:v>
      </x:c>
      <x:c r="J373" s="13" t="str">
        <x:v>保留精确金额</x:v>
      </x:c>
      <x:c r="K373" s="9" t="str">
        <x:v>待核验</x:v>
      </x:c>
      <x:c r="L373" s="11" t="str">
        <x:v>B列数字保持原始类型；条件清单不计已出现事实</x:v>
      </x:c>
    </x:row>
    <x:row r="374" ht="44" customHeight="1">
      <x:c r="A374" s="13" t="str">
        <x:v>OLD-GS-005-024</x:v>
      </x:c>
      <x:c r="B374" s="13" t="str">
        <x:v>GS-005</x:v>
      </x:c>
      <x:c r="C374" s="13" t="str">
        <x:v>【工伤医疗类】案例标注.xlsx</x:v>
      </x:c>
      <x:c r="D374" s="13" t="str">
        <x:v>样例5</x:v>
      </x:c>
      <x:c r="E374" s="13" t="n">
        <x:v>24</x:v>
      </x:c>
      <x:c r="F374" s="13" t="str">
        <x:v>一次性工伤医疗补助金</x:v>
      </x:c>
      <x:c r="G374" s="13" t="str">
        <x:v>71298元</x:v>
      </x:c>
      <x:c r="H374" s="13" t="str">
        <x:v>必须保留</x:v>
      </x:c>
      <x:c r="I374" s="13" t="str">
        <x:v>一审、二审判决</x:v>
      </x:c>
      <x:c r="J374" s="13" t="str">
        <x:v>保留最终裁判金额；仲裁94206.48元仅在说明程序变化时保留</x:v>
      </x:c>
      <x:c r="K374" s="9" t="str">
        <x:v>待核验</x:v>
      </x:c>
      <x:c r="L374" s="11" t="str">
        <x:v>B列数字保持原始类型；条件清单不计已出现事实</x:v>
      </x:c>
    </x:row>
    <x:row r="375" ht="44" customHeight="1">
      <x:c r="A375" s="13" t="str">
        <x:v>OLD-GS-005-025</x:v>
      </x:c>
      <x:c r="B375" s="13" t="str">
        <x:v>GS-005</x:v>
      </x:c>
      <x:c r="C375" s="13" t="str">
        <x:v>【工伤医疗类】案例标注.xlsx</x:v>
      </x:c>
      <x:c r="D375" s="13" t="str">
        <x:v>样例5</x:v>
      </x:c>
      <x:c r="E375" s="13" t="n">
        <x:v>25</x:v>
      </x:c>
      <x:c r="F375" s="13" t="str">
        <x:v>一次性伤残就业补助金</x:v>
      </x:c>
      <x:c r="G375" s="13" t="str">
        <x:v>71298元</x:v>
      </x:c>
      <x:c r="H375" s="13" t="str">
        <x:v>必须保留</x:v>
      </x:c>
      <x:c r="I375" s="13" t="str">
        <x:v>一审、二审判决</x:v>
      </x:c>
      <x:c r="J375" s="13" t="str">
        <x:v>保留最终裁判金额</x:v>
      </x:c>
      <x:c r="K375" s="9" t="str">
        <x:v>待核验</x:v>
      </x:c>
      <x:c r="L375" s="11" t="str">
        <x:v>B列数字保持原始类型；条件清单不计已出现事实</x:v>
      </x:c>
    </x:row>
    <x:row r="376" ht="44" customHeight="1">
      <x:c r="A376" s="13" t="str">
        <x:v>OLD-GS-005-026</x:v>
      </x:c>
      <x:c r="B376" s="13" t="str">
        <x:v>GS-005</x:v>
      </x:c>
      <x:c r="C376" s="13" t="str">
        <x:v>【工伤医疗类】案例标注.xlsx</x:v>
      </x:c>
      <x:c r="D376" s="13" t="str">
        <x:v>样例5</x:v>
      </x:c>
      <x:c r="E376" s="13" t="n">
        <x:v>26</x:v>
      </x:c>
      <x:c r="F376" s="13" t="str">
        <x:v>解除劳动合同经济补偿金</x:v>
      </x:c>
      <x:c r="G376" s="13" t="str">
        <x:v>6050元</x:v>
      </x:c>
      <x:c r="H376" s="13" t="str">
        <x:v>必须保留</x:v>
      </x:c>
      <x:c r="I376" s="13" t="str">
        <x:v>仲裁、一审判决</x:v>
      </x:c>
      <x:c r="J376" s="13" t="str">
        <x:v>保留精确金额</x:v>
      </x:c>
      <x:c r="K376" s="9" t="str">
        <x:v>待核验</x:v>
      </x:c>
      <x:c r="L376" s="11" t="str">
        <x:v>B列数字保持原始类型；条件清单不计已出现事实</x:v>
      </x:c>
    </x:row>
    <x:row r="377" ht="44" customHeight="1">
      <x:c r="A377" s="13" t="str">
        <x:v>OLD-GS-005-027</x:v>
      </x:c>
      <x:c r="B377" s="13" t="str">
        <x:v>GS-005</x:v>
      </x:c>
      <x:c r="C377" s="13" t="str">
        <x:v>【工伤医疗类】案例标注.xlsx</x:v>
      </x:c>
      <x:c r="D377" s="13" t="str">
        <x:v>样例5</x:v>
      </x:c>
      <x:c r="E377" s="13" t="n">
        <x:v>27</x:v>
      </x:c>
      <x:c r="F377" s="13" t="str">
        <x:v>住院期间</x:v>
      </x:c>
      <x:c r="G377" s="13" t="str">
        <x:v>2022年3月22日至4月1日，共10天</x:v>
      </x:c>
      <x:c r="H377" s="13" t="str">
        <x:v>必须保留</x:v>
      </x:c>
      <x:c r="I377" s="13" t="str">
        <x:v>医疗证据、法院说理</x:v>
      </x:c>
      <x:c r="J377" s="13" t="str">
        <x:v>保留住院起止时间和天数</x:v>
      </x:c>
      <x:c r="K377" s="9" t="str">
        <x:v>待核验</x:v>
      </x:c>
      <x:c r="L377" s="11" t="str">
        <x:v>B列数字保持原始类型；条件清单不计已出现事实</x:v>
      </x:c>
    </x:row>
    <x:row r="378" ht="44" customHeight="1">
      <x:c r="A378" s="13" t="str">
        <x:v>OLD-GS-005-028</x:v>
      </x:c>
      <x:c r="B378" s="13" t="str">
        <x:v>GS-005</x:v>
      </x:c>
      <x:c r="C378" s="13" t="str">
        <x:v>【工伤医疗类】案例标注.xlsx</x:v>
      </x:c>
      <x:c r="D378" s="13" t="str">
        <x:v>样例5</x:v>
      </x:c>
      <x:c r="E378" s="13" t="n">
        <x:v>28</x:v>
      </x:c>
      <x:c r="F378" s="13" t="str">
        <x:v>住院伙食补助费</x:v>
      </x:c>
      <x:c r="G378" s="13" t="str">
        <x:v>300元</x:v>
      </x:c>
      <x:c r="H378" s="13" t="str">
        <x:v>必须保留</x:v>
      </x:c>
      <x:c r="I378" s="13" t="str">
        <x:v>一审判决</x:v>
      </x:c>
      <x:c r="J378" s="13" t="str">
        <x:v>保留精确金额</x:v>
      </x:c>
      <x:c r="K378" s="9" t="str">
        <x:v>待核验</x:v>
      </x:c>
      <x:c r="L378" s="11" t="str">
        <x:v>B列数字保持原始类型；条件清单不计已出现事实</x:v>
      </x:c>
    </x:row>
    <x:row r="379" ht="44" customHeight="1">
      <x:c r="A379" s="13" t="str">
        <x:v>OLD-GS-005-029</x:v>
      </x:c>
      <x:c r="B379" s="13" t="str">
        <x:v>GS-005</x:v>
      </x:c>
      <x:c r="C379" s="13" t="str">
        <x:v>【工伤医疗类】案例标注.xlsx</x:v>
      </x:c>
      <x:c r="D379" s="13" t="str">
        <x:v>样例5</x:v>
      </x:c>
      <x:c r="E379" s="13" t="n">
        <x:v>29</x:v>
      </x:c>
      <x:c r="F379" s="13" t="str">
        <x:v>医院名称</x:v>
      </x:c>
      <x:c r="G379" s="13" t="str">
        <x:v>北京市某医院</x:v>
      </x:c>
      <x:c r="H379" s="13" t="str">
        <x:v>条件保留</x:v>
      </x:c>
      <x:c r="I379" s="13" t="str">
        <x:v>住院病人结算清单</x:v>
      </x:c>
      <x:c r="J379" s="13" t="str">
        <x:v>一般改为“医疗机构D”，无需保留具体医院</x:v>
      </x:c>
      <x:c r="K379" s="9" t="str">
        <x:v>待核验</x:v>
      </x:c>
      <x:c r="L379" s="11" t="str">
        <x:v>B列数字保持原始类型；条件清单不计已出现事实</x:v>
      </x:c>
    </x:row>
    <x:row r="380" ht="44" customHeight="1">
      <x:c r="A380" s="13" t="str">
        <x:v>OLD-GS-005-030</x:v>
      </x:c>
      <x:c r="B380" s="13" t="str">
        <x:v>GS-005</x:v>
      </x:c>
      <x:c r="C380" s="13" t="str">
        <x:v>【工伤医疗类】案例标注.xlsx</x:v>
      </x:c>
      <x:c r="D380" s="13" t="str">
        <x:v>样例5</x:v>
      </x:c>
      <x:c r="E380" s="13" t="n">
        <x:v>30</x:v>
      </x:c>
      <x:c r="F380" s="13" t="str">
        <x:v>住院病人结算清单</x:v>
      </x:c>
      <x:c r="G380" s="13" t="str">
        <x:v>原始医疗结算材料</x:v>
      </x:c>
      <x:c r="H380" s="13" t="str">
        <x:v>转人工</x:v>
      </x:c>
      <x:c r="I380" s="13" t="str">
        <x:v>医疗费证据</x:v>
      </x:c>
      <x:c r="J380" s="13" t="str">
        <x:v>不发送完整原件，仅提取住院日期、天数及与争议有关的费用</x:v>
      </x:c>
      <x:c r="K380" s="9" t="str">
        <x:v>待核验</x:v>
      </x:c>
      <x:c r="L380" s="11" t="str">
        <x:v>B列数字保持原始类型；条件清单不计已出现事实</x:v>
      </x:c>
    </x:row>
    <x:row r="381" ht="44" customHeight="1">
      <x:c r="A381" s="13" t="str">
        <x:v>OLD-GS-005-031</x:v>
      </x:c>
      <x:c r="B381" s="13" t="str">
        <x:v>GS-005</x:v>
      </x:c>
      <x:c r="C381" s="13" t="str">
        <x:v>【工伤医疗类】案例标注.xlsx</x:v>
      </x:c>
      <x:c r="D381" s="13" t="str">
        <x:v>样例5</x:v>
      </x:c>
      <x:c r="E381" s="13" t="n">
        <x:v>31</x:v>
      </x:c>
      <x:c r="F381" s="13" t="str">
        <x:v>工伤认定决定书</x:v>
      </x:c>
      <x:c r="G381" s="13" t="str">
        <x:v>原始工伤认定材料</x:v>
      </x:c>
      <x:c r="H381" s="13" t="str">
        <x:v>转人工</x:v>
      </x:c>
      <x:c r="I381" s="13" t="str">
        <x:v>工伤证据</x:v>
      </x:c>
      <x:c r="J381" s="13" t="str">
        <x:v>外部模型仅接收工伤认定结果、事故日期及必要伤情，不发送完整原件</x:v>
      </x:c>
      <x:c r="K381" s="9" t="str">
        <x:v>待核验</x:v>
      </x:c>
      <x:c r="L381" s="11" t="str">
        <x:v>B列数字保持原始类型；条件清单不计已出现事实</x:v>
      </x:c>
    </x:row>
    <x:row r="382" ht="44" customHeight="1">
      <x:c r="A382" s="13" t="str">
        <x:v>OLD-GS-005-032</x:v>
      </x:c>
      <x:c r="B382" s="13" t="str">
        <x:v>GS-005</x:v>
      </x:c>
      <x:c r="C382" s="13" t="str">
        <x:v>【工伤医疗类】案例标注.xlsx</x:v>
      </x:c>
      <x:c r="D382" s="13" t="str">
        <x:v>样例5</x:v>
      </x:c>
      <x:c r="E382" s="13" t="n">
        <x:v>32</x:v>
      </x:c>
      <x:c r="F382" s="13" t="str">
        <x:v>劳动能力鉴定材料</x:v>
      </x:c>
      <x:c r="G382" s="13" t="str">
        <x:v>原始鉴定通知书</x:v>
      </x:c>
      <x:c r="H382" s="13" t="str">
        <x:v>转人工</x:v>
      </x:c>
      <x:c r="I382" s="13" t="str">
        <x:v>工伤证据</x:v>
      </x:c>
      <x:c r="J382" s="13" t="str">
        <x:v>只保留伤残等级及与待遇计算相关的信息</x:v>
      </x:c>
      <x:c r="K382" s="9" t="str">
        <x:v>待核验</x:v>
      </x:c>
      <x:c r="L382" s="11" t="str">
        <x:v>B列数字保持原始类型；条件清单不计已出现事实</x:v>
      </x:c>
    </x:row>
    <x:row r="383" ht="44" customHeight="1">
      <x:c r="A383" s="13" t="str">
        <x:v>OLD-GS-005-033</x:v>
      </x:c>
      <x:c r="B383" s="13" t="str">
        <x:v>GS-005</x:v>
      </x:c>
      <x:c r="C383" s="13" t="str">
        <x:v>【工伤医疗类】案例标注.xlsx</x:v>
      </x:c>
      <x:c r="D383" s="13" t="str">
        <x:v>样例5</x:v>
      </x:c>
      <x:c r="E383" s="13" t="n">
        <x:v>33</x:v>
      </x:c>
      <x:c r="F383" s="13" t="str">
        <x:v>社保账号等信息</x:v>
      </x:c>
      <x:c r="G383" s="13" t="str">
        <x:v>如原材料中存在</x:v>
      </x:c>
      <x:c r="H383" s="13" t="str">
        <x:v>禁止外发</x:v>
      </x:c>
      <x:c r="I383" s="13" t="str">
        <x:v>社保材料</x:v>
      </x:c>
      <x:c r="J383" s="13" t="str">
        <x:v>完全删除账号、编号等直接识别信息</x:v>
      </x:c>
      <x:c r="K383" s="9" t="str">
        <x:v>待核验</x:v>
      </x:c>
      <x:c r="L383" s="11" t="str">
        <x:v>B列数字保持原始类型；条件清单不计已出现事实</x:v>
      </x:c>
    </x:row>
    <x:row r="384" ht="44" customHeight="1">
      <x:c r="A384" s="13" t="str">
        <x:v>OLD-GS-005-034</x:v>
      </x:c>
      <x:c r="B384" s="13" t="str">
        <x:v>GS-005</x:v>
      </x:c>
      <x:c r="C384" s="13" t="str">
        <x:v>【工伤医疗类】案例标注.xlsx</x:v>
      </x:c>
      <x:c r="D384" s="13" t="str">
        <x:v>样例5</x:v>
      </x:c>
      <x:c r="E384" s="13" t="n">
        <x:v>34</x:v>
      </x:c>
      <x:c r="F384" s="13" t="str">
        <x:v>身份证号、手机号</x:v>
      </x:c>
      <x:c r="G384" s="13" t="str">
        <x:v>如原材料中存在</x:v>
      </x:c>
      <x:c r="H384" s="13" t="str">
        <x:v>禁止外发</x:v>
      </x:c>
      <x:c r="I384" s="13" t="str">
        <x:v>当事人材料</x:v>
      </x:c>
      <x:c r="J384" s="13" t="str">
        <x:v>完全删除</x:v>
      </x:c>
      <x:c r="K384" s="9" t="str">
        <x:v>待核验</x:v>
      </x:c>
      <x:c r="L384" s="11" t="str">
        <x:v>B列数字保持原始类型；条件清单不计已出现事实</x:v>
      </x:c>
    </x:row>
    <x:row r="385" ht="44" customHeight="1">
      <x:c r="A385" s="13" t="str">
        <x:v>OLD-GS-005-035</x:v>
      </x:c>
      <x:c r="B385" s="13" t="str">
        <x:v>GS-005</x:v>
      </x:c>
      <x:c r="C385" s="13" t="str">
        <x:v>【工伤医疗类】案例标注.xlsx</x:v>
      </x:c>
      <x:c r="D385" s="13" t="str">
        <x:v>样例5</x:v>
      </x:c>
      <x:c r="E385" s="13" t="n">
        <x:v>35</x:v>
      </x:c>
      <x:c r="F385" s="13" t="str">
        <x:v>银行账号</x:v>
      </x:c>
      <x:c r="G385" s="13" t="str">
        <x:v>如工资记录中存在</x:v>
      </x:c>
      <x:c r="H385" s="13" t="str">
        <x:v>禁止外发</x:v>
      </x:c>
      <x:c r="I385" s="13" t="str">
        <x:v>工资、银行记录</x:v>
      </x:c>
      <x:c r="J385" s="13" t="str">
        <x:v>删除账户信息，只保留与工资证明有关的金额和日期</x:v>
      </x:c>
      <x:c r="K385" s="9" t="str">
        <x:v>待核验</x:v>
      </x:c>
      <x:c r="L385" s="11" t="str">
        <x:v>B列数字保持原始类型；条件清单不计已出现事实</x:v>
      </x:c>
    </x:row>
  </x:sheetData>
  <x:mergeCells>
    <x:mergeCell ref="A1:H1"/>
    <x:mergeCell ref="A2:L2"/>
    <x:mergeCell ref="A3:L3"/>
  </x:mergeCells>
  <x:dataValidations count="1">
    <x:dataValidation type="list" sqref="K6:K385">
      <x:formula1>'标注选项'!$B$24:$B$28</x:formula1>
    </x:dataValidation>
  </x:dataValidations>
  <x:pageMargins left="0.7" right="0.7" top="0.75" bottom="0.75" header="0.3" footer="0.3"/>
  <x:legacyDrawing xmlns:r="http://schemas.openxmlformats.org/officeDocument/2006/relationships" r:id="R5cf42a09dfe14950"/>
  <x:tableParts count="1">
    <x:tablePart xmlns:r="http://schemas.openxmlformats.org/officeDocument/2006/relationships" r:id="R2d5b19cb1dbd4b66"/>
  </x:tableParts>
</x:worksheet>
</file>

<file path=xl/worksheets/sheet14.xml><?xml version="1.0" encoding="utf-8"?>
<x:worksheet xmlns:x="http://schemas.openxmlformats.org/spreadsheetml/2006/main">
  <x:sheetPr>
    <x:tabColor rgb="FF89919E"/>
  </x:sheetPr>
  <x:sheetViews>
    <x:sheetView showGridLines="0" workbookViewId="0">
      <x:pane xSplit="2" ySplit="5" topLeftCell="C6" activePane="bottomRight" state="frozen"/>
    </x:sheetView>
  </x:sheetViews>
  <x:sheetFormatPr defaultRowHeight="15"/>
  <x:cols>
    <x:col min="1" max="1" width="24" hidden="0" customWidth="1"/>
    <x:col min="2" max="2" width="38" hidden="0" customWidth="1"/>
    <x:col min="3" max="3" width="38" hidden="0" customWidth="1"/>
    <x:col min="4" max="4" width="38" hidden="0" customWidth="1"/>
    <x:col min="5" max="5" width="58" hidden="0" customWidth="1"/>
    <x:col min="6" max="6" width="58" hidden="0" customWidth="1"/>
  </x:cols>
  <x:sheetData>
    <x:row r="1" ht="38" customHeight="1">
      <x:c r="A1" s="5" t="str">
        <x:v>填写示例</x:v>
      </x:c>
      <x:c r="B1" s="5"/>
      <x:c r="C1" s="5"/>
      <x:c r="D1" s="5"/>
      <x:c r="E1" s="5"/>
      <x:c r="F1" s="5"/>
      <x:c r="G1" s="18"/>
      <x:c r="H1" s="18"/>
    </x:row>
    <x:row r="2" ht="36" customHeight="1">
      <x:c r="A2" s="6" t="str">
        <x:v>合成演示与真实问题分别标识；全部排除正式案例统计和模型原始输入。</x:v>
      </x:c>
      <x:c r="B2" s="6"/>
      <x:c r="C2" s="6"/>
      <x:c r="D2" s="6"/>
      <x:c r="E2" s="6"/>
      <x:c r="F2" s="6"/>
    </x:row>
    <x:row r="3" ht="26" customHeight="1">
      <x:c r="A3" s="7" t="str">
        <x:v>v0.1 · 2026-09-12｜第5行为表头，第6行起填写；表头批注含字段说明。蓝字为录入，参考页灰底保存原文；长原文可查看公式栏或展开行高。</x:v>
      </x:c>
      <x:c r="B3" s="7"/>
      <x:c r="C3" s="7"/>
      <x:c r="D3" s="7"/>
      <x:c r="E3" s="7"/>
      <x:c r="F3" s="7"/>
    </x:row>
    <x:row r="4" ht="44" customHeight="1">
      <x:c r="A4" s="3"/>
      <x:c r="B4" s="3"/>
      <x:c r="C4" s="3"/>
      <x:c r="D4" s="3"/>
      <x:c r="E4" s="3"/>
      <x:c r="F4" s="3"/>
    </x:row>
    <x:row r="5" ht="48" customHeight="1">
      <x:c r="A5" s="10" t="str">
        <x:v>示例ID</x:v>
      </x:c>
      <x:c r="B5" s="10" t="str">
        <x:v>性质</x:v>
      </x:c>
      <x:c r="C5" s="10" t="str">
        <x:v>对应工作表</x:v>
      </x:c>
      <x:c r="D5" s="10" t="str">
        <x:v>关键字段</x:v>
      </x:c>
      <x:c r="E5" s="10" t="str">
        <x:v>填写方法或示例</x:v>
      </x:c>
      <x:c r="F5" s="10" t="str">
        <x:v>错误做法与边界</x:v>
      </x:c>
    </x:row>
    <x:row r="6" ht="44" customHeight="1">
      <x:c r="A6" s="13" t="str">
        <x:v>EX-01</x:v>
      </x:c>
      <x:c r="B6" s="13" t="str">
        <x:v>合成演示；不计入10案</x:v>
      </x:c>
      <x:c r="C6" s="13" t="str">
        <x:v>主体登记</x:v>
      </x:c>
      <x:c r="D6" s="13" t="str">
        <x:v>DEMO-P01 / 劳动者_A</x:v>
      </x:c>
      <x:c r="E6" s="13" t="str">
        <x:v>将原称某某映射为稳定代称，保留一审原告、二审被上诉人等分阶段角色</x:v>
      </x:c>
      <x:c r="F6" s="13" t="str">
        <x:v>不能推测真实姓名或跨案件复用个人身份</x:v>
      </x:c>
    </x:row>
    <x:row r="7" ht="44" customHeight="1">
      <x:c r="A7" s="13" t="str">
        <x:v>EX-02</x:v>
      </x:c>
      <x:c r="B7" s="13" t="str">
        <x:v>合成演示；不计入10案</x:v>
      </x:c>
      <x:c r="C7" s="13" t="str">
        <x:v>事实标注</x:v>
      </x:c>
      <x:c r="D7" s="13" t="str">
        <x:v>DEMO-F001-A / 当事人主张</x:v>
      </x:c>
      <x:c r="E7" s="13" t="str">
        <x:v>原文：劳动者称3月工资尚欠5000元。命题：劳动者_A主张3月工资尚欠5000元；币种人民币；年份未载明；证据仅文书提及</x:v>
      </x:c>
      <x:c r="F7" s="13" t="str">
        <x:v>不能改成法院认定公司欠薪5000元</x:v>
      </x:c>
    </x:row>
    <x:row r="8" ht="44" customHeight="1">
      <x:c r="A8" s="13" t="str">
        <x:v>EX-03</x:v>
      </x:c>
      <x:c r="B8" s="13" t="str">
        <x:v>合成演示；不计入10案</x:v>
      </x:c>
      <x:c r="C8" s="13" t="str">
        <x:v>披露标注</x:v>
      </x:c>
      <x:c r="D8" s="13" t="str">
        <x:v>DEMO-D001-A / 假名化</x:v>
      </x:c>
      <x:c r="E8" s="13" t="str">
        <x:v>必要性=必须（主体角色）；精度=角色；动作=假名化；结果=劳动者_A；环境=本地内部；结论=仅本地待核验</x:v>
      </x:c>
      <x:c r="F8" s="13" t="str">
        <x:v>保留主体不等于保留原名，更不等于已获外部处理权限</x:v>
      </x:c>
    </x:row>
    <x:row r="9" ht="44" customHeight="1">
      <x:c r="A9" s="13" t="str">
        <x:v>EX-04</x:v>
      </x:c>
      <x:c r="B9" s="13" t="str">
        <x:v>合成演示；不计入10案</x:v>
      </x:c>
      <x:c r="C9" s="13" t="str">
        <x:v>披露标注</x:v>
      </x:c>
      <x:c r="D9" s="13" t="str">
        <x:v>DEMO-D002-A / 删除</x:v>
      </x:c>
      <x:c r="E9" s="13" t="str">
        <x:v>原值=联系方式；必要性=不必要；精度=不保留；动作=删除；结果=联系方式不进入输出；条件=不适用</x:v>
      </x:c>
      <x:c r="F9" s="13" t="str">
        <x:v>不删除同句中的核心工资事实；不是整行或整份原文件删除</x:v>
      </x:c>
    </x:row>
    <x:row r="10" ht="53" customHeight="1">
      <x:c r="A10" s="13" t="str">
        <x:v>EX-05</x:v>
      </x:c>
      <x:c r="B10" s="13" t="str">
        <x:v>真实资料问题；非已裁定答案</x:v>
      </x:c>
      <x:c r="C10" s="13" t="str">
        <x:v>事实标注</x:v>
      </x:c>
      <x:c r="D10" s="13" t="str">
        <x:v>LA-002 / FB-005</x:v>
      </x:c>
      <x:c r="E10" s="13" t="str">
        <x:v>分三行保存仲裁09-01、一审09-01、二审说理09-25；同一冲突ID；来源分别为抽取05_02.txt P15/P20/P23</x:v>
      </x:c>
      <x:c r="F10" s="13" t="str">
        <x:v>参考摘要不是消除原文冲突的授权</x:v>
      </x:c>
    </x:row>
    <x:row r="11" ht="44" customHeight="1">
      <x:c r="A11" s="13" t="str">
        <x:v>EX-06</x:v>
      </x:c>
      <x:c r="B11" s="13" t="str">
        <x:v>真实资料问题；非已裁定答案</x:v>
      </x:c>
      <x:c r="C11" s="13" t="str">
        <x:v>披露标注</x:v>
      </x:c>
      <x:c r="D11" s="13" t="str">
        <x:v>GS-005 / FB-010</x:v>
      </x:c>
      <x:c r="E11" s="13" t="str">
        <x:v>如原材料中存在只形成候选检查规则；若未找到出现锚点，不建已出现事实，不计入漏识别分母</x:v>
      </x:c>
      <x:c r="F11" s="13" t="str">
        <x:v>未提供不能写无；经完整检查未出现才可判负例</x:v>
      </x:c>
    </x:row>
    <x:row r="12" ht="44" customHeight="1">
      <x:c r="A12" s="13" t="str">
        <x:v>EX-07</x:v>
      </x:c>
      <x:c r="B12" s="13" t="str">
        <x:v>真实资料问题；非已裁定答案</x:v>
      </x:c>
      <x:c r="C12" s="13" t="str">
        <x:v>事实标注</x:v>
      </x:c>
      <x:c r="D12" s="13" t="str">
        <x:v>GS-002 / FB-011</x:v>
      </x:c>
      <x:c r="E12" s="13" t="str">
        <x:v>前案不成立劳动关系；工伤责任另列。保留前案、行政认定、本案说理的来源与时间</x:v>
      </x:c>
      <x:c r="F12" s="13" t="str">
        <x:v>承担责任不是劳动关系成立的同义标签</x:v>
      </x:c>
    </x:row>
    <x:row r="13" ht="44" customHeight="1">
      <x:c r="A13" s="13" t="str">
        <x:v>EX-08</x:v>
      </x:c>
      <x:c r="B13" s="13" t="str">
        <x:v>技术反馈演示；未真实运行</x:v>
      </x:c>
      <x:c r="C13" s="13" t="str">
        <x:v>技术反馈</x:v>
      </x:c>
      <x:c r="D13" s="13" t="str">
        <x:v>运行ID=未试跑</x:v>
      </x:c>
      <x:c r="E13" s="13" t="str">
        <x:v>若未来模型把主张写成认定：附运行ID、输入版本、原文锚点、实际输出、期望文字，再归类摘要遗漏或虚构</x:v>
      </x:c>
      <x:c r="F13" s="13" t="str">
        <x:v>本行是预设测试，不表示系统已经出错</x:v>
      </x:c>
    </x:row>
    <x:row r="14" ht="44" customHeight="1">
      <x:c r="A14" s="13" t="str">
        <x:v>EX-09</x:v>
      </x:c>
      <x:c r="B14" s="13" t="str">
        <x:v>摘要验收演示；未真实运行</x:v>
      </x:c>
      <x:c r="C14" s="13" t="str">
        <x:v>摘要验收</x:v>
      </x:c>
      <x:c r="D14" s="13" t="str">
        <x:v>实测结论=未试跑</x:v>
      </x:c>
      <x:c r="E14" s="13" t="str">
        <x:v>期望：必须写成劳动者主张，不能断言法院认定；实际输出位置留空，待真实运行后填写</x:v>
      </x:c>
      <x:c r="F14" s="13" t="str">
        <x:v>未试跑不计通过率；只凭好看的摘要不能验收</x:v>
      </x:c>
    </x:row>
    <x:row r="15" ht="44" customHeight="1">
      <x:c r="A15" s="13" t="str">
        <x:v>EX-10</x:v>
      </x:c>
      <x:c r="B15" s="13" t="str">
        <x:v>裁定演示；未正式复核</x:v>
      </x:c>
      <x:c r="C15" s="13" t="str">
        <x:v>复核裁定</x:v>
      </x:c>
      <x:c r="D15" s="13" t="str">
        <x:v>裁定状态=待裁定</x:v>
      </x:c>
      <x:c r="E15" s="13" t="str">
        <x:v>A、B分别给意见和记录ID；复核人确认保留两个冲突值或要求补证，填写范围和回写位置</x:v>
      </x:c>
      <x:c r="F15" s="13" t="str">
        <x:v>禁止填假复核人、假日期或直接覆盖A/B原稿</x:v>
      </x:c>
    </x:row>
  </x:sheetData>
  <x:mergeCells>
    <x:mergeCell ref="A1:H1"/>
    <x:mergeCell ref="A2:F2"/>
    <x:mergeCell ref="A3:F3"/>
  </x:mergeCells>
  <x:pageMargins left="0.7" right="0.7" top="0.75" bottom="0.75" header="0.3" footer="0.3"/>
  <x:legacyDrawing xmlns:r="http://schemas.openxmlformats.org/officeDocument/2006/relationships" r:id="Rb4fabbde86664f60"/>
  <x:tableParts count="1">
    <x:tablePart xmlns:r="http://schemas.openxmlformats.org/officeDocument/2006/relationships" r:id="R0fa349169f654214"/>
  </x:tableParts>
</x:worksheet>
</file>

<file path=xl/worksheets/sheet15.xml><?xml version="1.0" encoding="utf-8"?>
<x:worksheet xmlns:x="http://schemas.openxmlformats.org/spreadsheetml/2006/main">
  <x:sheetPr>
    <x:tabColor rgb="FF89919E"/>
  </x:sheetPr>
  <x:sheetViews>
    <x:sheetView showGridLines="0" workbookViewId="0">
      <x:pane xSplit="2" ySplit="5" topLeftCell="C6" activePane="bottomRight" state="frozen"/>
    </x:sheetView>
  </x:sheetViews>
  <x:sheetFormatPr defaultRowHeight="15"/>
  <x:cols>
    <x:col min="1" max="1" width="24" hidden="0" customWidth="1"/>
    <x:col min="2" max="2" width="38" hidden="0" customWidth="1"/>
    <x:col min="3" max="3" width="38" hidden="0" customWidth="1"/>
  </x:cols>
  <x:sheetData>
    <x:row r="1" ht="38" customHeight="1">
      <x:c r="A1" s="5" t="str">
        <x:v>标注选项</x:v>
      </x:c>
      <x:c r="B1" s="5"/>
      <x:c r="C1" s="5"/>
      <x:c r="D1" s="18"/>
      <x:c r="E1" s="18"/>
      <x:c r="F1" s="18"/>
      <x:c r="G1" s="18"/>
      <x:c r="H1" s="18"/>
    </x:row>
    <x:row r="2" ht="36" customHeight="1">
      <x:c r="A2" s="6" t="str">
        <x:v>下拉字典；新增标签先经裁定并同步指南、下拉范围与导入映射，不直接改原标签含义。</x:v>
      </x:c>
      <x:c r="B2" s="6"/>
      <x:c r="C2" s="6"/>
    </x:row>
    <x:row r="3" ht="26" customHeight="1">
      <x:c r="A3" s="7" t="str">
        <x:v>v0.1 · 2026-09-12｜第5行为表头，第6行起填写；表头批注含字段说明。蓝字为录入，参考页灰底保存原文；长原文可查看公式栏或展开行高。</x:v>
      </x:c>
      <x:c r="B3" s="7"/>
      <x:c r="C3" s="7"/>
    </x:row>
    <x:row r="4" ht="44" customHeight="1">
      <x:c r="A4" s="3"/>
      <x:c r="B4" s="3"/>
      <x:c r="C4" s="3"/>
    </x:row>
    <x:row r="5" ht="48" customHeight="1">
      <x:c r="A5" s="10" t="str">
        <x:v>字段组</x:v>
      </x:c>
      <x:c r="B5" s="10" t="str">
        <x:v>允许值</x:v>
      </x:c>
      <x:c r="C5" s="10" t="str">
        <x:v>说明</x:v>
      </x:c>
    </x:row>
    <x:row r="6" ht="44" customHeight="1">
      <x:c r="A6" s="13" t="str">
        <x:v>案件状态</x:v>
      </x:c>
      <x:c r="B6" s="13" t="str">
        <x:v>待标注</x:v>
      </x:c>
      <x:c r="C6" s="13" t="str">
        <x:v>受控选项；空白=尚未填写，不等于否或不适用</x:v>
      </x:c>
    </x:row>
    <x:row r="7" ht="44" customHeight="1">
      <x:c r="A7" s="13" t="str">
        <x:v>案件状态</x:v>
      </x:c>
      <x:c r="B7" s="13" t="str">
        <x:v>标注中</x:v>
      </x:c>
      <x:c r="C7" s="13" t="str">
        <x:v>受控选项；空白=尚未填写，不等于否或不适用</x:v>
      </x:c>
    </x:row>
    <x:row r="8" ht="44" customHeight="1">
      <x:c r="A8" s="13" t="str">
        <x:v>案件状态</x:v>
      </x:c>
      <x:c r="B8" s="13" t="str">
        <x:v>待复核</x:v>
      </x:c>
      <x:c r="C8" s="13" t="str">
        <x:v>受控选项；空白=尚未填写，不等于否或不适用</x:v>
      </x:c>
    </x:row>
    <x:row r="9" ht="44" customHeight="1">
      <x:c r="A9" s="13" t="str">
        <x:v>案件状态</x:v>
      </x:c>
      <x:c r="B9" s="13" t="str">
        <x:v>已复核</x:v>
      </x:c>
      <x:c r="C9" s="13" t="str">
        <x:v>受控选项；空白=尚未填写，不等于否或不适用</x:v>
      </x:c>
    </x:row>
    <x:row r="10" ht="44" customHeight="1">
      <x:c r="A10" s="13" t="str">
        <x:v>案件状态</x:v>
      </x:c>
      <x:c r="B10" s="13" t="str">
        <x:v>暂缓</x:v>
      </x:c>
      <x:c r="C10" s="13" t="str">
        <x:v>受控选项；空白=尚未填写，不等于否或不适用</x:v>
      </x:c>
    </x:row>
    <x:row r="11" ht="44" customHeight="1">
      <x:c r="A11" s="13" t="str">
        <x:v>来源用途</x:v>
      </x:c>
      <x:c r="B11" s="13" t="str">
        <x:v>原始材料</x:v>
      </x:c>
      <x:c r="C11" s="13" t="str">
        <x:v>受控选项；空白=尚未填写，不等于否或不适用</x:v>
      </x:c>
    </x:row>
    <x:row r="12" ht="44" customHeight="1">
      <x:c r="A12" s="13" t="str">
        <x:v>来源用途</x:v>
      </x:c>
      <x:c r="B12" s="13" t="str">
        <x:v>已有参考摘要</x:v>
      </x:c>
      <x:c r="C12" s="13" t="str">
        <x:v>受控选项；空白=尚未填写，不等于否或不适用</x:v>
      </x:c>
    </x:row>
    <x:row r="13" ht="44" customHeight="1">
      <x:c r="A13" s="13" t="str">
        <x:v>来源用途</x:v>
      </x:c>
      <x:c r="B13" s="13" t="str">
        <x:v>已有分类</x:v>
      </x:c>
      <x:c r="C13" s="13" t="str">
        <x:v>受控选项；空白=尚未填写，不等于否或不适用</x:v>
      </x:c>
    </x:row>
    <x:row r="14" ht="44" customHeight="1">
      <x:c r="A14" s="13" t="str">
        <x:v>来源用途</x:v>
      </x:c>
      <x:c r="B14" s="13" t="str">
        <x:v>混合材料待分离</x:v>
      </x:c>
      <x:c r="C14" s="13" t="str">
        <x:v>受控选项；空白=尚未填写，不等于否或不适用</x:v>
      </x:c>
    </x:row>
    <x:row r="15" ht="44" customHeight="1">
      <x:c r="A15" s="13" t="str">
        <x:v>来源用途</x:v>
      </x:c>
      <x:c r="B15" s="13" t="str">
        <x:v>规则资料</x:v>
      </x:c>
      <x:c r="C15" s="13" t="str">
        <x:v>受控选项；空白=尚未填写，不等于否或不适用</x:v>
      </x:c>
    </x:row>
    <x:row r="16" ht="44" customHeight="1">
      <x:c r="A16" s="13" t="str">
        <x:v>来源用途</x:v>
      </x:c>
      <x:c r="B16" s="13" t="str">
        <x:v>状态证据</x:v>
      </x:c>
      <x:c r="C16" s="13" t="str">
        <x:v>受控选项；空白=尚未填写，不等于否或不适用</x:v>
      </x:c>
    </x:row>
    <x:row r="17" ht="44" customHeight="1">
      <x:c r="A17" s="13" t="str">
        <x:v>来源用途</x:v>
      </x:c>
      <x:c r="B17" s="13" t="str">
        <x:v>任务分工</x:v>
      </x:c>
      <x:c r="C17" s="13" t="str">
        <x:v>受控选项；空白=尚未填写，不等于否或不适用</x:v>
      </x:c>
    </x:row>
    <x:row r="18" ht="44" customHeight="1">
      <x:c r="A18" s="13" t="str">
        <x:v>来源用途</x:v>
      </x:c>
      <x:c r="B18" s="13" t="str">
        <x:v>模型输出</x:v>
      </x:c>
      <x:c r="C18" s="13" t="str">
        <x:v>受控选项；空白=尚未填写，不等于否或不适用</x:v>
      </x:c>
    </x:row>
    <x:row r="19" ht="44" customHeight="1">
      <x:c r="A19" s="13" t="str">
        <x:v>来源用途</x:v>
      </x:c>
      <x:c r="B19" s="13" t="str">
        <x:v>补充材料</x:v>
      </x:c>
      <x:c r="C19" s="13" t="str">
        <x:v>受控选项；空白=尚未填写，不等于否或不适用</x:v>
      </x:c>
    </x:row>
    <x:row r="20" ht="44" customHeight="1">
      <x:c r="A20" s="13" t="str">
        <x:v>主体类型</x:v>
      </x:c>
      <x:c r="B20" s="13" t="str">
        <x:v>自然人</x:v>
      </x:c>
      <x:c r="C20" s="13" t="str">
        <x:v>受控选项；空白=尚未填写，不等于否或不适用</x:v>
      </x:c>
    </x:row>
    <x:row r="21" ht="44" customHeight="1">
      <x:c r="A21" s="13" t="str">
        <x:v>主体类型</x:v>
      </x:c>
      <x:c r="B21" s="13" t="str">
        <x:v>法人或组织</x:v>
      </x:c>
      <x:c r="C21" s="13" t="str">
        <x:v>受控选项；空白=尚未填写，不等于否或不适用</x:v>
      </x:c>
    </x:row>
    <x:row r="22" ht="44" customHeight="1">
      <x:c r="A22" s="13" t="str">
        <x:v>主体类型</x:v>
      </x:c>
      <x:c r="B22" s="13" t="str">
        <x:v>机关或机构</x:v>
      </x:c>
      <x:c r="C22" s="13" t="str">
        <x:v>受控选项；空白=尚未填写，不等于否或不适用</x:v>
      </x:c>
    </x:row>
    <x:row r="23" ht="44" customHeight="1">
      <x:c r="A23" s="13" t="str">
        <x:v>主体类型</x:v>
      </x:c>
      <x:c r="B23" s="13" t="str">
        <x:v>主体不明</x:v>
      </x:c>
      <x:c r="C23" s="13" t="str">
        <x:v>受控选项；空白=尚未填写，不等于否或不适用</x:v>
      </x:c>
    </x:row>
    <x:row r="24" ht="44" customHeight="1">
      <x:c r="A24" s="13" t="str">
        <x:v>核验状态</x:v>
      </x:c>
      <x:c r="B24" s="13" t="str">
        <x:v>待核验</x:v>
      </x:c>
      <x:c r="C24" s="13" t="str">
        <x:v>受控选项；空白=尚未填写，不等于否或不适用</x:v>
      </x:c>
    </x:row>
    <x:row r="25" ht="44" customHeight="1">
      <x:c r="A25" s="13" t="str">
        <x:v>核验状态</x:v>
      </x:c>
      <x:c r="B25" s="13" t="str">
        <x:v>核验中</x:v>
      </x:c>
      <x:c r="C25" s="13" t="str">
        <x:v>受控选项；空白=尚未填写，不等于否或不适用</x:v>
      </x:c>
    </x:row>
    <x:row r="26" ht="44" customHeight="1">
      <x:c r="A26" s="13" t="str">
        <x:v>核验状态</x:v>
      </x:c>
      <x:c r="B26" s="13" t="str">
        <x:v>已核验</x:v>
      </x:c>
      <x:c r="C26" s="13" t="str">
        <x:v>受控选项；空白=尚未填写，不等于否或不适用</x:v>
      </x:c>
    </x:row>
    <x:row r="27" ht="44" customHeight="1">
      <x:c r="A27" s="13" t="str">
        <x:v>核验状态</x:v>
      </x:c>
      <x:c r="B27" s="13" t="str">
        <x:v>有冲突</x:v>
      </x:c>
      <x:c r="C27" s="13" t="str">
        <x:v>受控选项；空白=尚未填写，不等于否或不适用</x:v>
      </x:c>
    </x:row>
    <x:row r="28" ht="44" customHeight="1">
      <x:c r="A28" s="13" t="str">
        <x:v>核验状态</x:v>
      </x:c>
      <x:c r="B28" s="13" t="str">
        <x:v>暂不适用</x:v>
      </x:c>
      <x:c r="C28" s="13" t="str">
        <x:v>受控选项；空白=尚未填写，不等于否或不适用</x:v>
      </x:c>
    </x:row>
    <x:row r="29" ht="44" customHeight="1">
      <x:c r="A29" s="13" t="str">
        <x:v>事实类型</x:v>
      </x:c>
      <x:c r="B29" s="13" t="str">
        <x:v>实体属性</x:v>
      </x:c>
      <x:c r="C29" s="13" t="str">
        <x:v>受控选项；空白=尚未填写，不等于否或不适用</x:v>
      </x:c>
    </x:row>
    <x:row r="30" ht="44" customHeight="1">
      <x:c r="A30" s="13" t="str">
        <x:v>事实类型</x:v>
      </x:c>
      <x:c r="B30" s="13" t="str">
        <x:v>主体关系</x:v>
      </x:c>
      <x:c r="C30" s="13" t="str">
        <x:v>受控选项；空白=尚未填写，不等于否或不适用</x:v>
      </x:c>
    </x:row>
    <x:row r="31" ht="44" customHeight="1">
      <x:c r="A31" s="13" t="str">
        <x:v>事实类型</x:v>
      </x:c>
      <x:c r="B31" s="13" t="str">
        <x:v>事件</x:v>
      </x:c>
      <x:c r="C31" s="13" t="str">
        <x:v>受控选项；空白=尚未填写，不等于否或不适用</x:v>
      </x:c>
    </x:row>
    <x:row r="32" ht="44" customHeight="1">
      <x:c r="A32" s="13" t="str">
        <x:v>事实类型</x:v>
      </x:c>
      <x:c r="B32" s="13" t="str">
        <x:v>日期期间</x:v>
      </x:c>
      <x:c r="C32" s="13" t="str">
        <x:v>受控选项；空白=尚未填写，不等于否或不适用</x:v>
      </x:c>
    </x:row>
    <x:row r="33" ht="44" customHeight="1">
      <x:c r="A33" s="13" t="str">
        <x:v>事实类型</x:v>
      </x:c>
      <x:c r="B33" s="13" t="str">
        <x:v>金额</x:v>
      </x:c>
      <x:c r="C33" s="13" t="str">
        <x:v>受控选项；空白=尚未填写，不等于否或不适用</x:v>
      </x:c>
    </x:row>
    <x:row r="34" ht="44" customHeight="1">
      <x:c r="A34" s="13" t="str">
        <x:v>事实类型</x:v>
      </x:c>
      <x:c r="B34" s="13" t="str">
        <x:v>证据描述</x:v>
      </x:c>
      <x:c r="C34" s="13" t="str">
        <x:v>受控选项；空白=尚未填写，不等于否或不适用</x:v>
      </x:c>
    </x:row>
    <x:row r="35" ht="44" customHeight="1">
      <x:c r="A35" s="13" t="str">
        <x:v>事实类型</x:v>
      </x:c>
      <x:c r="B35" s="13" t="str">
        <x:v>程序事项</x:v>
      </x:c>
      <x:c r="C35" s="13" t="str">
        <x:v>受控选项；空白=尚未填写，不等于否或不适用</x:v>
      </x:c>
    </x:row>
    <x:row r="36" ht="44" customHeight="1">
      <x:c r="A36" s="13" t="str">
        <x:v>事实类型</x:v>
      </x:c>
      <x:c r="B36" s="13" t="str">
        <x:v>裁判结果</x:v>
      </x:c>
      <x:c r="C36" s="13" t="str">
        <x:v>受控选项；空白=尚未填写，不等于否或不适用</x:v>
      </x:c>
    </x:row>
    <x:row r="37" ht="44" customHeight="1">
      <x:c r="A37" s="13" t="str">
        <x:v>事实状态</x:v>
      </x:c>
      <x:c r="B37" s="13" t="str">
        <x:v>当事人主张</x:v>
      </x:c>
      <x:c r="C37" s="13" t="str">
        <x:v>受控选项；空白=尚未填写，不等于否或不适用</x:v>
      </x:c>
    </x:row>
    <x:row r="38" ht="44" customHeight="1">
      <x:c r="A38" s="13" t="str">
        <x:v>事实状态</x:v>
      </x:c>
      <x:c r="B38" s="13" t="str">
        <x:v>对方抗辩</x:v>
      </x:c>
      <x:c r="C38" s="13" t="str">
        <x:v>受控选项；空白=尚未填写，不等于否或不适用</x:v>
      </x:c>
    </x:row>
    <x:row r="39" ht="44" customHeight="1">
      <x:c r="A39" s="13" t="str">
        <x:v>事实状态</x:v>
      </x:c>
      <x:c r="B39" s="13" t="str">
        <x:v>无争议事实</x:v>
      </x:c>
      <x:c r="C39" s="13" t="str">
        <x:v>受控选项；空白=尚未填写，不等于否或不适用</x:v>
      </x:c>
    </x:row>
    <x:row r="40" ht="44" customHeight="1">
      <x:c r="A40" s="13" t="str">
        <x:v>事实状态</x:v>
      </x:c>
      <x:c r="B40" s="13" t="str">
        <x:v>仲裁认定</x:v>
      </x:c>
      <x:c r="C40" s="13" t="str">
        <x:v>受控选项；空白=尚未填写，不等于否或不适用</x:v>
      </x:c>
    </x:row>
    <x:row r="41" ht="44" customHeight="1">
      <x:c r="A41" s="13" t="str">
        <x:v>事实状态</x:v>
      </x:c>
      <x:c r="B41" s="13" t="str">
        <x:v>一审认定</x:v>
      </x:c>
      <x:c r="C41" s="13" t="str">
        <x:v>受控选项；空白=尚未填写，不等于否或不适用</x:v>
      </x:c>
    </x:row>
    <x:row r="42" ht="44" customHeight="1">
      <x:c r="A42" s="13" t="str">
        <x:v>事实状态</x:v>
      </x:c>
      <x:c r="B42" s="13" t="str">
        <x:v>二审认定</x:v>
      </x:c>
      <x:c r="C42" s="13" t="str">
        <x:v>受控选项；空白=尚未填写，不等于否或不适用</x:v>
      </x:c>
    </x:row>
    <x:row r="43" ht="44" customHeight="1">
      <x:c r="A43" s="13" t="str">
        <x:v>事实状态</x:v>
      </x:c>
      <x:c r="B43" s="13" t="str">
        <x:v>裁判说理</x:v>
      </x:c>
      <x:c r="C43" s="13" t="str">
        <x:v>受控选项；空白=尚未填写，不等于否或不适用</x:v>
      </x:c>
    </x:row>
    <x:row r="44" ht="44" customHeight="1">
      <x:c r="A44" s="13" t="str">
        <x:v>事实状态</x:v>
      </x:c>
      <x:c r="B44" s="13" t="str">
        <x:v>证据记载</x:v>
      </x:c>
      <x:c r="C44" s="13" t="str">
        <x:v>受控选项；空白=尚未填写，不等于否或不适用</x:v>
      </x:c>
    </x:row>
    <x:row r="45" ht="44" customHeight="1">
      <x:c r="A45" s="13" t="str">
        <x:v>事实状态</x:v>
      </x:c>
      <x:c r="B45" s="13" t="str">
        <x:v>待核实</x:v>
      </x:c>
      <x:c r="C45" s="13" t="str">
        <x:v>受控选项；空白=尚未填写，不等于否或不适用</x:v>
      </x:c>
    </x:row>
    <x:row r="46" ht="44" customHeight="1">
      <x:c r="A46" s="13" t="str">
        <x:v>事实状态</x:v>
      </x:c>
      <x:c r="B46" s="13" t="str">
        <x:v>仅参考摘要</x:v>
      </x:c>
      <x:c r="C46" s="13" t="str">
        <x:v>受控选项；空白=尚未填写，不等于否或不适用</x:v>
      </x:c>
    </x:row>
    <x:row r="47" ht="44" customHeight="1">
      <x:c r="A47" s="13" t="str">
        <x:v>证据可得性</x:v>
      </x:c>
      <x:c r="B47" s="13" t="str">
        <x:v>已提供原件或副本</x:v>
      </x:c>
      <x:c r="C47" s="13" t="str">
        <x:v>受控选项；空白=尚未填写，不等于否或不适用</x:v>
      </x:c>
    </x:row>
    <x:row r="48" ht="44" customHeight="1">
      <x:c r="A48" s="13" t="str">
        <x:v>证据可得性</x:v>
      </x:c>
      <x:c r="B48" s="13" t="str">
        <x:v>仅文书提及</x:v>
      </x:c>
      <x:c r="C48" s="13" t="str">
        <x:v>受控选项；空白=尚未填写，不等于否或不适用</x:v>
      </x:c>
    </x:row>
    <x:row r="49" ht="44" customHeight="1">
      <x:c r="A49" s="13" t="str">
        <x:v>证据可得性</x:v>
      </x:c>
      <x:c r="B49" s="13" t="str">
        <x:v>未提供</x:v>
      </x:c>
      <x:c r="C49" s="13" t="str">
        <x:v>受控选项；空白=尚未填写，不等于否或不适用</x:v>
      </x:c>
    </x:row>
    <x:row r="50" ht="44" customHeight="1">
      <x:c r="A50" s="13" t="str">
        <x:v>证据可得性</x:v>
      </x:c>
      <x:c r="B50" s="13" t="str">
        <x:v>无法判断</x:v>
      </x:c>
      <x:c r="C50" s="13" t="str">
        <x:v>受控选项；空白=尚未填写，不等于否或不适用</x:v>
      </x:c>
    </x:row>
    <x:row r="51" ht="44" customHeight="1">
      <x:c r="A51" s="13" t="str">
        <x:v>证据可得性</x:v>
      </x:c>
      <x:c r="B51" s="13" t="str">
        <x:v>不适用</x:v>
      </x:c>
      <x:c r="C51" s="13" t="str">
        <x:v>受控选项；空白=尚未填写，不等于否或不适用</x:v>
      </x:c>
    </x:row>
    <x:row r="52" ht="44" customHeight="1">
      <x:c r="A52" s="13" t="str">
        <x:v>必要性</x:v>
      </x:c>
      <x:c r="B52" s="13" t="str">
        <x:v>必须</x:v>
      </x:c>
      <x:c r="C52" s="13" t="str">
        <x:v>受控选项；空白=尚未填写，不等于否或不适用</x:v>
      </x:c>
    </x:row>
    <x:row r="53" ht="44" customHeight="1">
      <x:c r="A53" s="13" t="str">
        <x:v>必要性</x:v>
      </x:c>
      <x:c r="B53" s="13" t="str">
        <x:v>条件必要</x:v>
      </x:c>
      <x:c r="C53" s="13" t="str">
        <x:v>受控选项；空白=尚未填写，不等于否或不适用</x:v>
      </x:c>
    </x:row>
    <x:row r="54" ht="44" customHeight="1">
      <x:c r="A54" s="13" t="str">
        <x:v>必要性</x:v>
      </x:c>
      <x:c r="B54" s="13" t="str">
        <x:v>不必要</x:v>
      </x:c>
      <x:c r="C54" s="13" t="str">
        <x:v>受控选项；空白=尚未填写，不等于否或不适用</x:v>
      </x:c>
    </x:row>
    <x:row r="55" ht="44" customHeight="1">
      <x:c r="A55" s="13" t="str">
        <x:v>必要性</x:v>
      </x:c>
      <x:c r="B55" s="13" t="str">
        <x:v>待判断</x:v>
      </x:c>
      <x:c r="C55" s="13" t="str">
        <x:v>受控选项；空白=尚未填写，不等于否或不适用</x:v>
      </x:c>
    </x:row>
    <x:row r="56" ht="44" customHeight="1">
      <x:c r="A56" s="13" t="str">
        <x:v>动作</x:v>
      </x:c>
      <x:c r="B56" s="13" t="str">
        <x:v>保留</x:v>
      </x:c>
      <x:c r="C56" s="13" t="str">
        <x:v>受控选项；空白=尚未填写，不等于否或不适用</x:v>
      </x:c>
    </x:row>
    <x:row r="57" ht="44" customHeight="1">
      <x:c r="A57" s="13" t="str">
        <x:v>动作</x:v>
      </x:c>
      <x:c r="B57" s="13" t="str">
        <x:v>假名化</x:v>
      </x:c>
      <x:c r="C57" s="13" t="str">
        <x:v>受控选项；空白=尚未填写，不等于否或不适用</x:v>
      </x:c>
    </x:row>
    <x:row r="58" ht="44" customHeight="1">
      <x:c r="A58" s="13" t="str">
        <x:v>动作</x:v>
      </x:c>
      <x:c r="B58" s="13" t="str">
        <x:v>概括</x:v>
      </x:c>
      <x:c r="C58" s="13" t="str">
        <x:v>受控选项；空白=尚未填写，不等于否或不适用</x:v>
      </x:c>
    </x:row>
    <x:row r="59" ht="44" customHeight="1">
      <x:c r="A59" s="13" t="str">
        <x:v>动作</x:v>
      </x:c>
      <x:c r="B59" s="13" t="str">
        <x:v>删除</x:v>
      </x:c>
      <x:c r="C59" s="13" t="str">
        <x:v>受控选项；空白=尚未填写，不等于否或不适用</x:v>
      </x:c>
    </x:row>
    <x:row r="60" ht="44" customHeight="1">
      <x:c r="A60" s="13" t="str">
        <x:v>动作</x:v>
      </x:c>
      <x:c r="B60" s="13" t="str">
        <x:v>待定</x:v>
      </x:c>
      <x:c r="C60" s="13" t="str">
        <x:v>受控选项；空白=尚未填写，不等于否或不适用</x:v>
      </x:c>
    </x:row>
    <x:row r="61" ht="44" customHeight="1">
      <x:c r="A61" s="13" t="str">
        <x:v>条件满足</x:v>
      </x:c>
      <x:c r="B61" s="13" t="str">
        <x:v>已满足</x:v>
      </x:c>
      <x:c r="C61" s="13" t="str">
        <x:v>受控选项；空白=尚未填写，不等于否或不适用</x:v>
      </x:c>
    </x:row>
    <x:row r="62" ht="44" customHeight="1">
      <x:c r="A62" s="13" t="str">
        <x:v>条件满足</x:v>
      </x:c>
      <x:c r="B62" s="13" t="str">
        <x:v>未满足</x:v>
      </x:c>
      <x:c r="C62" s="13" t="str">
        <x:v>受控选项；空白=尚未填写，不等于否或不适用</x:v>
      </x:c>
    </x:row>
    <x:row r="63" ht="44" customHeight="1">
      <x:c r="A63" s="13" t="str">
        <x:v>条件满足</x:v>
      </x:c>
      <x:c r="B63" s="13" t="str">
        <x:v>未知</x:v>
      </x:c>
      <x:c r="C63" s="13" t="str">
        <x:v>受控选项；空白=尚未填写，不等于否或不适用</x:v>
      </x:c>
    </x:row>
    <x:row r="64" ht="44" customHeight="1">
      <x:c r="A64" s="13" t="str">
        <x:v>条件满足</x:v>
      </x:c>
      <x:c r="B64" s="13" t="str">
        <x:v>不适用</x:v>
      </x:c>
      <x:c r="C64" s="13" t="str">
        <x:v>受控选项；空白=尚未填写，不等于否或不适用</x:v>
      </x:c>
    </x:row>
    <x:row r="65" ht="44" customHeight="1">
      <x:c r="A65" s="13" t="str">
        <x:v>处理环境</x:v>
      </x:c>
      <x:c r="B65" s="13" t="str">
        <x:v>本地内部</x:v>
      </x:c>
      <x:c r="C65" s="13" t="str">
        <x:v>受控选项；空白=尚未填写，不等于否或不适用</x:v>
      </x:c>
    </x:row>
    <x:row r="66" ht="44" customHeight="1">
      <x:c r="A66" s="13" t="str">
        <x:v>处理环境</x:v>
      </x:c>
      <x:c r="B66" s="13" t="str">
        <x:v>拟境内受托处理</x:v>
      </x:c>
      <x:c r="C66" s="13" t="str">
        <x:v>受控选项；空白=尚未填写，不等于否或不适用</x:v>
      </x:c>
    </x:row>
    <x:row r="67" ht="44" customHeight="1">
      <x:c r="A67" s="13" t="str">
        <x:v>处理环境</x:v>
      </x:c>
      <x:c r="B67" s="13" t="str">
        <x:v>拟向其他处理者提供</x:v>
      </x:c>
      <x:c r="C67" s="13" t="str">
        <x:v>受控选项；空白=尚未填写，不等于否或不适用</x:v>
      </x:c>
    </x:row>
    <x:row r="68" ht="44" customHeight="1">
      <x:c r="A68" s="13" t="str">
        <x:v>处理环境</x:v>
      </x:c>
      <x:c r="B68" s="13" t="str">
        <x:v>拟公开</x:v>
      </x:c>
      <x:c r="C68" s="13" t="str">
        <x:v>受控选项；空白=尚未填写，不等于否或不适用</x:v>
      </x:c>
    </x:row>
    <x:row r="69" ht="44" customHeight="1">
      <x:c r="A69" s="13" t="str">
        <x:v>处理环境</x:v>
      </x:c>
      <x:c r="B69" s="13" t="str">
        <x:v>拟跨境</x:v>
      </x:c>
      <x:c r="C69" s="13" t="str">
        <x:v>受控选项；空白=尚未填写，不等于否或不适用</x:v>
      </x:c>
    </x:row>
    <x:row r="70" ht="44" customHeight="1">
      <x:c r="A70" s="13" t="str">
        <x:v>处理环境</x:v>
      </x:c>
      <x:c r="B70" s="13" t="str">
        <x:v>待确认</x:v>
      </x:c>
      <x:c r="C70" s="13" t="str">
        <x:v>受控选项；空白=尚未填写，不等于否或不适用</x:v>
      </x:c>
    </x:row>
    <x:row r="71" ht="44" customHeight="1">
      <x:c r="A71" s="13" t="str">
        <x:v>限制性质</x:v>
      </x:c>
      <x:c r="B71" s="13" t="str">
        <x:v>法律限制</x:v>
      </x:c>
      <x:c r="C71" s="13" t="str">
        <x:v>受控选项；空白=尚未填写，不等于否或不适用</x:v>
      </x:c>
    </x:row>
    <x:row r="72" ht="44" customHeight="1">
      <x:c r="A72" s="13" t="str">
        <x:v>限制性质</x:v>
      </x:c>
      <x:c r="B72" s="13" t="str">
        <x:v>程序措施</x:v>
      </x:c>
      <x:c r="C72" s="13" t="str">
        <x:v>受控选项；空白=尚未填写，不等于否或不适用</x:v>
      </x:c>
    </x:row>
    <x:row r="73" ht="44" customHeight="1">
      <x:c r="A73" s="13" t="str">
        <x:v>限制性质</x:v>
      </x:c>
      <x:c r="B73" s="13" t="str">
        <x:v>合同限制</x:v>
      </x:c>
      <x:c r="C73" s="13" t="str">
        <x:v>受控选项；空白=尚未填写，不等于否或不适用</x:v>
      </x:c>
    </x:row>
    <x:row r="74" ht="44" customHeight="1">
      <x:c r="A74" s="13" t="str">
        <x:v>限制性质</x:v>
      </x:c>
      <x:c r="B74" s="13" t="str">
        <x:v>服务商规则</x:v>
      </x:c>
      <x:c r="C74" s="13" t="str">
        <x:v>受控选项；空白=尚未填写，不等于否或不适用</x:v>
      </x:c>
    </x:row>
    <x:row r="75" ht="44" customHeight="1">
      <x:c r="A75" s="13" t="str">
        <x:v>限制性质</x:v>
      </x:c>
      <x:c r="B75" s="13" t="str">
        <x:v>项目控制</x:v>
      </x:c>
      <x:c r="C75" s="13" t="str">
        <x:v>受控选项；空白=尚未填写，不等于否或不适用</x:v>
      </x:c>
    </x:row>
    <x:row r="76" ht="44" customHeight="1">
      <x:c r="A76" s="13" t="str">
        <x:v>限制性质</x:v>
      </x:c>
      <x:c r="B76" s="13" t="str">
        <x:v>无已知限制</x:v>
      </x:c>
      <x:c r="C76" s="13" t="str">
        <x:v>受控选项；空白=尚未填写，不等于否或不适用</x:v>
      </x:c>
    </x:row>
    <x:row r="77" ht="44" customHeight="1">
      <x:c r="A77" s="13" t="str">
        <x:v>限制性质</x:v>
      </x:c>
      <x:c r="B77" s="13" t="str">
        <x:v>待确认</x:v>
      </x:c>
      <x:c r="C77" s="13" t="str">
        <x:v>受控选项；空白=尚未填写，不等于否或不适用</x:v>
      </x:c>
    </x:row>
    <x:row r="78" ht="44" customHeight="1">
      <x:c r="A78" s="13" t="str">
        <x:v>披露结论</x:v>
      </x:c>
      <x:c r="B78" s="13" t="str">
        <x:v>仅本地待核验</x:v>
      </x:c>
      <x:c r="C78" s="13" t="str">
        <x:v>受控选项；空白=尚未填写，不等于否或不适用</x:v>
      </x:c>
    </x:row>
    <x:row r="79" ht="44" customHeight="1">
      <x:c r="A79" s="13" t="str">
        <x:v>披露结论</x:v>
      </x:c>
      <x:c r="B79" s="13" t="str">
        <x:v>条件通过待执行核验</x:v>
      </x:c>
      <x:c r="C79" s="13" t="str">
        <x:v>受控选项；空白=尚未填写，不等于否或不适用</x:v>
      </x:c>
    </x:row>
    <x:row r="80" ht="44" customHeight="1">
      <x:c r="A80" s="13" t="str">
        <x:v>披露结论</x:v>
      </x:c>
      <x:c r="B80" s="13" t="str">
        <x:v>禁止当前处理</x:v>
      </x:c>
      <x:c r="C80" s="13" t="str">
        <x:v>受控选项；空白=尚未填写，不等于否或不适用</x:v>
      </x:c>
    </x:row>
    <x:row r="81" ht="44" customHeight="1">
      <x:c r="A81" s="13" t="str">
        <x:v>披露结论</x:v>
      </x:c>
      <x:c r="B81" s="13" t="str">
        <x:v>待补事实</x:v>
      </x:c>
      <x:c r="C81" s="13" t="str">
        <x:v>受控选项；空白=尚未填写，不等于否或不适用</x:v>
      </x:c>
    </x:row>
    <x:row r="82" ht="44" customHeight="1">
      <x:c r="A82" s="13" t="str">
        <x:v>披露结论</x:v>
      </x:c>
      <x:c r="B82" s="13" t="str">
        <x:v>不适用</x:v>
      </x:c>
      <x:c r="C82" s="13" t="str">
        <x:v>受控选项；空白=尚未填写，不等于否或不适用</x:v>
      </x:c>
    </x:row>
    <x:row r="83" ht="44" customHeight="1">
      <x:c r="A83" s="13" t="str">
        <x:v>复核状态</x:v>
      </x:c>
      <x:c r="B83" s="13" t="str">
        <x:v>待标注</x:v>
      </x:c>
      <x:c r="C83" s="13" t="str">
        <x:v>受控选项；空白=尚未填写，不等于否或不适用</x:v>
      </x:c>
    </x:row>
    <x:row r="84" ht="44" customHeight="1">
      <x:c r="A84" s="13" t="str">
        <x:v>复核状态</x:v>
      </x:c>
      <x:c r="B84" s="13" t="str">
        <x:v>待复核</x:v>
      </x:c>
      <x:c r="C84" s="13" t="str">
        <x:v>受控选项；空白=尚未填写，不等于否或不适用</x:v>
      </x:c>
    </x:row>
    <x:row r="85" ht="44" customHeight="1">
      <x:c r="A85" s="13" t="str">
        <x:v>复核状态</x:v>
      </x:c>
      <x:c r="B85" s="13" t="str">
        <x:v>有分歧</x:v>
      </x:c>
      <x:c r="C85" s="13" t="str">
        <x:v>受控选项；空白=尚未填写，不等于否或不适用</x:v>
      </x:c>
    </x:row>
    <x:row r="86" ht="44" customHeight="1">
      <x:c r="A86" s="13" t="str">
        <x:v>复核状态</x:v>
      </x:c>
      <x:c r="B86" s="13" t="str">
        <x:v>已裁定</x:v>
      </x:c>
      <x:c r="C86" s="13" t="str">
        <x:v>受控选项；空白=尚未填写，不等于否或不适用</x:v>
      </x:c>
    </x:row>
    <x:row r="87" ht="44" customHeight="1">
      <x:c r="A87" s="13" t="str">
        <x:v>复核状态</x:v>
      </x:c>
      <x:c r="B87" s="13" t="str">
        <x:v>已撤回</x:v>
      </x:c>
      <x:c r="C87" s="13" t="str">
        <x:v>受控选项；空白=尚未填写，不等于否或不适用</x:v>
      </x:c>
    </x:row>
    <x:row r="88" ht="44" customHeight="1">
      <x:c r="A88" s="13" t="str">
        <x:v>裁定状态</x:v>
      </x:c>
      <x:c r="B88" s="13" t="str">
        <x:v>待裁定</x:v>
      </x:c>
      <x:c r="C88" s="13" t="str">
        <x:v>受控选项；空白=尚未填写，不等于否或不适用</x:v>
      </x:c>
    </x:row>
    <x:row r="89" ht="44" customHeight="1">
      <x:c r="A89" s="13" t="str">
        <x:v>裁定状态</x:v>
      </x:c>
      <x:c r="B89" s="13" t="str">
        <x:v>需补材料</x:v>
      </x:c>
      <x:c r="C89" s="13" t="str">
        <x:v>受控选项；空白=尚未填写，不等于否或不适用</x:v>
      </x:c>
    </x:row>
    <x:row r="90" ht="44" customHeight="1">
      <x:c r="A90" s="13" t="str">
        <x:v>裁定状态</x:v>
      </x:c>
      <x:c r="B90" s="13" t="str">
        <x:v>已裁定</x:v>
      </x:c>
      <x:c r="C90" s="13" t="str">
        <x:v>受控选项；空白=尚未填写，不等于否或不适用</x:v>
      </x:c>
    </x:row>
    <x:row r="91" ht="44" customHeight="1">
      <x:c r="A91" s="13" t="str">
        <x:v>裁定状态</x:v>
      </x:c>
      <x:c r="B91" s="13" t="str">
        <x:v>撤回重审</x:v>
      </x:c>
      <x:c r="C91" s="13" t="str">
        <x:v>受控选项；空白=尚未填写，不等于否或不适用</x:v>
      </x:c>
    </x:row>
    <x:row r="92" ht="44" customHeight="1">
      <x:c r="A92" s="13" t="str">
        <x:v>验收维度</x:v>
      </x:c>
      <x:c r="B92" s="13" t="str">
        <x:v>核心事实覆盖</x:v>
      </x:c>
      <x:c r="C92" s="13" t="str">
        <x:v>受控选项；空白=尚未填写，不等于否或不适用</x:v>
      </x:c>
    </x:row>
    <x:row r="93" ht="44" customHeight="1">
      <x:c r="A93" s="13" t="str">
        <x:v>验收维度</x:v>
      </x:c>
      <x:c r="B93" s="13" t="str">
        <x:v>事实有据</x:v>
      </x:c>
      <x:c r="C93" s="13" t="str">
        <x:v>受控选项；空白=尚未填写，不等于否或不适用</x:v>
      </x:c>
    </x:row>
    <x:row r="94" ht="44" customHeight="1">
      <x:c r="A94" s="13" t="str">
        <x:v>验收维度</x:v>
      </x:c>
      <x:c r="B94" s="13" t="str">
        <x:v>主体一致</x:v>
      </x:c>
      <x:c r="C94" s="13" t="str">
        <x:v>受控选项；空白=尚未填写，不等于否或不适用</x:v>
      </x:c>
    </x:row>
    <x:row r="95" ht="44" customHeight="1">
      <x:c r="A95" s="13" t="str">
        <x:v>验收维度</x:v>
      </x:c>
      <x:c r="B95" s="13" t="str">
        <x:v>程序与立场</x:v>
      </x:c>
      <x:c r="C95" s="13" t="str">
        <x:v>受控选项；空白=尚未填写，不等于否或不适用</x:v>
      </x:c>
    </x:row>
    <x:row r="96" ht="44" customHeight="1">
      <x:c r="A96" s="13" t="str">
        <x:v>验收维度</x:v>
      </x:c>
      <x:c r="B96" s="13" t="str">
        <x:v>日期金额准确</x:v>
      </x:c>
      <x:c r="C96" s="13" t="str">
        <x:v>受控选项；空白=尚未填写，不等于否或不适用</x:v>
      </x:c>
    </x:row>
    <x:row r="97" ht="44" customHeight="1">
      <x:c r="A97" s="13" t="str">
        <x:v>验收维度</x:v>
      </x:c>
      <x:c r="B97" s="13" t="str">
        <x:v>争议保留</x:v>
      </x:c>
      <x:c r="C97" s="13" t="str">
        <x:v>受控选项；空白=尚未填写，不等于否或不适用</x:v>
      </x:c>
    </x:row>
    <x:row r="98" ht="44" customHeight="1">
      <x:c r="A98" s="13" t="str">
        <x:v>验收维度</x:v>
      </x:c>
      <x:c r="B98" s="13" t="str">
        <x:v>最小必要</x:v>
      </x:c>
      <x:c r="C98" s="13" t="str">
        <x:v>受控选项；空白=尚未填写，不等于否或不适用</x:v>
      </x:c>
    </x:row>
    <x:row r="99" ht="44" customHeight="1">
      <x:c r="A99" s="13" t="str">
        <x:v>验收维度</x:v>
      </x:c>
      <x:c r="B99" s="13" t="str">
        <x:v>隐私泄漏</x:v>
      </x:c>
      <x:c r="C99" s="13" t="str">
        <x:v>受控选项；空白=尚未填写，不等于否或不适用</x:v>
      </x:c>
    </x:row>
    <x:row r="100" ht="44" customHeight="1">
      <x:c r="A100" s="13" t="str">
        <x:v>验收维度</x:v>
      </x:c>
      <x:c r="B100" s="13" t="str">
        <x:v>保密限制</x:v>
      </x:c>
      <x:c r="C100" s="13" t="str">
        <x:v>受控选项；空白=尚未填写，不等于否或不适用</x:v>
      </x:c>
    </x:row>
    <x:row r="101" ht="44" customHeight="1">
      <x:c r="A101" s="13" t="str">
        <x:v>验收维度</x:v>
      </x:c>
      <x:c r="B101" s="13" t="str">
        <x:v>可追溯性</x:v>
      </x:c>
      <x:c r="C101" s="13" t="str">
        <x:v>受控选项；空白=尚未填写，不等于否或不适用</x:v>
      </x:c>
    </x:row>
    <x:row r="102" ht="44" customHeight="1">
      <x:c r="A102" s="13" t="str">
        <x:v>实测结论</x:v>
      </x:c>
      <x:c r="B102" s="13" t="str">
        <x:v>未试跑</x:v>
      </x:c>
      <x:c r="C102" s="13" t="str">
        <x:v>受控选项；空白=尚未填写，不等于否或不适用</x:v>
      </x:c>
    </x:row>
    <x:row r="103" ht="44" customHeight="1">
      <x:c r="A103" s="13" t="str">
        <x:v>实测结论</x:v>
      </x:c>
      <x:c r="B103" s="13" t="str">
        <x:v>通过</x:v>
      </x:c>
      <x:c r="C103" s="13" t="str">
        <x:v>受控选项；空白=尚未填写，不等于否或不适用</x:v>
      </x:c>
    </x:row>
    <x:row r="104" ht="44" customHeight="1">
      <x:c r="A104" s="13" t="str">
        <x:v>实测结论</x:v>
      </x:c>
      <x:c r="B104" s="13" t="str">
        <x:v>不通过</x:v>
      </x:c>
      <x:c r="C104" s="13" t="str">
        <x:v>受控选项；空白=尚未填写，不等于否或不适用</x:v>
      </x:c>
    </x:row>
    <x:row r="105" ht="44" customHeight="1">
      <x:c r="A105" s="13" t="str">
        <x:v>实测结论</x:v>
      </x:c>
      <x:c r="B105" s="13" t="str">
        <x:v>无法评价</x:v>
      </x:c>
      <x:c r="C105" s="13" t="str">
        <x:v>受控选项；空白=尚未填写，不等于否或不适用</x:v>
      </x:c>
    </x:row>
    <x:row r="106" ht="44" customHeight="1">
      <x:c r="A106" s="13" t="str">
        <x:v>反馈来源</x:v>
      </x:c>
      <x:c r="B106" s="13" t="str">
        <x:v>资料审查</x:v>
      </x:c>
      <x:c r="C106" s="13" t="str">
        <x:v>受控选项；空白=尚未填写，不等于否或不适用</x:v>
      </x:c>
    </x:row>
    <x:row r="107" ht="44" customHeight="1">
      <x:c r="A107" s="13" t="str">
        <x:v>反馈来源</x:v>
      </x:c>
      <x:c r="B107" s="13" t="str">
        <x:v>真实试跑</x:v>
      </x:c>
      <x:c r="C107" s="13" t="str">
        <x:v>受控选项；空白=尚未填写，不等于否或不适用</x:v>
      </x:c>
    </x:row>
    <x:row r="108" ht="44" customHeight="1">
      <x:c r="A108" s="13" t="str">
        <x:v>反馈来源</x:v>
      </x:c>
      <x:c r="B108" s="13" t="str">
        <x:v>人工标注分歧</x:v>
      </x:c>
      <x:c r="C108" s="13" t="str">
        <x:v>受控选项；空白=尚未填写，不等于否或不适用</x:v>
      </x:c>
    </x:row>
    <x:row r="109" ht="44" customHeight="1">
      <x:c r="A109" s="13" t="str">
        <x:v>反馈来源</x:v>
      </x:c>
      <x:c r="B109" s="13" t="str">
        <x:v>回归测试</x:v>
      </x:c>
      <x:c r="C109" s="13" t="str">
        <x:v>受控选项；空白=尚未填写，不等于否或不适用</x:v>
      </x:c>
    </x:row>
    <x:row r="110" ht="44" customHeight="1">
      <x:c r="A110" s="13" t="str">
        <x:v>错误类型</x:v>
      </x:c>
      <x:c r="B110" s="13" t="str">
        <x:v>原始资料问题</x:v>
      </x:c>
      <x:c r="C110" s="13" t="str">
        <x:v>受控选项；空白=尚未填写，不等于否或不适用</x:v>
      </x:c>
    </x:row>
    <x:row r="111" ht="44" customHeight="1">
      <x:c r="A111" s="13" t="str">
        <x:v>错误类型</x:v>
      </x:c>
      <x:c r="B111" s="13" t="str">
        <x:v>标注边界不清</x:v>
      </x:c>
      <x:c r="C111" s="13" t="str">
        <x:v>受控选项；空白=尚未填写，不等于否或不适用</x:v>
      </x:c>
    </x:row>
    <x:row r="112" ht="44" customHeight="1">
      <x:c r="A112" s="13" t="str">
        <x:v>错误类型</x:v>
      </x:c>
      <x:c r="B112" s="13" t="str">
        <x:v>法律规则待核验</x:v>
      </x:c>
      <x:c r="C112" s="13" t="str">
        <x:v>受控选项；空白=尚未填写，不等于否或不适用</x:v>
      </x:c>
    </x:row>
    <x:row r="113" ht="44" customHeight="1">
      <x:c r="A113" s="13" t="str">
        <x:v>错误类型</x:v>
      </x:c>
      <x:c r="B113" s="13" t="str">
        <x:v>解析错误</x:v>
      </x:c>
      <x:c r="C113" s="13" t="str">
        <x:v>受控选项；空白=尚未填写，不等于否或不适用</x:v>
      </x:c>
    </x:row>
    <x:row r="114" ht="44" customHeight="1">
      <x:c r="A114" s="13" t="str">
        <x:v>错误类型</x:v>
      </x:c>
      <x:c r="B114" s="13" t="str">
        <x:v>抽取遗漏或错配</x:v>
      </x:c>
      <x:c r="C114" s="13" t="str">
        <x:v>受控选项；空白=尚未填写，不等于否或不适用</x:v>
      </x:c>
    </x:row>
    <x:row r="115" ht="44" customHeight="1">
      <x:c r="A115" s="13" t="str">
        <x:v>错误类型</x:v>
      </x:c>
      <x:c r="B115" s="13" t="str">
        <x:v>转换过度或不足</x:v>
      </x:c>
      <x:c r="C115" s="13" t="str">
        <x:v>受控选项；空白=尚未填写，不等于否或不适用</x:v>
      </x:c>
    </x:row>
    <x:row r="116" ht="44" customHeight="1">
      <x:c r="A116" s="13" t="str">
        <x:v>错误类型</x:v>
      </x:c>
      <x:c r="B116" s="13" t="str">
        <x:v>摘要遗漏或虚构</x:v>
      </x:c>
      <x:c r="C116" s="13" t="str">
        <x:v>受控选项；空白=尚未填写，不等于否或不适用</x:v>
      </x:c>
    </x:row>
    <x:row r="117" ht="44" customHeight="1">
      <x:c r="A117" s="13" t="str">
        <x:v>错误类型</x:v>
      </x:c>
      <x:c r="B117" s="13" t="str">
        <x:v>权限或门禁错误</x:v>
      </x:c>
      <x:c r="C117" s="13" t="str">
        <x:v>受控选项；空白=尚未填写，不等于否或不适用</x:v>
      </x:c>
    </x:row>
    <x:row r="118" ht="44" customHeight="1">
      <x:c r="A118" s="13" t="str">
        <x:v>错误类型</x:v>
      </x:c>
      <x:c r="B118" s="13" t="str">
        <x:v>输入答案污染</x:v>
      </x:c>
      <x:c r="C118" s="13" t="str">
        <x:v>受控选项；空白=尚未填写，不等于否或不适用</x:v>
      </x:c>
    </x:row>
    <x:row r="119" ht="44" customHeight="1">
      <x:c r="A119" s="13" t="str">
        <x:v>错误类型</x:v>
      </x:c>
      <x:c r="B119" s="13" t="str">
        <x:v>数据覆盖不足</x:v>
      </x:c>
      <x:c r="C119" s="13" t="str">
        <x:v>受控选项；空白=尚未填写，不等于否或不适用</x:v>
      </x:c>
    </x:row>
    <x:row r="120" ht="44" customHeight="1">
      <x:c r="A120" s="13" t="str">
        <x:v>优先级</x:v>
      </x:c>
      <x:c r="B120" s="13" t="str">
        <x:v>P0阻断</x:v>
      </x:c>
      <x:c r="C120" s="13" t="str">
        <x:v>受控选项；空白=尚未填写，不等于否或不适用</x:v>
      </x:c>
    </x:row>
    <x:row r="121" ht="44" customHeight="1">
      <x:c r="A121" s="13" t="str">
        <x:v>优先级</x:v>
      </x:c>
      <x:c r="B121" s="13" t="str">
        <x:v>P1重要</x:v>
      </x:c>
      <x:c r="C121" s="13" t="str">
        <x:v>受控选项；空白=尚未填写，不等于否或不适用</x:v>
      </x:c>
    </x:row>
    <x:row r="122" ht="44" customHeight="1">
      <x:c r="A122" s="13" t="str">
        <x:v>优先级</x:v>
      </x:c>
      <x:c r="B122" s="13" t="str">
        <x:v>P2一般</x:v>
      </x:c>
      <x:c r="C122" s="13" t="str">
        <x:v>受控选项；空白=尚未填写，不等于否或不适用</x:v>
      </x:c>
    </x:row>
    <x:row r="123" ht="44" customHeight="1">
      <x:c r="A123" s="13" t="str">
        <x:v>反馈状态</x:v>
      </x:c>
      <x:c r="B123" s="13" t="str">
        <x:v>待分析</x:v>
      </x:c>
      <x:c r="C123" s="13" t="str">
        <x:v>受控选项；空白=尚未填写，不等于否或不适用</x:v>
      </x:c>
    </x:row>
    <x:row r="124" ht="44" customHeight="1">
      <x:c r="A124" s="13" t="str">
        <x:v>反馈状态</x:v>
      </x:c>
      <x:c r="B124" s="13" t="str">
        <x:v>待法学</x:v>
      </x:c>
      <x:c r="C124" s="13" t="str">
        <x:v>受控选项；空白=尚未填写，不等于否或不适用</x:v>
      </x:c>
    </x:row>
    <x:row r="125" ht="44" customHeight="1">
      <x:c r="A125" s="13" t="str">
        <x:v>反馈状态</x:v>
      </x:c>
      <x:c r="B125" s="13" t="str">
        <x:v>待技术</x:v>
      </x:c>
      <x:c r="C125" s="13" t="str">
        <x:v>受控选项；空白=尚未填写，不等于否或不适用</x:v>
      </x:c>
    </x:row>
    <x:row r="126" ht="44" customHeight="1">
      <x:c r="A126" s="13" t="str">
        <x:v>反馈状态</x:v>
      </x:c>
      <x:c r="B126" s="13" t="str">
        <x:v>待补材料</x:v>
      </x:c>
      <x:c r="C126" s="13" t="str">
        <x:v>受控选项；空白=尚未填写，不等于否或不适用</x:v>
      </x:c>
    </x:row>
    <x:row r="127" ht="44" customHeight="1">
      <x:c r="A127" s="13" t="str">
        <x:v>反馈状态</x:v>
      </x:c>
      <x:c r="B127" s="13" t="str">
        <x:v>待重跑</x:v>
      </x:c>
      <x:c r="C127" s="13" t="str">
        <x:v>受控选项；空白=尚未填写，不等于否或不适用</x:v>
      </x:c>
    </x:row>
    <x:row r="128" ht="44" customHeight="1">
      <x:c r="A128" s="13" t="str">
        <x:v>反馈状态</x:v>
      </x:c>
      <x:c r="B128" s="13" t="str">
        <x:v>已验证关闭</x:v>
      </x:c>
      <x:c r="C128" s="13" t="str">
        <x:v>受控选项；空白=尚未填写，不等于否或不适用</x:v>
      </x:c>
    </x:row>
    <x:row r="129" ht="44" customHeight="1">
      <x:c r="A129" s="13" t="str">
        <x:v>反馈状态</x:v>
      </x:c>
      <x:c r="B129" s="13" t="str">
        <x:v>暂缓</x:v>
      </x:c>
      <x:c r="C129" s="13" t="str">
        <x:v>受控选项；空白=尚未填写，不等于否或不适用</x:v>
      </x:c>
    </x:row>
    <x:row r="130" ht="44" customHeight="1">
      <x:c r="A130" s="13" t="str">
        <x:v>规范性质</x:v>
      </x:c>
      <x:c r="B130" s="13" t="str">
        <x:v>法律规范</x:v>
      </x:c>
      <x:c r="C130" s="13" t="str">
        <x:v>受控选项；空白=尚未填写，不等于否或不适用</x:v>
      </x:c>
    </x:row>
    <x:row r="131" ht="44" customHeight="1">
      <x:c r="A131" s="13" t="str">
        <x:v>规范性质</x:v>
      </x:c>
      <x:c r="B131" s="13" t="str">
        <x:v>业务参考</x:v>
      </x:c>
      <x:c r="C131" s="13" t="str">
        <x:v>受控选项；空白=尚未填写，不等于否或不适用</x:v>
      </x:c>
    </x:row>
    <x:row r="132" ht="44" customHeight="1">
      <x:c r="A132" s="13" t="str">
        <x:v>规范性质</x:v>
      </x:c>
      <x:c r="B132" s="13" t="str">
        <x:v>项目控制</x:v>
      </x:c>
      <x:c r="C132" s="13" t="str">
        <x:v>受控选项；空白=尚未填写，不等于否或不适用</x:v>
      </x:c>
    </x:row>
    <x:row r="133" ht="44" customHeight="1">
      <x:c r="A133" s="13" t="str">
        <x:v>规范性质</x:v>
      </x:c>
      <x:c r="B133" s="13" t="str">
        <x:v>混合待拆分</x:v>
      </x:c>
      <x:c r="C133" s="13" t="str">
        <x:v>受控选项；空白=尚未填写，不等于否或不适用</x:v>
      </x:c>
    </x:row>
    <x:row r="134" ht="44" customHeight="1">
      <x:c r="A134" s="13" t="str">
        <x:v>数据集用途</x:v>
      </x:c>
      <x:c r="B134" s="13" t="str">
        <x:v>校准集</x:v>
      </x:c>
      <x:c r="C134" s="13" t="str">
        <x:v>受控选项；空白=尚未填写，不等于否或不适用</x:v>
      </x:c>
    </x:row>
    <x:row r="135" ht="44" customHeight="1">
      <x:c r="A135" s="13" t="str">
        <x:v>数据集用途</x:v>
      </x:c>
      <x:c r="B135" s="13" t="str">
        <x:v>保留评估集</x:v>
      </x:c>
      <x:c r="C135" s="13" t="str">
        <x:v>受控选项；空白=尚未填写，不等于否或不适用</x:v>
      </x:c>
    </x:row>
    <x:row r="136" ht="44" customHeight="1">
      <x:c r="A136" s="13" t="str">
        <x:v>数据集用途</x:v>
      </x:c>
      <x:c r="B136" s="13" t="str">
        <x:v>扩展候选</x:v>
      </x:c>
      <x:c r="C136" s="13" t="str">
        <x:v>受控选项；空白=尚未填写，不等于否或不适用</x:v>
      </x:c>
    </x:row>
    <x:row r="137" ht="44" customHeight="1">
      <x:c r="A137" s="13" t="str">
        <x:v>数据集用途</x:v>
      </x:c>
      <x:c r="B137" s="13" t="str">
        <x:v>暂不入集</x:v>
      </x:c>
      <x:c r="C137" s="13" t="str">
        <x:v>受控选项；空白=尚未填写，不等于否或不适用</x:v>
      </x:c>
    </x:row>
  </x:sheetData>
  <x:mergeCells>
    <x:mergeCell ref="A1:H1"/>
    <x:mergeCell ref="A2:C2"/>
    <x:mergeCell ref="A3:C3"/>
  </x:mergeCells>
  <x:pageMargins left="0.7" right="0.7" top="0.75" bottom="0.75" header="0.3" footer="0.3"/>
  <x:legacyDrawing xmlns:r="http://schemas.openxmlformats.org/officeDocument/2006/relationships" r:id="R4d5b5141a3ee4168"/>
  <x:tableParts count="1">
    <x:tablePart xmlns:r="http://schemas.openxmlformats.org/officeDocument/2006/relationships" r:id="R48cdcc81e9db4c5d"/>
  </x:tableParts>
</x:worksheet>
</file>